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idilz\AppData\Local\Packages\5319275A.WhatsAppDesktop_cv1g1gvanyjgm\LocalState\sessions\AEE48231A9B971BEC7FF66CB1C87394A3F611A82\transfers\2026-01\"/>
    </mc:Choice>
  </mc:AlternateContent>
  <xr:revisionPtr revIDLastSave="0" documentId="13_ncr:1_{C72CFA74-32B3-41A2-9A2A-0AF610907AAC}" xr6:coauthVersionLast="47" xr6:coauthVersionMax="47" xr10:uidLastSave="{00000000-0000-0000-0000-000000000000}"/>
  <bookViews>
    <workbookView xWindow="-120" yWindow="-120" windowWidth="20730" windowHeight="11040" activeTab="1" xr2:uid="{00000000-000D-0000-FFFF-FFFF00000000}"/>
  </bookViews>
  <sheets>
    <sheet name="Dashboard" sheetId="3" r:id="rId1"/>
    <sheet name="Error Analysis" sheetId="7" r:id="rId2"/>
    <sheet name="Data Set" sheetId="1" r:id="rId3"/>
    <sheet name="Pivot" sheetId="5" r:id="rId4"/>
  </sheets>
  <definedNames>
    <definedName name="_xlchart.v1.0" hidden="1">Pivot!$BQ$4:$BS$133</definedName>
    <definedName name="_xlchart.v1.1" hidden="1">Pivot!$BT$4:$BT$133</definedName>
    <definedName name="Dilimleyici_ErrorType">#N/A</definedName>
    <definedName name="Slicer_Department">#N/A</definedName>
    <definedName name="Slicer_MachineCode">#N/A</definedName>
    <definedName name="Slicer_Months__ProductionDate">#N/A</definedName>
    <definedName name="Slicer_ProductCode">#N/A</definedName>
    <definedName name="Slicer_ProductionLine">#N/A</definedName>
    <definedName name="Slicer_QualityInspector">#N/A</definedName>
    <definedName name="Slicer_Shift">#N/A</definedName>
  </definedNames>
  <calcPr calcId="181029"/>
  <pivotCaches>
    <pivotCache cacheId="3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O10" i="5" l="1"/>
  <c r="AN5" i="5"/>
  <c r="AO5" i="5" s="1"/>
  <c r="AN6" i="5"/>
  <c r="AO6" i="5" s="1"/>
  <c r="AN7" i="5"/>
  <c r="AO7" i="5" s="1"/>
  <c r="AN8" i="5"/>
  <c r="AO8" i="5" s="1"/>
  <c r="AN9" i="5"/>
  <c r="AO9" i="5" s="1"/>
  <c r="AN10" i="5"/>
  <c r="AN4" i="5"/>
  <c r="AO4" i="5" s="1"/>
  <c r="AK10" i="5"/>
  <c r="AJ5" i="5"/>
  <c r="AK5" i="5" s="1"/>
  <c r="AJ6" i="5"/>
  <c r="AK6" i="5" s="1"/>
  <c r="AJ7" i="5"/>
  <c r="AK7" i="5" s="1"/>
  <c r="AJ8" i="5"/>
  <c r="AK8" i="5" s="1"/>
  <c r="AJ9" i="5"/>
  <c r="AK9" i="5" s="1"/>
  <c r="AJ10" i="5"/>
  <c r="AJ4" i="5"/>
  <c r="AK4" i="5" s="1"/>
  <c r="AC10" i="5"/>
  <c r="AB5" i="5"/>
  <c r="AC5" i="5" s="1"/>
  <c r="AB6" i="5"/>
  <c r="AC6" i="5" s="1"/>
  <c r="AB7" i="5"/>
  <c r="AC7" i="5" s="1"/>
  <c r="AB8" i="5"/>
  <c r="AC8" i="5" s="1"/>
  <c r="AB9" i="5"/>
  <c r="AC9" i="5" s="1"/>
  <c r="AB10" i="5"/>
  <c r="AB4" i="5"/>
  <c r="AC4" i="5" s="1"/>
  <c r="AF5" i="5"/>
  <c r="AG5" i="5" s="1"/>
  <c r="AF6" i="5"/>
  <c r="AG6" i="5" s="1"/>
  <c r="AF7" i="5"/>
  <c r="AG7" i="5" s="1"/>
  <c r="AF8" i="5"/>
  <c r="AG8" i="5" s="1"/>
  <c r="AF9" i="5"/>
  <c r="AG9" i="5" s="1"/>
  <c r="AF4" i="5"/>
  <c r="AG4" i="5" s="1"/>
  <c r="BE2" i="5"/>
  <c r="BE4" i="5" l="1"/>
  <c r="DR5" i="5" l="1"/>
  <c r="DS5" i="5" s="1"/>
  <c r="DR6" i="5"/>
  <c r="DS6" i="5" s="1"/>
  <c r="DR7" i="5"/>
  <c r="DS7" i="5" s="1"/>
  <c r="DR8" i="5"/>
  <c r="DS8" i="5" s="1"/>
  <c r="DR9" i="5"/>
  <c r="DS9" i="5" s="1"/>
  <c r="DR10" i="5"/>
  <c r="DS10" i="5" s="1"/>
  <c r="DR11" i="5"/>
  <c r="DS11" i="5" s="1"/>
  <c r="DR12" i="5"/>
  <c r="DS12" i="5" s="1"/>
  <c r="DR13" i="5"/>
  <c r="DS13" i="5" s="1"/>
  <c r="DR4" i="5"/>
  <c r="DS4" i="5" s="1"/>
  <c r="DC4" i="5"/>
  <c r="DF4" i="5" s="1"/>
  <c r="DC5" i="5"/>
  <c r="DD5" i="5" s="1"/>
  <c r="DC6" i="5"/>
  <c r="DF6" i="5" s="1"/>
  <c r="DC7" i="5"/>
  <c r="DD7" i="5" s="1"/>
  <c r="DC8" i="5"/>
  <c r="DF8" i="5" s="1"/>
  <c r="DC9" i="5"/>
  <c r="DF9" i="5" s="1"/>
  <c r="DC10" i="5"/>
  <c r="DE10" i="5" s="1"/>
  <c r="DC11" i="5"/>
  <c r="DD11" i="5" s="1"/>
  <c r="DC12" i="5"/>
  <c r="DE12" i="5" s="1"/>
  <c r="DC13" i="5"/>
  <c r="DE13" i="5" s="1"/>
  <c r="DC14" i="5"/>
  <c r="DE14" i="5" s="1"/>
  <c r="DC15" i="5"/>
  <c r="DD15" i="5" s="1"/>
  <c r="DC16" i="5"/>
  <c r="DE16" i="5" s="1"/>
  <c r="AE2" i="1"/>
  <c r="AD2" i="1"/>
  <c r="AA12" i="1"/>
  <c r="AA11" i="1"/>
  <c r="AA10" i="1"/>
  <c r="AA9" i="1"/>
  <c r="AA8" i="1"/>
  <c r="AA7" i="1"/>
  <c r="AA6" i="1"/>
  <c r="AA5" i="1"/>
  <c r="AA4" i="1"/>
  <c r="AA3" i="1"/>
  <c r="AA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CK6" i="5"/>
  <c r="CN6" i="5" s="1"/>
  <c r="CK7" i="5"/>
  <c r="CN7" i="5" s="1"/>
  <c r="CK8" i="5"/>
  <c r="CM8" i="5" s="1"/>
  <c r="CK9" i="5"/>
  <c r="CM9" i="5" s="1"/>
  <c r="CK10" i="5"/>
  <c r="CN10" i="5" s="1"/>
  <c r="CK11" i="5"/>
  <c r="CN11" i="5" s="1"/>
  <c r="CK5" i="5"/>
  <c r="CL5" i="5"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B20" i="5"/>
  <c r="A20" i="5"/>
  <c r="BZ4" i="5"/>
  <c r="BY4"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AB2" i="1" l="1"/>
  <c r="DE4" i="5"/>
  <c r="DD4" i="5"/>
  <c r="DD16" i="5"/>
  <c r="DE9" i="5"/>
  <c r="DE7" i="5"/>
  <c r="DE6" i="5"/>
  <c r="DE8" i="5"/>
  <c r="DF16" i="5"/>
  <c r="DF15" i="5"/>
  <c r="DF14" i="5"/>
  <c r="DF13" i="5"/>
  <c r="DF12" i="5"/>
  <c r="DF11" i="5"/>
  <c r="DF10" i="5"/>
  <c r="DF7" i="5"/>
  <c r="DF5" i="5"/>
  <c r="DE5" i="5"/>
  <c r="DE15" i="5"/>
  <c r="DD12" i="5"/>
  <c r="DD10" i="5"/>
  <c r="DE11" i="5"/>
  <c r="DD9" i="5"/>
  <c r="DD8" i="5"/>
  <c r="DD13" i="5"/>
  <c r="DD6" i="5"/>
  <c r="DD14" i="5"/>
  <c r="AB3" i="1"/>
  <c r="AB12" i="1"/>
  <c r="AB11" i="1"/>
  <c r="AB10" i="1"/>
  <c r="AB9" i="1"/>
  <c r="AB8" i="1"/>
  <c r="AB7" i="1"/>
  <c r="AB6" i="1"/>
  <c r="AB5" i="1"/>
  <c r="AB4" i="1"/>
  <c r="CL10" i="5"/>
  <c r="CL11" i="5"/>
  <c r="CM10" i="5"/>
  <c r="CM11" i="5"/>
  <c r="CN5" i="5"/>
  <c r="CL7" i="5"/>
  <c r="CM7" i="5"/>
  <c r="CL6" i="5"/>
  <c r="CM6" i="5"/>
  <c r="CM5" i="5"/>
  <c r="CN9" i="5"/>
  <c r="CN8" i="5"/>
  <c r="CL9" i="5"/>
  <c r="CL8" i="5"/>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C8" i="5"/>
  <c r="D8" i="5" s="1"/>
  <c r="C4" i="5"/>
  <c r="D4" i="5" s="1"/>
  <c r="H4" i="5"/>
  <c r="I4" i="5" s="1"/>
</calcChain>
</file>

<file path=xl/sharedStrings.xml><?xml version="1.0" encoding="utf-8"?>
<sst xmlns="http://schemas.openxmlformats.org/spreadsheetml/2006/main" count="9302" uniqueCount="472">
  <si>
    <t>ProductionDate</t>
  </si>
  <si>
    <t>Department</t>
  </si>
  <si>
    <t>Shift</t>
  </si>
  <si>
    <t>MachineCode</t>
  </si>
  <si>
    <t>ProductionLine</t>
  </si>
  <si>
    <t>ProductCode</t>
  </si>
  <si>
    <t>ErrorType</t>
  </si>
  <si>
    <t>ErrorDescription</t>
  </si>
  <si>
    <t>ErrorSeverity (1–5)</t>
  </si>
  <si>
    <t>ErrorProbability (%)</t>
  </si>
  <si>
    <t>ErrorFrequency (units/day)</t>
  </si>
  <si>
    <t>ErrorCost (TL/unit)</t>
  </si>
  <si>
    <t>CorrectionTime (minutes)</t>
  </si>
  <si>
    <t>QualityInspector</t>
  </si>
  <si>
    <t>DefectiveUnits</t>
  </si>
  <si>
    <t>TotalProduction</t>
  </si>
  <si>
    <t>Notes</t>
  </si>
  <si>
    <t>ErrorRate (%)</t>
  </si>
  <si>
    <t>QualityScore (0–100)</t>
  </si>
  <si>
    <t>KPI – AverageCorrectionCost (TL)</t>
  </si>
  <si>
    <t>Paketleme</t>
  </si>
  <si>
    <t>MK-010</t>
  </si>
  <si>
    <t>Hat D</t>
  </si>
  <si>
    <t>UR-1014</t>
  </si>
  <si>
    <t>Ölçü Hatası</t>
  </si>
  <si>
    <t>Renk farkı</t>
  </si>
  <si>
    <t>Ece</t>
  </si>
  <si>
    <t>Kontrol tekrarlandı</t>
  </si>
  <si>
    <t>CNC</t>
  </si>
  <si>
    <t>MK-014</t>
  </si>
  <si>
    <t>Hat C</t>
  </si>
  <si>
    <t>UR-1002</t>
  </si>
  <si>
    <t>Yüzey Çizik</t>
  </si>
  <si>
    <t>Kaynak atlaması</t>
  </si>
  <si>
    <t>Kritik hata</t>
  </si>
  <si>
    <t>Kaynak</t>
  </si>
  <si>
    <t>MK-011</t>
  </si>
  <si>
    <t>Hat E</t>
  </si>
  <si>
    <t>UR-1004</t>
  </si>
  <si>
    <t>Renk Uyumsuzluğu</t>
  </si>
  <si>
    <t>Tolerans dışı ölçüm</t>
  </si>
  <si>
    <t>Mehmet</t>
  </si>
  <si>
    <t>Makine ayarı değiştirildi</t>
  </si>
  <si>
    <t>MK-018</t>
  </si>
  <si>
    <t>UR-1000</t>
  </si>
  <si>
    <t>Ahmet</t>
  </si>
  <si>
    <t>Eğitim önerildi</t>
  </si>
  <si>
    <t>MK-012</t>
  </si>
  <si>
    <t>Yüzey deformasyonu</t>
  </si>
  <si>
    <t>Zeynep</t>
  </si>
  <si>
    <t>Boya</t>
  </si>
  <si>
    <t>Hat A</t>
  </si>
  <si>
    <t>Kaynak Hatası</t>
  </si>
  <si>
    <t>MK-013</t>
  </si>
  <si>
    <t>UR-1007</t>
  </si>
  <si>
    <t>Ayşe</t>
  </si>
  <si>
    <t>UR-1003</t>
  </si>
  <si>
    <t>Rutin kontrol</t>
  </si>
  <si>
    <t>MK-019</t>
  </si>
  <si>
    <t>UR-1001</t>
  </si>
  <si>
    <t>Eksik Parça</t>
  </si>
  <si>
    <t>Eksik vida</t>
  </si>
  <si>
    <t>UR-1009</t>
  </si>
  <si>
    <t>Burak</t>
  </si>
  <si>
    <t>MK-004</t>
  </si>
  <si>
    <t>Pres</t>
  </si>
  <si>
    <t>MK-008</t>
  </si>
  <si>
    <t>Hat B</t>
  </si>
  <si>
    <t>UR-1016</t>
  </si>
  <si>
    <t>UR-1019</t>
  </si>
  <si>
    <t>UR-1012</t>
  </si>
  <si>
    <t>MK-006</t>
  </si>
  <si>
    <t>UR-1008</t>
  </si>
  <si>
    <t>UR-1005</t>
  </si>
  <si>
    <t>MK-005</t>
  </si>
  <si>
    <t>Montaj</t>
  </si>
  <si>
    <t>MK-009</t>
  </si>
  <si>
    <t>MK-003</t>
  </si>
  <si>
    <t>UR-1006</t>
  </si>
  <si>
    <t>MK-015</t>
  </si>
  <si>
    <t>MK-001</t>
  </si>
  <si>
    <t>UR-1018</t>
  </si>
  <si>
    <t>MK-007</t>
  </si>
  <si>
    <t>MK-017</t>
  </si>
  <si>
    <t>UR-1011</t>
  </si>
  <si>
    <t>MK-020</t>
  </si>
  <si>
    <t>UR-1017</t>
  </si>
  <si>
    <t>UR-1015</t>
  </si>
  <si>
    <t>MK-002</t>
  </si>
  <si>
    <t>UR-1013</t>
  </si>
  <si>
    <t>UR-1010</t>
  </si>
  <si>
    <t>MK-016</t>
  </si>
  <si>
    <t>Sum of TotalProduction</t>
  </si>
  <si>
    <t>oran</t>
  </si>
  <si>
    <t>kalan</t>
  </si>
  <si>
    <t>Sum of DefectiveUnits</t>
  </si>
  <si>
    <t>Average of ErrorRate (%)</t>
  </si>
  <si>
    <t>Sum of ErrorCost (TL/unit)</t>
  </si>
  <si>
    <t>Sum of CorrectionTime (minutes)</t>
  </si>
  <si>
    <t>Average of QualityScore (0–100)</t>
  </si>
  <si>
    <t>Sum of KPI – AverageCorrectionCost (TL)</t>
  </si>
  <si>
    <t>Sum of ErrorFrequency (units/day)</t>
  </si>
  <si>
    <t>Average of ErrorSeverity (1–5)</t>
  </si>
  <si>
    <t>Average of ErrorProbability (%)</t>
  </si>
  <si>
    <t>Average of CorrectionTime (minutes)</t>
  </si>
  <si>
    <t>risk score</t>
  </si>
  <si>
    <t>Sum of risk score</t>
  </si>
  <si>
    <t>frequency</t>
  </si>
  <si>
    <t>total error cost</t>
  </si>
  <si>
    <t>Inspector</t>
  </si>
  <si>
    <t>count of inspector in this machine</t>
  </si>
  <si>
    <t>machine code</t>
  </si>
  <si>
    <t>shownote</t>
  </si>
  <si>
    <t>Inspector Name</t>
  </si>
  <si>
    <t>Total Cost</t>
  </si>
  <si>
    <t>Sum of Total Cost</t>
  </si>
  <si>
    <t>ErrorCost</t>
  </si>
  <si>
    <t>CorrectionCost</t>
  </si>
  <si>
    <t>error prob</t>
  </si>
  <si>
    <t>quality class</t>
  </si>
  <si>
    <t>&lt;6%</t>
  </si>
  <si>
    <t>high quality</t>
  </si>
  <si>
    <t>%6-&amp;%15</t>
  </si>
  <si>
    <t>mid quality</t>
  </si>
  <si>
    <t>&gt;15%</t>
  </si>
  <si>
    <t>low quality</t>
  </si>
  <si>
    <t>quality classes</t>
  </si>
  <si>
    <t>High Quality</t>
  </si>
  <si>
    <t>Low Quality</t>
  </si>
  <si>
    <t>Mid Quality</t>
  </si>
  <si>
    <t>Count of quality classes</t>
  </si>
  <si>
    <t>rows</t>
  </si>
  <si>
    <t>Count of ErrorDescription</t>
  </si>
  <si>
    <t>bins</t>
  </si>
  <si>
    <t>countifs</t>
  </si>
  <si>
    <t>normdist</t>
  </si>
  <si>
    <t>uniform</t>
  </si>
  <si>
    <t>mean</t>
  </si>
  <si>
    <t>stdev</t>
  </si>
  <si>
    <t>distribution</t>
  </si>
  <si>
    <t>Sum of normdist</t>
  </si>
  <si>
    <t>Sum of uniform</t>
  </si>
  <si>
    <t>Sum of countifs</t>
  </si>
  <si>
    <t>Say Notes</t>
  </si>
  <si>
    <t>Mar</t>
  </si>
  <si>
    <t>May</t>
  </si>
  <si>
    <t>Toplam Total Cost</t>
  </si>
  <si>
    <t>months</t>
  </si>
  <si>
    <t>total cost</t>
  </si>
  <si>
    <t>UNİFORM</t>
  </si>
  <si>
    <t>1/MAX-MİN</t>
  </si>
  <si>
    <t>1/20-0</t>
  </si>
  <si>
    <t>Value</t>
  </si>
  <si>
    <t>Score</t>
  </si>
  <si>
    <t>Needle</t>
  </si>
  <si>
    <t>Rest</t>
  </si>
  <si>
    <t>errortype</t>
  </si>
  <si>
    <t>toterrorcost</t>
  </si>
  <si>
    <t>avgcorrectiontime</t>
  </si>
  <si>
    <t>riskscore</t>
  </si>
  <si>
    <t>Satır Etiketleri</t>
  </si>
  <si>
    <t>01.Oca</t>
  </si>
  <si>
    <t>03.Oca</t>
  </si>
  <si>
    <t>04.Oca</t>
  </si>
  <si>
    <t>05.Oca</t>
  </si>
  <si>
    <t>06.Oca</t>
  </si>
  <si>
    <t>07.Oca</t>
  </si>
  <si>
    <t>08.Oca</t>
  </si>
  <si>
    <t>09.Oca</t>
  </si>
  <si>
    <t>10.Oca</t>
  </si>
  <si>
    <t>11.Oca</t>
  </si>
  <si>
    <t>12.Oca</t>
  </si>
  <si>
    <t>14.Oca</t>
  </si>
  <si>
    <t>15.Oca</t>
  </si>
  <si>
    <t>16.Oca</t>
  </si>
  <si>
    <t>17.Oca</t>
  </si>
  <si>
    <t>18.Oca</t>
  </si>
  <si>
    <t>19.Oca</t>
  </si>
  <si>
    <t>20.Oca</t>
  </si>
  <si>
    <t>21.Oca</t>
  </si>
  <si>
    <t>22.Oca</t>
  </si>
  <si>
    <t>23.Oca</t>
  </si>
  <si>
    <t>24.Oca</t>
  </si>
  <si>
    <t>25.Oca</t>
  </si>
  <si>
    <t>26.Oca</t>
  </si>
  <si>
    <t>27.Oca</t>
  </si>
  <si>
    <t>28.Oca</t>
  </si>
  <si>
    <t>29.Oca</t>
  </si>
  <si>
    <t>30.Oca</t>
  </si>
  <si>
    <t>31.Oca</t>
  </si>
  <si>
    <t>01.Şub</t>
  </si>
  <si>
    <t>02.Şub</t>
  </si>
  <si>
    <t>04.Şub</t>
  </si>
  <si>
    <t>05.Şub</t>
  </si>
  <si>
    <t>06.Şub</t>
  </si>
  <si>
    <t>07.Şub</t>
  </si>
  <si>
    <t>08.Şub</t>
  </si>
  <si>
    <t>09.Şub</t>
  </si>
  <si>
    <t>10.Şub</t>
  </si>
  <si>
    <t>11.Şub</t>
  </si>
  <si>
    <t>12.Şub</t>
  </si>
  <si>
    <t>13.Şub</t>
  </si>
  <si>
    <t>14.Şub</t>
  </si>
  <si>
    <t>15.Şub</t>
  </si>
  <si>
    <t>16.Şub</t>
  </si>
  <si>
    <t>17.Şub</t>
  </si>
  <si>
    <t>18.Şub</t>
  </si>
  <si>
    <t>19.Şub</t>
  </si>
  <si>
    <t>20.Şub</t>
  </si>
  <si>
    <t>21.Şub</t>
  </si>
  <si>
    <t>22.Şub</t>
  </si>
  <si>
    <t>23.Şub</t>
  </si>
  <si>
    <t>24.Şub</t>
  </si>
  <si>
    <t>25.Şub</t>
  </si>
  <si>
    <t>26.Şub</t>
  </si>
  <si>
    <t>27.Şub</t>
  </si>
  <si>
    <t>28.Şub</t>
  </si>
  <si>
    <t>29.Şub</t>
  </si>
  <si>
    <t>01.Mar</t>
  </si>
  <si>
    <t>02.Mar</t>
  </si>
  <si>
    <t>03.Mar</t>
  </si>
  <si>
    <t>05.Mar</t>
  </si>
  <si>
    <t>06.Mar</t>
  </si>
  <si>
    <t>07.Mar</t>
  </si>
  <si>
    <t>08.Mar</t>
  </si>
  <si>
    <t>09.Mar</t>
  </si>
  <si>
    <t>10.Mar</t>
  </si>
  <si>
    <t>11.Mar</t>
  </si>
  <si>
    <t>12.Mar</t>
  </si>
  <si>
    <t>14.Mar</t>
  </si>
  <si>
    <t>15.Mar</t>
  </si>
  <si>
    <t>16.Mar</t>
  </si>
  <si>
    <t>17.Mar</t>
  </si>
  <si>
    <t>18.Mar</t>
  </si>
  <si>
    <t>19.Mar</t>
  </si>
  <si>
    <t>20.Mar</t>
  </si>
  <si>
    <t>21.Mar</t>
  </si>
  <si>
    <t>22.Mar</t>
  </si>
  <si>
    <t>23.Mar</t>
  </si>
  <si>
    <t>24.Mar</t>
  </si>
  <si>
    <t>25.Mar</t>
  </si>
  <si>
    <t>26.Mar</t>
  </si>
  <si>
    <t>27.Mar</t>
  </si>
  <si>
    <t>28.Mar</t>
  </si>
  <si>
    <t>29.Mar</t>
  </si>
  <si>
    <t>30.Mar</t>
  </si>
  <si>
    <t>31.Mar</t>
  </si>
  <si>
    <t>01.Nis</t>
  </si>
  <si>
    <t>02.Nis</t>
  </si>
  <si>
    <t>03.Nis</t>
  </si>
  <si>
    <t>04.Nis</t>
  </si>
  <si>
    <t>05.Nis</t>
  </si>
  <si>
    <t>06.Nis</t>
  </si>
  <si>
    <t>07.Nis</t>
  </si>
  <si>
    <t>08.Nis</t>
  </si>
  <si>
    <t>09.Nis</t>
  </si>
  <si>
    <t>10.Nis</t>
  </si>
  <si>
    <t>11.Nis</t>
  </si>
  <si>
    <t>12.Nis</t>
  </si>
  <si>
    <t>13.Nis</t>
  </si>
  <si>
    <t>14.Nis</t>
  </si>
  <si>
    <t>15.Nis</t>
  </si>
  <si>
    <t>16.Nis</t>
  </si>
  <si>
    <t>17.Nis</t>
  </si>
  <si>
    <t>18.Nis</t>
  </si>
  <si>
    <t>19.Nis</t>
  </si>
  <si>
    <t>20.Nis</t>
  </si>
  <si>
    <t>21.Nis</t>
  </si>
  <si>
    <t>22.Nis</t>
  </si>
  <si>
    <t>23.Nis</t>
  </si>
  <si>
    <t>24.Nis</t>
  </si>
  <si>
    <t>25.Nis</t>
  </si>
  <si>
    <t>26.Nis</t>
  </si>
  <si>
    <t>27.Nis</t>
  </si>
  <si>
    <t>28.Nis</t>
  </si>
  <si>
    <t>29.Nis</t>
  </si>
  <si>
    <t>30.Nis</t>
  </si>
  <si>
    <t>01.May</t>
  </si>
  <si>
    <t>02.May</t>
  </si>
  <si>
    <t>03.May</t>
  </si>
  <si>
    <t>04.May</t>
  </si>
  <si>
    <t>06.May</t>
  </si>
  <si>
    <t>07.May</t>
  </si>
  <si>
    <t>08.May</t>
  </si>
  <si>
    <t>09.May</t>
  </si>
  <si>
    <t>10.May</t>
  </si>
  <si>
    <t>11.May</t>
  </si>
  <si>
    <t>12.May</t>
  </si>
  <si>
    <t>13.May</t>
  </si>
  <si>
    <t>14.May</t>
  </si>
  <si>
    <t>15.May</t>
  </si>
  <si>
    <t>16.May</t>
  </si>
  <si>
    <t>17.May</t>
  </si>
  <si>
    <t>18.May</t>
  </si>
  <si>
    <t>19.May</t>
  </si>
  <si>
    <t>20.May</t>
  </si>
  <si>
    <t>21.May</t>
  </si>
  <si>
    <t>23.May</t>
  </si>
  <si>
    <t>24.May</t>
  </si>
  <si>
    <t>25.May</t>
  </si>
  <si>
    <t>26.May</t>
  </si>
  <si>
    <t>27.May</t>
  </si>
  <si>
    <t>28.May</t>
  </si>
  <si>
    <t>29.May</t>
  </si>
  <si>
    <t>30.May</t>
  </si>
  <si>
    <t>31.May</t>
  </si>
  <si>
    <t>01.Haz</t>
  </si>
  <si>
    <t>02.Haz</t>
  </si>
  <si>
    <t>03.Haz</t>
  </si>
  <si>
    <t>04.Haz</t>
  </si>
  <si>
    <t>05.Haz</t>
  </si>
  <si>
    <t>06.Haz</t>
  </si>
  <si>
    <t>07.Haz</t>
  </si>
  <si>
    <t>08.Haz</t>
  </si>
  <si>
    <t>09.Haz</t>
  </si>
  <si>
    <t>10.Haz</t>
  </si>
  <si>
    <t>11.Haz</t>
  </si>
  <si>
    <t>12.Haz</t>
  </si>
  <si>
    <t>13.Haz</t>
  </si>
  <si>
    <t>14.Haz</t>
  </si>
  <si>
    <t>15.Haz</t>
  </si>
  <si>
    <t>16.Haz</t>
  </si>
  <si>
    <t>18.Haz</t>
  </si>
  <si>
    <t>20.Haz</t>
  </si>
  <si>
    <t>21.Haz</t>
  </si>
  <si>
    <t>22.Haz</t>
  </si>
  <si>
    <t>23.Haz</t>
  </si>
  <si>
    <t>24.Haz</t>
  </si>
  <si>
    <t>25.Haz</t>
  </si>
  <si>
    <t>26.Haz</t>
  </si>
  <si>
    <t>27.Haz</t>
  </si>
  <si>
    <t>28.Haz</t>
  </si>
  <si>
    <t>29.Haz</t>
  </si>
  <si>
    <t>30.Haz</t>
  </si>
  <si>
    <t>01.Tem</t>
  </si>
  <si>
    <t>02.Tem</t>
  </si>
  <si>
    <t>03.Tem</t>
  </si>
  <si>
    <t>04.Tem</t>
  </si>
  <si>
    <t>05.Tem</t>
  </si>
  <si>
    <t>06.Tem</t>
  </si>
  <si>
    <t>07.Tem</t>
  </si>
  <si>
    <t>08.Tem</t>
  </si>
  <si>
    <t>09.Tem</t>
  </si>
  <si>
    <t>10.Tem</t>
  </si>
  <si>
    <t>11.Tem</t>
  </si>
  <si>
    <t>12.Tem</t>
  </si>
  <si>
    <t>13.Tem</t>
  </si>
  <si>
    <t>14.Tem</t>
  </si>
  <si>
    <t>15.Tem</t>
  </si>
  <si>
    <t>16.Tem</t>
  </si>
  <si>
    <t>17.Tem</t>
  </si>
  <si>
    <t>18.Tem</t>
  </si>
  <si>
    <t>19.Tem</t>
  </si>
  <si>
    <t>20.Tem</t>
  </si>
  <si>
    <t>21.Tem</t>
  </si>
  <si>
    <t>22.Tem</t>
  </si>
  <si>
    <t>23.Tem</t>
  </si>
  <si>
    <t>24.Tem</t>
  </si>
  <si>
    <t>25.Tem</t>
  </si>
  <si>
    <t>26.Tem</t>
  </si>
  <si>
    <t>27.Tem</t>
  </si>
  <si>
    <t>28.Tem</t>
  </si>
  <si>
    <t>29.Tem</t>
  </si>
  <si>
    <t>30.Tem</t>
  </si>
  <si>
    <t>31.Tem</t>
  </si>
  <si>
    <t>01.Ağu</t>
  </si>
  <si>
    <t>02.Ağu</t>
  </si>
  <si>
    <t>03.Ağu</t>
  </si>
  <si>
    <t>04.Ağu</t>
  </si>
  <si>
    <t>05.Ağu</t>
  </si>
  <si>
    <t>06.Ağu</t>
  </si>
  <si>
    <t>07.Ağu</t>
  </si>
  <si>
    <t>08.Ağu</t>
  </si>
  <si>
    <t>09.Ağu</t>
  </si>
  <si>
    <t>10.Ağu</t>
  </si>
  <si>
    <t>11.Ağu</t>
  </si>
  <si>
    <t>12.Ağu</t>
  </si>
  <si>
    <t>13.Ağu</t>
  </si>
  <si>
    <t>14.Ağu</t>
  </si>
  <si>
    <t>15.Ağu</t>
  </si>
  <si>
    <t>16.Ağu</t>
  </si>
  <si>
    <t>17.Ağu</t>
  </si>
  <si>
    <t>18.Ağu</t>
  </si>
  <si>
    <t>19.Ağu</t>
  </si>
  <si>
    <t>20.Ağu</t>
  </si>
  <si>
    <t>21.Ağu</t>
  </si>
  <si>
    <t>22.Ağu</t>
  </si>
  <si>
    <t>23.Ağu</t>
  </si>
  <si>
    <t>25.Ağu</t>
  </si>
  <si>
    <t>27.Ağu</t>
  </si>
  <si>
    <t>28.Ağu</t>
  </si>
  <si>
    <t>29.Ağu</t>
  </si>
  <si>
    <t>30.Ağu</t>
  </si>
  <si>
    <t>31.Ağu</t>
  </si>
  <si>
    <t>01.Eyl</t>
  </si>
  <si>
    <t>02.Eyl</t>
  </si>
  <si>
    <t>03.Eyl</t>
  </si>
  <si>
    <t>04.Eyl</t>
  </si>
  <si>
    <t>05.Eyl</t>
  </si>
  <si>
    <t>06.Eyl</t>
  </si>
  <si>
    <t>07.Eyl</t>
  </si>
  <si>
    <t>08.Eyl</t>
  </si>
  <si>
    <t>09.Eyl</t>
  </si>
  <si>
    <t>10.Eyl</t>
  </si>
  <si>
    <t>11.Eyl</t>
  </si>
  <si>
    <t>12.Eyl</t>
  </si>
  <si>
    <t>13.Eyl</t>
  </si>
  <si>
    <t>14.Eyl</t>
  </si>
  <si>
    <t>15.Eyl</t>
  </si>
  <si>
    <t>16.Eyl</t>
  </si>
  <si>
    <t>17.Eyl</t>
  </si>
  <si>
    <t>18.Eyl</t>
  </si>
  <si>
    <t>19.Eyl</t>
  </si>
  <si>
    <t>20.Eyl</t>
  </si>
  <si>
    <t>21.Eyl</t>
  </si>
  <si>
    <t>22.Eyl</t>
  </si>
  <si>
    <t>23.Eyl</t>
  </si>
  <si>
    <t>24.Eyl</t>
  </si>
  <si>
    <t>25.Eyl</t>
  </si>
  <si>
    <t>26.Eyl</t>
  </si>
  <si>
    <t>27.Eyl</t>
  </si>
  <si>
    <t>28.Eyl</t>
  </si>
  <si>
    <t>29.Eyl</t>
  </si>
  <si>
    <t>30.Eyl</t>
  </si>
  <si>
    <t>01.Eki</t>
  </si>
  <si>
    <t>02.Eki</t>
  </si>
  <si>
    <t>03.Eki</t>
  </si>
  <si>
    <t>04.Eki</t>
  </si>
  <si>
    <t>05.Eki</t>
  </si>
  <si>
    <t>06.Eki</t>
  </si>
  <si>
    <t>07.Eki</t>
  </si>
  <si>
    <t>08.Eki</t>
  </si>
  <si>
    <t>09.Eki</t>
  </si>
  <si>
    <t>10.Eki</t>
  </si>
  <si>
    <t>11.Eki</t>
  </si>
  <si>
    <t>12.Eki</t>
  </si>
  <si>
    <t>13.Eki</t>
  </si>
  <si>
    <t>14.Eki</t>
  </si>
  <si>
    <t>15.Eki</t>
  </si>
  <si>
    <t>16.Eki</t>
  </si>
  <si>
    <t>17.Eki</t>
  </si>
  <si>
    <t>18.Eki</t>
  </si>
  <si>
    <t>19.Eki</t>
  </si>
  <si>
    <t>20.Eki</t>
  </si>
  <si>
    <t>21.Eki</t>
  </si>
  <si>
    <t>22.Eki</t>
  </si>
  <si>
    <t>23.Eki</t>
  </si>
  <si>
    <t>24.Eki</t>
  </si>
  <si>
    <t>25.Eki</t>
  </si>
  <si>
    <t>26.Eki</t>
  </si>
  <si>
    <t>27.Eki</t>
  </si>
  <si>
    <t>Genel Toplam</t>
  </si>
  <si>
    <t>Sütun Etiketleri</t>
  </si>
  <si>
    <t>Toplam Eksik vida</t>
  </si>
  <si>
    <t>Toplam Kaynak atlaması</t>
  </si>
  <si>
    <t>Toplam Renk farkı</t>
  </si>
  <si>
    <t>Toplam Tolerans dışı ölçüm</t>
  </si>
  <si>
    <t>Toplam Yüzey deformasyonu</t>
  </si>
  <si>
    <t>Toplam Eksik Parça</t>
  </si>
  <si>
    <t>Toplam Kaynak Hatası</t>
  </si>
  <si>
    <t>Toplam Ölçü Hatası</t>
  </si>
  <si>
    <t>Toplam Renk Uyumsuzluğu</t>
  </si>
  <si>
    <t>Toplam Yüzey Çizik</t>
  </si>
  <si>
    <t>(boş)</t>
  </si>
  <si>
    <t>Oca</t>
  </si>
  <si>
    <t>Şub</t>
  </si>
  <si>
    <t>Nis</t>
  </si>
  <si>
    <t>Haz</t>
  </si>
  <si>
    <t>Tem</t>
  </si>
  <si>
    <t>Ağu</t>
  </si>
  <si>
    <t>Eyl</t>
  </si>
  <si>
    <t>Eki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</si>
</sst>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0.0"/>
    <numFmt numFmtId="166" formatCode="0.000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FFFFFF"/>
      <name val="Calibri"/>
      <family val="2"/>
      <scheme val="minor"/>
    </font>
    <font>
      <sz val="11"/>
      <color rgb="FFFFFFFF"/>
      <name val="Segoe UI Black"/>
      <family val="2"/>
      <charset val="162"/>
    </font>
    <font>
      <b/>
      <sz val="11"/>
      <color rgb="FF000000"/>
      <name val="Calibri"/>
      <family val="2"/>
      <scheme val="minor"/>
    </font>
    <font>
      <sz val="11"/>
      <color rgb="FF000000"/>
      <name val="Calibri"/>
      <family val="2"/>
      <scheme val="minor"/>
    </font>
    <font>
      <sz val="11"/>
      <name val="Calibri"/>
      <family val="2"/>
      <charset val="162"/>
      <scheme val="minor"/>
    </font>
    <font>
      <sz val="11"/>
      <color rgb="FFFFFFFF"/>
      <name val="Segoe UI Black"/>
      <charset val="16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rgb="FF999999"/>
      </left>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9" fontId="0" fillId="0" borderId="0" xfId="1" applyFont="1"/>
    <xf numFmtId="2" fontId="0" fillId="0" borderId="0" xfId="0" applyNumberFormat="1"/>
    <xf numFmtId="3" fontId="0" fillId="0" borderId="0" xfId="0" applyNumberFormat="1"/>
    <xf numFmtId="0" fontId="0" fillId="0" borderId="0" xfId="0" applyAlignment="1">
      <alignment horizontal="left"/>
    </xf>
    <xf numFmtId="0" fontId="0" fillId="0" borderId="0" xfId="0" applyAlignment="1">
      <alignment horizontal="left" indent="1"/>
    </xf>
    <xf numFmtId="9" fontId="0" fillId="0" borderId="0" xfId="0" applyNumberFormat="1"/>
    <xf numFmtId="165" fontId="0" fillId="0" borderId="0" xfId="0" applyNumberFormat="1"/>
    <xf numFmtId="0" fontId="0" fillId="0" borderId="3" xfId="0" applyBorder="1"/>
    <xf numFmtId="10"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9" fontId="3" fillId="0" borderId="0" xfId="0" applyNumberFormat="1" applyFont="1"/>
    <xf numFmtId="165" fontId="0" fillId="0" borderId="0" xfId="0" applyNumberFormat="1" applyAlignment="1">
      <alignment horizontal="left"/>
    </xf>
    <xf numFmtId="2" fontId="2" fillId="0" borderId="0" xfId="1" applyNumberFormat="1" applyFont="1"/>
    <xf numFmtId="2" fontId="0" fillId="0" borderId="0" xfId="1" applyNumberFormat="1" applyFont="1"/>
    <xf numFmtId="1" fontId="0" fillId="0" borderId="0" xfId="0" applyNumberFormat="1"/>
    <xf numFmtId="0" fontId="0" fillId="0" borderId="3" xfId="0" pivotButton="1" applyBorder="1"/>
    <xf numFmtId="0" fontId="0" fillId="0" borderId="5" xfId="0" applyBorder="1"/>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left"/>
    </xf>
    <xf numFmtId="2" fontId="0" fillId="0" borderId="7" xfId="0" applyNumberFormat="1" applyBorder="1"/>
    <xf numFmtId="0" fontId="5" fillId="0" borderId="2" xfId="0" applyFont="1" applyBorder="1"/>
    <xf numFmtId="0" fontId="6" fillId="0" borderId="2" xfId="0" applyFont="1" applyBorder="1"/>
    <xf numFmtId="0" fontId="0" fillId="3" borderId="0" xfId="0" applyFill="1"/>
    <xf numFmtId="166" fontId="0" fillId="0" borderId="0" xfId="0" applyNumberFormat="1"/>
    <xf numFmtId="0" fontId="6" fillId="0" borderId="0" xfId="0" applyFont="1"/>
    <xf numFmtId="0" fontId="0" fillId="0" borderId="0" xfId="0" applyAlignment="1">
      <alignment vertical="center" wrapText="1"/>
    </xf>
    <xf numFmtId="0" fontId="0" fillId="0" borderId="9" xfId="0" applyBorder="1"/>
    <xf numFmtId="0" fontId="1" fillId="3" borderId="1" xfId="0" applyFont="1" applyFill="1" applyBorder="1" applyAlignment="1">
      <alignment horizontal="center" vertical="top"/>
    </xf>
    <xf numFmtId="0" fontId="0" fillId="3" borderId="0" xfId="0" applyFill="1" applyAlignment="1">
      <alignment horizontal="center" vertical="top"/>
    </xf>
    <xf numFmtId="0" fontId="0" fillId="4" borderId="0" xfId="0" applyFill="1"/>
    <xf numFmtId="2" fontId="4" fillId="2" borderId="2" xfId="0" applyNumberFormat="1" applyFont="1" applyFill="1" applyBorder="1"/>
    <xf numFmtId="0" fontId="0" fillId="0" borderId="2" xfId="0" applyBorder="1"/>
    <xf numFmtId="0" fontId="7" fillId="0" borderId="0" xfId="0" applyFont="1"/>
    <xf numFmtId="9" fontId="0" fillId="0" borderId="0" xfId="1" applyFont="1" applyAlignment="1">
      <alignment horizontal="left"/>
    </xf>
    <xf numFmtId="2" fontId="0" fillId="0" borderId="0" xfId="1" applyNumberFormat="1" applyFont="1" applyAlignment="1">
      <alignment horizontal="left"/>
    </xf>
    <xf numFmtId="2" fontId="8" fillId="2" borderId="3" xfId="0" applyNumberFormat="1" applyFont="1" applyFill="1" applyBorder="1"/>
    <xf numFmtId="2" fontId="8" fillId="2" borderId="4" xfId="0" applyNumberFormat="1" applyFont="1" applyFill="1" applyBorder="1"/>
    <xf numFmtId="0" fontId="0" fillId="0" borderId="0" xfId="0" applyNumberFormat="1"/>
    <xf numFmtId="0" fontId="0" fillId="0" borderId="5" xfId="0" applyNumberFormat="1" applyBorder="1"/>
    <xf numFmtId="0" fontId="0" fillId="0" borderId="6" xfId="0" applyNumberFormat="1" applyBorder="1"/>
    <xf numFmtId="0" fontId="0" fillId="0" borderId="8" xfId="0" applyNumberFormat="1" applyBorder="1"/>
  </cellXfs>
  <cellStyles count="2">
    <cellStyle name="Normal" xfId="0" builtinId="0"/>
    <cellStyle name="Yüzde" xfId="1" builtinId="5"/>
  </cellStyles>
  <dxfs count="28">
    <dxf>
      <border>
        <left style="thin">
          <color auto="1"/>
        </left>
        <right style="thin">
          <color auto="1"/>
        </right>
        <top style="thin">
          <color auto="1"/>
        </top>
        <bottom style="thin">
          <color auto="1"/>
        </bottom>
        <vertical/>
        <horizontal/>
      </border>
    </dxf>
    <dxf>
      <font>
        <color rgb="FFFFFFFF"/>
      </font>
    </dxf>
    <dxf>
      <font>
        <name val="Segoe UI Black"/>
        <charset val="162"/>
        <scheme val="none"/>
      </font>
    </dxf>
    <dxf>
      <fill>
        <patternFill patternType="solid">
          <bgColor theme="0"/>
        </patternFill>
      </fill>
    </dxf>
    <dxf>
      <font>
        <name val="Segoe UI Black"/>
        <charset val="162"/>
        <scheme val="none"/>
      </font>
    </dxf>
    <dxf>
      <font>
        <color theme="0"/>
      </font>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alignment horizontal="center" vertical="top" textRotation="0" wrapText="0" indent="0" justifyLastLine="0" shrinkToFit="0" readingOrder="0"/>
    </dxf>
    <dxf>
      <numFmt numFmtId="0" formatCode="General"/>
    </dxf>
    <dxf>
      <numFmt numFmtId="0" formatCode="General"/>
      <fill>
        <patternFill patternType="solid">
          <fgColor indexed="64"/>
          <bgColor rgb="FFFFFF00"/>
        </patternFill>
      </fill>
    </dxf>
    <dxf>
      <numFmt numFmtId="2" formatCode="0.00"/>
    </dxf>
    <dxf>
      <numFmt numFmtId="0" formatCode="General"/>
      <fill>
        <patternFill patternType="solid">
          <fgColor indexed="64"/>
          <bgColor rgb="FFFFFF00"/>
        </patternFill>
      </fil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89F3DF"/>
        </patternFill>
      </fill>
    </dxf>
    <dxf>
      <fill>
        <patternFill>
          <bgColor rgb="FF2FE9C6"/>
        </patternFill>
      </fill>
    </dxf>
    <dxf>
      <fill>
        <gradientFill degree="90">
          <stop position="0">
            <color rgb="FF2FE9C6"/>
          </stop>
          <stop position="1">
            <color theme="0"/>
          </stop>
        </gradientFill>
      </fill>
      <border>
        <left style="thin">
          <color auto="1"/>
        </left>
        <right style="thin">
          <color auto="1"/>
        </right>
        <top style="thin">
          <color auto="1"/>
        </top>
        <bottom style="thin">
          <color auto="1"/>
        </bottom>
      </border>
    </dxf>
    <dxf>
      <fill>
        <patternFill>
          <bgColor rgb="FF2FE9C6"/>
        </patternFill>
      </fill>
    </dxf>
  </dxfs>
  <tableStyles count="9" defaultTableStyle="TableStyleMedium2" defaultPivotStyle="PivotStyleLight16">
    <tableStyle name="Slicer Style 1" pivot="0" table="0" count="1" xr9:uid="{A87F2CD1-2861-4A51-AE33-1E8FF2DDA40E}"/>
    <tableStyle name="Slicer Style 2" pivot="0" table="0" count="0" xr9:uid="{20218861-5AD7-403A-8828-8A63FB3001A4}"/>
    <tableStyle name="Slicer Style 3" pivot="0" table="0" count="0" xr9:uid="{327EA66C-653B-4F55-A40B-94483E2028EF}"/>
    <tableStyle name="Slicer Style 4" pivot="0" table="0" count="1" xr9:uid="{BA86C0EC-22A9-4B24-881E-15E91313F2C4}"/>
    <tableStyle name="Table Style 1" pivot="0" count="1" xr9:uid="{D5444334-B475-4395-90AB-78893F33A7AA}">
      <tableStyleElement type="wholeTable" dxfId="27"/>
    </tableStyle>
    <tableStyle name="Table Style 2" pivot="0" count="1" xr9:uid="{972958A3-5498-4D8E-B00E-4619A6008751}">
      <tableStyleElement type="firstColumnStripe" dxfId="26"/>
    </tableStyle>
    <tableStyle name="Table Style 3" pivot="0" count="1" xr9:uid="{4D2268FA-EB11-4CA7-8ABB-F2959F625B9D}">
      <tableStyleElement type="firstRowStripe" dxfId="25"/>
    </tableStyle>
    <tableStyle name="Table Style 4" pivot="0" count="1" xr9:uid="{A7AE618B-7687-454A-BEEA-C0342B0BAFFB}">
      <tableStyleElement type="firstRowStripe" dxfId="24"/>
    </tableStyle>
    <tableStyle name="Timeline Style 1" pivot="0" table="0" count="8" xr9:uid="{A04EEC4E-1EF6-4781-BE71-6E929837502D}">
      <tableStyleElement type="wholeTable" dxfId="23"/>
      <tableStyleElement type="headerRow" dxfId="22"/>
    </tableStyle>
  </tableStyles>
  <colors>
    <mruColors>
      <color rgb="FF125C4F"/>
      <color rgb="FFFF3300"/>
      <color rgb="FFFFFF99"/>
      <color rgb="FF89F3DF"/>
      <color rgb="FFFEEBCA"/>
      <color rgb="FFFCD080"/>
      <color rgb="FFF29F05"/>
      <color rgb="FFE46C0A"/>
      <color rgb="FF3D1A78"/>
      <color rgb="FF1F9C85"/>
    </mruColors>
  </colors>
  <extLst>
    <ext xmlns:x14="http://schemas.microsoft.com/office/spreadsheetml/2009/9/main" uri="{46F421CA-312F-682f-3DD2-61675219B42D}">
      <x14:dxfs count="2">
        <dxf>
          <fill>
            <patternFill>
              <bgColor rgb="FFFFFFFF"/>
            </patternFill>
          </fill>
        </dxf>
        <dxf>
          <fill>
            <patternFill>
              <bgColor rgb="FFFFFFFF"/>
            </patternFill>
          </fill>
        </dxf>
      </x14:dxfs>
    </ext>
    <ext xmlns:x14="http://schemas.microsoft.com/office/spreadsheetml/2009/9/main" uri="{EB79DEF2-80B8-43e5-95BD-54CBDDF9020C}">
      <x14:slicerStyles defaultSlicerStyle="Slicer Style 2">
        <x14:slicerStyle name="Slicer Style 1">
          <x14:slicerStyleElements>
            <x14:slicerStyleElement type="selectedItemWithData" dxfId="1"/>
          </x14:slicerStyleElements>
        </x14:slicerStyle>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2CDCBB"/>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17302304883848"/>
          <c:y val="0.11303086904143504"/>
          <c:w val="0.68765395390232309"/>
          <c:h val="0.7514800119364714"/>
        </c:manualLayout>
      </c:layout>
      <c:doughnutChart>
        <c:varyColors val="1"/>
        <c:ser>
          <c:idx val="0"/>
          <c:order val="0"/>
          <c:spPr>
            <a:ln>
              <a:noFill/>
            </a:ln>
          </c:spPr>
          <c:dPt>
            <c:idx val="0"/>
            <c:bubble3D val="0"/>
            <c:spPr>
              <a:solidFill>
                <a:srgbClr val="1F9C85"/>
              </a:solidFill>
              <a:ln w="19050">
                <a:noFill/>
              </a:ln>
              <a:effectLst/>
            </c:spPr>
            <c:extLst>
              <c:ext xmlns:c16="http://schemas.microsoft.com/office/drawing/2014/chart" uri="{C3380CC4-5D6E-409C-BE32-E72D297353CC}">
                <c16:uniqueId val="{00000001-915D-4AC7-A98E-C3B7D84AB77A}"/>
              </c:ext>
            </c:extLst>
          </c:dPt>
          <c:dPt>
            <c:idx val="1"/>
            <c:bubble3D val="0"/>
            <c:spPr>
              <a:solidFill>
                <a:srgbClr val="125C4F"/>
              </a:solidFill>
              <a:ln w="19050">
                <a:noFill/>
              </a:ln>
              <a:effectLst/>
            </c:spPr>
            <c:extLst>
              <c:ext xmlns:c16="http://schemas.microsoft.com/office/drawing/2014/chart" uri="{C3380CC4-5D6E-409C-BE32-E72D297353CC}">
                <c16:uniqueId val="{00000003-915D-4AC7-A98E-C3B7D84AB77A}"/>
              </c:ext>
            </c:extLst>
          </c:dPt>
          <c:dLbls>
            <c:dLbl>
              <c:idx val="1"/>
              <c:delete val="1"/>
              <c:extLst>
                <c:ext xmlns:c15="http://schemas.microsoft.com/office/drawing/2012/chart" uri="{CE6537A1-D6FC-4f65-9D91-7224C49458BB}"/>
                <c:ext xmlns:c16="http://schemas.microsoft.com/office/drawing/2014/chart" uri="{C3380CC4-5D6E-409C-BE32-E72D297353CC}">
                  <c16:uniqueId val="{00000003-915D-4AC7-A98E-C3B7D84AB77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Pivot!$C$8:$D$8</c:f>
              <c:numCache>
                <c:formatCode>0%</c:formatCode>
                <c:ptCount val="2"/>
                <c:pt idx="0">
                  <c:v>1</c:v>
                </c:pt>
                <c:pt idx="1">
                  <c:v>0</c:v>
                </c:pt>
              </c:numCache>
            </c:numRef>
          </c:val>
          <c:extLst>
            <c:ext xmlns:c16="http://schemas.microsoft.com/office/drawing/2014/chart" uri="{C3380CC4-5D6E-409C-BE32-E72D297353CC}">
              <c16:uniqueId val="{00000004-915D-4AC7-A98E-C3B7D84AB77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[(SON).xlsx]Pivot!Date-ErrorRateAnalysis</c:name>
    <c:fmtId val="3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25C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85914260717409E-3"/>
          <c:y val="5.5555555555555552E-2"/>
          <c:w val="0.93888888888888888"/>
          <c:h val="0.77452172645086026"/>
        </c:manualLayout>
      </c:layout>
      <c:lineChart>
        <c:grouping val="standard"/>
        <c:varyColors val="0"/>
        <c:ser>
          <c:idx val="0"/>
          <c:order val="0"/>
          <c:tx>
            <c:strRef>
              <c:f>Pivot!$L$3</c:f>
              <c:strCache>
                <c:ptCount val="1"/>
                <c:pt idx="0">
                  <c:v>Toplam</c:v>
                </c:pt>
              </c:strCache>
            </c:strRef>
          </c:tx>
          <c:spPr>
            <a:ln w="28575" cap="rnd">
              <a:solidFill>
                <a:srgbClr val="125C4F"/>
              </a:solidFill>
              <a:round/>
            </a:ln>
            <a:effectLst/>
          </c:spPr>
          <c:marker>
            <c:symbol val="none"/>
          </c:marker>
          <c:cat>
            <c:strRef>
              <c:f>Pivot!$K$4:$K$294</c:f>
              <c:strCache>
                <c:ptCount val="290"/>
                <c:pt idx="0">
                  <c:v>01.Oca</c:v>
                </c:pt>
                <c:pt idx="1">
                  <c:v>03.Oca</c:v>
                </c:pt>
                <c:pt idx="2">
                  <c:v>04.Oca</c:v>
                </c:pt>
                <c:pt idx="3">
                  <c:v>05.Oca</c:v>
                </c:pt>
                <c:pt idx="4">
                  <c:v>06.Oca</c:v>
                </c:pt>
                <c:pt idx="5">
                  <c:v>07.Oca</c:v>
                </c:pt>
                <c:pt idx="6">
                  <c:v>08.Oca</c:v>
                </c:pt>
                <c:pt idx="7">
                  <c:v>09.Oca</c:v>
                </c:pt>
                <c:pt idx="8">
                  <c:v>10.Oca</c:v>
                </c:pt>
                <c:pt idx="9">
                  <c:v>11.Oca</c:v>
                </c:pt>
                <c:pt idx="10">
                  <c:v>12.Oca</c:v>
                </c:pt>
                <c:pt idx="11">
                  <c:v>14.Oca</c:v>
                </c:pt>
                <c:pt idx="12">
                  <c:v>15.Oca</c:v>
                </c:pt>
                <c:pt idx="13">
                  <c:v>16.Oca</c:v>
                </c:pt>
                <c:pt idx="14">
                  <c:v>17.Oca</c:v>
                </c:pt>
                <c:pt idx="15">
                  <c:v>18.Oca</c:v>
                </c:pt>
                <c:pt idx="16">
                  <c:v>19.Oca</c:v>
                </c:pt>
                <c:pt idx="17">
                  <c:v>20.Oca</c:v>
                </c:pt>
                <c:pt idx="18">
                  <c:v>21.Oca</c:v>
                </c:pt>
                <c:pt idx="19">
                  <c:v>22.Oca</c:v>
                </c:pt>
                <c:pt idx="20">
                  <c:v>23.Oca</c:v>
                </c:pt>
                <c:pt idx="21">
                  <c:v>24.Oca</c:v>
                </c:pt>
                <c:pt idx="22">
                  <c:v>25.Oca</c:v>
                </c:pt>
                <c:pt idx="23">
                  <c:v>26.Oca</c:v>
                </c:pt>
                <c:pt idx="24">
                  <c:v>27.Oca</c:v>
                </c:pt>
                <c:pt idx="25">
                  <c:v>28.Oca</c:v>
                </c:pt>
                <c:pt idx="26">
                  <c:v>29.Oca</c:v>
                </c:pt>
                <c:pt idx="27">
                  <c:v>30.Oca</c:v>
                </c:pt>
                <c:pt idx="28">
                  <c:v>31.Oca</c:v>
                </c:pt>
                <c:pt idx="29">
                  <c:v>01.Şub</c:v>
                </c:pt>
                <c:pt idx="30">
                  <c:v>02.Şub</c:v>
                </c:pt>
                <c:pt idx="31">
                  <c:v>04.Şub</c:v>
                </c:pt>
                <c:pt idx="32">
                  <c:v>05.Şub</c:v>
                </c:pt>
                <c:pt idx="33">
                  <c:v>06.Şub</c:v>
                </c:pt>
                <c:pt idx="34">
                  <c:v>07.Şub</c:v>
                </c:pt>
                <c:pt idx="35">
                  <c:v>08.Şub</c:v>
                </c:pt>
                <c:pt idx="36">
                  <c:v>09.Şub</c:v>
                </c:pt>
                <c:pt idx="37">
                  <c:v>10.Şub</c:v>
                </c:pt>
                <c:pt idx="38">
                  <c:v>11.Şub</c:v>
                </c:pt>
                <c:pt idx="39">
                  <c:v>12.Şub</c:v>
                </c:pt>
                <c:pt idx="40">
                  <c:v>13.Şub</c:v>
                </c:pt>
                <c:pt idx="41">
                  <c:v>14.Şub</c:v>
                </c:pt>
                <c:pt idx="42">
                  <c:v>15.Şub</c:v>
                </c:pt>
                <c:pt idx="43">
                  <c:v>16.Şub</c:v>
                </c:pt>
                <c:pt idx="44">
                  <c:v>17.Şub</c:v>
                </c:pt>
                <c:pt idx="45">
                  <c:v>18.Şub</c:v>
                </c:pt>
                <c:pt idx="46">
                  <c:v>19.Şub</c:v>
                </c:pt>
                <c:pt idx="47">
                  <c:v>20.Şub</c:v>
                </c:pt>
                <c:pt idx="48">
                  <c:v>21.Şub</c:v>
                </c:pt>
                <c:pt idx="49">
                  <c:v>22.Şub</c:v>
                </c:pt>
                <c:pt idx="50">
                  <c:v>23.Şub</c:v>
                </c:pt>
                <c:pt idx="51">
                  <c:v>24.Şub</c:v>
                </c:pt>
                <c:pt idx="52">
                  <c:v>25.Şub</c:v>
                </c:pt>
                <c:pt idx="53">
                  <c:v>26.Şub</c:v>
                </c:pt>
                <c:pt idx="54">
                  <c:v>27.Şub</c:v>
                </c:pt>
                <c:pt idx="55">
                  <c:v>28.Şub</c:v>
                </c:pt>
                <c:pt idx="56">
                  <c:v>29.Şub</c:v>
                </c:pt>
                <c:pt idx="57">
                  <c:v>01.Mar</c:v>
                </c:pt>
                <c:pt idx="58">
                  <c:v>02.Mar</c:v>
                </c:pt>
                <c:pt idx="59">
                  <c:v>03.Mar</c:v>
                </c:pt>
                <c:pt idx="60">
                  <c:v>05.Mar</c:v>
                </c:pt>
                <c:pt idx="61">
                  <c:v>06.Mar</c:v>
                </c:pt>
                <c:pt idx="62">
                  <c:v>07.Mar</c:v>
                </c:pt>
                <c:pt idx="63">
                  <c:v>08.Mar</c:v>
                </c:pt>
                <c:pt idx="64">
                  <c:v>09.Mar</c:v>
                </c:pt>
                <c:pt idx="65">
                  <c:v>10.Mar</c:v>
                </c:pt>
                <c:pt idx="66">
                  <c:v>11.Mar</c:v>
                </c:pt>
                <c:pt idx="67">
                  <c:v>12.Mar</c:v>
                </c:pt>
                <c:pt idx="68">
                  <c:v>14.Mar</c:v>
                </c:pt>
                <c:pt idx="69">
                  <c:v>15.Mar</c:v>
                </c:pt>
                <c:pt idx="70">
                  <c:v>16.Mar</c:v>
                </c:pt>
                <c:pt idx="71">
                  <c:v>17.Mar</c:v>
                </c:pt>
                <c:pt idx="72">
                  <c:v>18.Mar</c:v>
                </c:pt>
                <c:pt idx="73">
                  <c:v>19.Mar</c:v>
                </c:pt>
                <c:pt idx="74">
                  <c:v>20.Mar</c:v>
                </c:pt>
                <c:pt idx="75">
                  <c:v>21.Mar</c:v>
                </c:pt>
                <c:pt idx="76">
                  <c:v>22.Mar</c:v>
                </c:pt>
                <c:pt idx="77">
                  <c:v>23.Mar</c:v>
                </c:pt>
                <c:pt idx="78">
                  <c:v>24.Mar</c:v>
                </c:pt>
                <c:pt idx="79">
                  <c:v>25.Mar</c:v>
                </c:pt>
                <c:pt idx="80">
                  <c:v>26.Mar</c:v>
                </c:pt>
                <c:pt idx="81">
                  <c:v>27.Mar</c:v>
                </c:pt>
                <c:pt idx="82">
                  <c:v>28.Mar</c:v>
                </c:pt>
                <c:pt idx="83">
                  <c:v>29.Mar</c:v>
                </c:pt>
                <c:pt idx="84">
                  <c:v>30.Mar</c:v>
                </c:pt>
                <c:pt idx="85">
                  <c:v>31.Mar</c:v>
                </c:pt>
                <c:pt idx="86">
                  <c:v>01.Nis</c:v>
                </c:pt>
                <c:pt idx="87">
                  <c:v>02.Nis</c:v>
                </c:pt>
                <c:pt idx="88">
                  <c:v>03.Nis</c:v>
                </c:pt>
                <c:pt idx="89">
                  <c:v>04.Nis</c:v>
                </c:pt>
                <c:pt idx="90">
                  <c:v>05.Nis</c:v>
                </c:pt>
                <c:pt idx="91">
                  <c:v>06.Nis</c:v>
                </c:pt>
                <c:pt idx="92">
                  <c:v>07.Nis</c:v>
                </c:pt>
                <c:pt idx="93">
                  <c:v>08.Nis</c:v>
                </c:pt>
                <c:pt idx="94">
                  <c:v>09.Nis</c:v>
                </c:pt>
                <c:pt idx="95">
                  <c:v>10.Nis</c:v>
                </c:pt>
                <c:pt idx="96">
                  <c:v>11.Nis</c:v>
                </c:pt>
                <c:pt idx="97">
                  <c:v>12.Nis</c:v>
                </c:pt>
                <c:pt idx="98">
                  <c:v>13.Nis</c:v>
                </c:pt>
                <c:pt idx="99">
                  <c:v>14.Nis</c:v>
                </c:pt>
                <c:pt idx="100">
                  <c:v>15.Nis</c:v>
                </c:pt>
                <c:pt idx="101">
                  <c:v>16.Nis</c:v>
                </c:pt>
                <c:pt idx="102">
                  <c:v>17.Nis</c:v>
                </c:pt>
                <c:pt idx="103">
                  <c:v>18.Nis</c:v>
                </c:pt>
                <c:pt idx="104">
                  <c:v>19.Nis</c:v>
                </c:pt>
                <c:pt idx="105">
                  <c:v>20.Nis</c:v>
                </c:pt>
                <c:pt idx="106">
                  <c:v>21.Nis</c:v>
                </c:pt>
                <c:pt idx="107">
                  <c:v>22.Nis</c:v>
                </c:pt>
                <c:pt idx="108">
                  <c:v>23.Nis</c:v>
                </c:pt>
                <c:pt idx="109">
                  <c:v>24.Nis</c:v>
                </c:pt>
                <c:pt idx="110">
                  <c:v>25.Nis</c:v>
                </c:pt>
                <c:pt idx="111">
                  <c:v>26.Nis</c:v>
                </c:pt>
                <c:pt idx="112">
                  <c:v>27.Nis</c:v>
                </c:pt>
                <c:pt idx="113">
                  <c:v>28.Nis</c:v>
                </c:pt>
                <c:pt idx="114">
                  <c:v>29.Nis</c:v>
                </c:pt>
                <c:pt idx="115">
                  <c:v>30.Nis</c:v>
                </c:pt>
                <c:pt idx="116">
                  <c:v>01.May</c:v>
                </c:pt>
                <c:pt idx="117">
                  <c:v>02.May</c:v>
                </c:pt>
                <c:pt idx="118">
                  <c:v>03.May</c:v>
                </c:pt>
                <c:pt idx="119">
                  <c:v>04.May</c:v>
                </c:pt>
                <c:pt idx="120">
                  <c:v>06.May</c:v>
                </c:pt>
                <c:pt idx="121">
                  <c:v>07.May</c:v>
                </c:pt>
                <c:pt idx="122">
                  <c:v>08.May</c:v>
                </c:pt>
                <c:pt idx="123">
                  <c:v>09.May</c:v>
                </c:pt>
                <c:pt idx="124">
                  <c:v>10.May</c:v>
                </c:pt>
                <c:pt idx="125">
                  <c:v>11.May</c:v>
                </c:pt>
                <c:pt idx="126">
                  <c:v>12.May</c:v>
                </c:pt>
                <c:pt idx="127">
                  <c:v>13.May</c:v>
                </c:pt>
                <c:pt idx="128">
                  <c:v>14.May</c:v>
                </c:pt>
                <c:pt idx="129">
                  <c:v>15.May</c:v>
                </c:pt>
                <c:pt idx="130">
                  <c:v>16.May</c:v>
                </c:pt>
                <c:pt idx="131">
                  <c:v>17.May</c:v>
                </c:pt>
                <c:pt idx="132">
                  <c:v>18.May</c:v>
                </c:pt>
                <c:pt idx="133">
                  <c:v>19.May</c:v>
                </c:pt>
                <c:pt idx="134">
                  <c:v>20.May</c:v>
                </c:pt>
                <c:pt idx="135">
                  <c:v>21.May</c:v>
                </c:pt>
                <c:pt idx="136">
                  <c:v>23.May</c:v>
                </c:pt>
                <c:pt idx="137">
                  <c:v>24.May</c:v>
                </c:pt>
                <c:pt idx="138">
                  <c:v>25.May</c:v>
                </c:pt>
                <c:pt idx="139">
                  <c:v>26.May</c:v>
                </c:pt>
                <c:pt idx="140">
                  <c:v>27.May</c:v>
                </c:pt>
                <c:pt idx="141">
                  <c:v>28.May</c:v>
                </c:pt>
                <c:pt idx="142">
                  <c:v>29.May</c:v>
                </c:pt>
                <c:pt idx="143">
                  <c:v>30.May</c:v>
                </c:pt>
                <c:pt idx="144">
                  <c:v>31.May</c:v>
                </c:pt>
                <c:pt idx="145">
                  <c:v>01.Haz</c:v>
                </c:pt>
                <c:pt idx="146">
                  <c:v>02.Haz</c:v>
                </c:pt>
                <c:pt idx="147">
                  <c:v>03.Haz</c:v>
                </c:pt>
                <c:pt idx="148">
                  <c:v>04.Haz</c:v>
                </c:pt>
                <c:pt idx="149">
                  <c:v>05.Haz</c:v>
                </c:pt>
                <c:pt idx="150">
                  <c:v>06.Haz</c:v>
                </c:pt>
                <c:pt idx="151">
                  <c:v>07.Haz</c:v>
                </c:pt>
                <c:pt idx="152">
                  <c:v>08.Haz</c:v>
                </c:pt>
                <c:pt idx="153">
                  <c:v>09.Haz</c:v>
                </c:pt>
                <c:pt idx="154">
                  <c:v>10.Haz</c:v>
                </c:pt>
                <c:pt idx="155">
                  <c:v>11.Haz</c:v>
                </c:pt>
                <c:pt idx="156">
                  <c:v>12.Haz</c:v>
                </c:pt>
                <c:pt idx="157">
                  <c:v>13.Haz</c:v>
                </c:pt>
                <c:pt idx="158">
                  <c:v>14.Haz</c:v>
                </c:pt>
                <c:pt idx="159">
                  <c:v>15.Haz</c:v>
                </c:pt>
                <c:pt idx="160">
                  <c:v>16.Haz</c:v>
                </c:pt>
                <c:pt idx="161">
                  <c:v>18.Haz</c:v>
                </c:pt>
                <c:pt idx="162">
                  <c:v>20.Haz</c:v>
                </c:pt>
                <c:pt idx="163">
                  <c:v>21.Haz</c:v>
                </c:pt>
                <c:pt idx="164">
                  <c:v>22.Haz</c:v>
                </c:pt>
                <c:pt idx="165">
                  <c:v>23.Haz</c:v>
                </c:pt>
                <c:pt idx="166">
                  <c:v>24.Haz</c:v>
                </c:pt>
                <c:pt idx="167">
                  <c:v>25.Haz</c:v>
                </c:pt>
                <c:pt idx="168">
                  <c:v>26.Haz</c:v>
                </c:pt>
                <c:pt idx="169">
                  <c:v>27.Haz</c:v>
                </c:pt>
                <c:pt idx="170">
                  <c:v>28.Haz</c:v>
                </c:pt>
                <c:pt idx="171">
                  <c:v>29.Haz</c:v>
                </c:pt>
                <c:pt idx="172">
                  <c:v>30.Haz</c:v>
                </c:pt>
                <c:pt idx="173">
                  <c:v>01.Tem</c:v>
                </c:pt>
                <c:pt idx="174">
                  <c:v>02.Tem</c:v>
                </c:pt>
                <c:pt idx="175">
                  <c:v>03.Tem</c:v>
                </c:pt>
                <c:pt idx="176">
                  <c:v>04.Tem</c:v>
                </c:pt>
                <c:pt idx="177">
                  <c:v>05.Tem</c:v>
                </c:pt>
                <c:pt idx="178">
                  <c:v>06.Tem</c:v>
                </c:pt>
                <c:pt idx="179">
                  <c:v>07.Tem</c:v>
                </c:pt>
                <c:pt idx="180">
                  <c:v>08.Tem</c:v>
                </c:pt>
                <c:pt idx="181">
                  <c:v>09.Tem</c:v>
                </c:pt>
                <c:pt idx="182">
                  <c:v>10.Tem</c:v>
                </c:pt>
                <c:pt idx="183">
                  <c:v>11.Tem</c:v>
                </c:pt>
                <c:pt idx="184">
                  <c:v>12.Tem</c:v>
                </c:pt>
                <c:pt idx="185">
                  <c:v>13.Tem</c:v>
                </c:pt>
                <c:pt idx="186">
                  <c:v>14.Tem</c:v>
                </c:pt>
                <c:pt idx="187">
                  <c:v>15.Tem</c:v>
                </c:pt>
                <c:pt idx="188">
                  <c:v>16.Tem</c:v>
                </c:pt>
                <c:pt idx="189">
                  <c:v>17.Tem</c:v>
                </c:pt>
                <c:pt idx="190">
                  <c:v>18.Tem</c:v>
                </c:pt>
                <c:pt idx="191">
                  <c:v>19.Tem</c:v>
                </c:pt>
                <c:pt idx="192">
                  <c:v>20.Tem</c:v>
                </c:pt>
                <c:pt idx="193">
                  <c:v>21.Tem</c:v>
                </c:pt>
                <c:pt idx="194">
                  <c:v>22.Tem</c:v>
                </c:pt>
                <c:pt idx="195">
                  <c:v>23.Tem</c:v>
                </c:pt>
                <c:pt idx="196">
                  <c:v>24.Tem</c:v>
                </c:pt>
                <c:pt idx="197">
                  <c:v>25.Tem</c:v>
                </c:pt>
                <c:pt idx="198">
                  <c:v>26.Tem</c:v>
                </c:pt>
                <c:pt idx="199">
                  <c:v>27.Tem</c:v>
                </c:pt>
                <c:pt idx="200">
                  <c:v>28.Tem</c:v>
                </c:pt>
                <c:pt idx="201">
                  <c:v>29.Tem</c:v>
                </c:pt>
                <c:pt idx="202">
                  <c:v>30.Tem</c:v>
                </c:pt>
                <c:pt idx="203">
                  <c:v>31.Tem</c:v>
                </c:pt>
                <c:pt idx="204">
                  <c:v>01.Ağu</c:v>
                </c:pt>
                <c:pt idx="205">
                  <c:v>02.Ağu</c:v>
                </c:pt>
                <c:pt idx="206">
                  <c:v>03.Ağu</c:v>
                </c:pt>
                <c:pt idx="207">
                  <c:v>04.Ağu</c:v>
                </c:pt>
                <c:pt idx="208">
                  <c:v>05.Ağu</c:v>
                </c:pt>
                <c:pt idx="209">
                  <c:v>06.Ağu</c:v>
                </c:pt>
                <c:pt idx="210">
                  <c:v>07.Ağu</c:v>
                </c:pt>
                <c:pt idx="211">
                  <c:v>08.Ağu</c:v>
                </c:pt>
                <c:pt idx="212">
                  <c:v>09.Ağu</c:v>
                </c:pt>
                <c:pt idx="213">
                  <c:v>10.Ağu</c:v>
                </c:pt>
                <c:pt idx="214">
                  <c:v>11.Ağu</c:v>
                </c:pt>
                <c:pt idx="215">
                  <c:v>12.Ağu</c:v>
                </c:pt>
                <c:pt idx="216">
                  <c:v>13.Ağu</c:v>
                </c:pt>
                <c:pt idx="217">
                  <c:v>14.Ağu</c:v>
                </c:pt>
                <c:pt idx="218">
                  <c:v>15.Ağu</c:v>
                </c:pt>
                <c:pt idx="219">
                  <c:v>16.Ağu</c:v>
                </c:pt>
                <c:pt idx="220">
                  <c:v>17.Ağu</c:v>
                </c:pt>
                <c:pt idx="221">
                  <c:v>18.Ağu</c:v>
                </c:pt>
                <c:pt idx="222">
                  <c:v>19.Ağu</c:v>
                </c:pt>
                <c:pt idx="223">
                  <c:v>20.Ağu</c:v>
                </c:pt>
                <c:pt idx="224">
                  <c:v>21.Ağu</c:v>
                </c:pt>
                <c:pt idx="225">
                  <c:v>22.Ağu</c:v>
                </c:pt>
                <c:pt idx="226">
                  <c:v>23.Ağu</c:v>
                </c:pt>
                <c:pt idx="227">
                  <c:v>25.Ağu</c:v>
                </c:pt>
                <c:pt idx="228">
                  <c:v>27.Ağu</c:v>
                </c:pt>
                <c:pt idx="229">
                  <c:v>28.Ağu</c:v>
                </c:pt>
                <c:pt idx="230">
                  <c:v>29.Ağu</c:v>
                </c:pt>
                <c:pt idx="231">
                  <c:v>30.Ağu</c:v>
                </c:pt>
                <c:pt idx="232">
                  <c:v>31.Ağu</c:v>
                </c:pt>
                <c:pt idx="233">
                  <c:v>01.Eyl</c:v>
                </c:pt>
                <c:pt idx="234">
                  <c:v>02.Eyl</c:v>
                </c:pt>
                <c:pt idx="235">
                  <c:v>03.Eyl</c:v>
                </c:pt>
                <c:pt idx="236">
                  <c:v>04.Eyl</c:v>
                </c:pt>
                <c:pt idx="237">
                  <c:v>05.Eyl</c:v>
                </c:pt>
                <c:pt idx="238">
                  <c:v>06.Eyl</c:v>
                </c:pt>
                <c:pt idx="239">
                  <c:v>07.Eyl</c:v>
                </c:pt>
                <c:pt idx="240">
                  <c:v>08.Eyl</c:v>
                </c:pt>
                <c:pt idx="241">
                  <c:v>09.Eyl</c:v>
                </c:pt>
                <c:pt idx="242">
                  <c:v>10.Eyl</c:v>
                </c:pt>
                <c:pt idx="243">
                  <c:v>11.Eyl</c:v>
                </c:pt>
                <c:pt idx="244">
                  <c:v>12.Eyl</c:v>
                </c:pt>
                <c:pt idx="245">
                  <c:v>13.Eyl</c:v>
                </c:pt>
                <c:pt idx="246">
                  <c:v>14.Eyl</c:v>
                </c:pt>
                <c:pt idx="247">
                  <c:v>15.Eyl</c:v>
                </c:pt>
                <c:pt idx="248">
                  <c:v>16.Eyl</c:v>
                </c:pt>
                <c:pt idx="249">
                  <c:v>17.Eyl</c:v>
                </c:pt>
                <c:pt idx="250">
                  <c:v>18.Eyl</c:v>
                </c:pt>
                <c:pt idx="251">
                  <c:v>19.Eyl</c:v>
                </c:pt>
                <c:pt idx="252">
                  <c:v>20.Eyl</c:v>
                </c:pt>
                <c:pt idx="253">
                  <c:v>21.Eyl</c:v>
                </c:pt>
                <c:pt idx="254">
                  <c:v>22.Eyl</c:v>
                </c:pt>
                <c:pt idx="255">
                  <c:v>23.Eyl</c:v>
                </c:pt>
                <c:pt idx="256">
                  <c:v>24.Eyl</c:v>
                </c:pt>
                <c:pt idx="257">
                  <c:v>25.Eyl</c:v>
                </c:pt>
                <c:pt idx="258">
                  <c:v>26.Eyl</c:v>
                </c:pt>
                <c:pt idx="259">
                  <c:v>27.Eyl</c:v>
                </c:pt>
                <c:pt idx="260">
                  <c:v>28.Eyl</c:v>
                </c:pt>
                <c:pt idx="261">
                  <c:v>29.Eyl</c:v>
                </c:pt>
                <c:pt idx="262">
                  <c:v>30.Eyl</c:v>
                </c:pt>
                <c:pt idx="263">
                  <c:v>01.Eki</c:v>
                </c:pt>
                <c:pt idx="264">
                  <c:v>02.Eki</c:v>
                </c:pt>
                <c:pt idx="265">
                  <c:v>03.Eki</c:v>
                </c:pt>
                <c:pt idx="266">
                  <c:v>04.Eki</c:v>
                </c:pt>
                <c:pt idx="267">
                  <c:v>05.Eki</c:v>
                </c:pt>
                <c:pt idx="268">
                  <c:v>06.Eki</c:v>
                </c:pt>
                <c:pt idx="269">
                  <c:v>07.Eki</c:v>
                </c:pt>
                <c:pt idx="270">
                  <c:v>08.Eki</c:v>
                </c:pt>
                <c:pt idx="271">
                  <c:v>09.Eki</c:v>
                </c:pt>
                <c:pt idx="272">
                  <c:v>10.Eki</c:v>
                </c:pt>
                <c:pt idx="273">
                  <c:v>11.Eki</c:v>
                </c:pt>
                <c:pt idx="274">
                  <c:v>12.Eki</c:v>
                </c:pt>
                <c:pt idx="275">
                  <c:v>13.Eki</c:v>
                </c:pt>
                <c:pt idx="276">
                  <c:v>14.Eki</c:v>
                </c:pt>
                <c:pt idx="277">
                  <c:v>15.Eki</c:v>
                </c:pt>
                <c:pt idx="278">
                  <c:v>16.Eki</c:v>
                </c:pt>
                <c:pt idx="279">
                  <c:v>17.Eki</c:v>
                </c:pt>
                <c:pt idx="280">
                  <c:v>18.Eki</c:v>
                </c:pt>
                <c:pt idx="281">
                  <c:v>19.Eki</c:v>
                </c:pt>
                <c:pt idx="282">
                  <c:v>20.Eki</c:v>
                </c:pt>
                <c:pt idx="283">
                  <c:v>21.Eki</c:v>
                </c:pt>
                <c:pt idx="284">
                  <c:v>22.Eki</c:v>
                </c:pt>
                <c:pt idx="285">
                  <c:v>23.Eki</c:v>
                </c:pt>
                <c:pt idx="286">
                  <c:v>24.Eki</c:v>
                </c:pt>
                <c:pt idx="287">
                  <c:v>25.Eki</c:v>
                </c:pt>
                <c:pt idx="288">
                  <c:v>26.Eki</c:v>
                </c:pt>
                <c:pt idx="289">
                  <c:v>27.Eki</c:v>
                </c:pt>
              </c:strCache>
            </c:strRef>
          </c:cat>
          <c:val>
            <c:numRef>
              <c:f>Pivot!$L$4:$L$294</c:f>
              <c:numCache>
                <c:formatCode>0.00</c:formatCode>
                <c:ptCount val="290"/>
                <c:pt idx="0">
                  <c:v>5.0860000000000003</c:v>
                </c:pt>
                <c:pt idx="1">
                  <c:v>6.3233333333333333</c:v>
                </c:pt>
                <c:pt idx="2">
                  <c:v>4.8050000000000006</c:v>
                </c:pt>
                <c:pt idx="3">
                  <c:v>7.297142857142858</c:v>
                </c:pt>
                <c:pt idx="4">
                  <c:v>6.78</c:v>
                </c:pt>
                <c:pt idx="5">
                  <c:v>3.9966666666666666</c:v>
                </c:pt>
                <c:pt idx="6">
                  <c:v>12.123333333333333</c:v>
                </c:pt>
                <c:pt idx="7">
                  <c:v>3.0049999999999999</c:v>
                </c:pt>
                <c:pt idx="8">
                  <c:v>2.8624999999999998</c:v>
                </c:pt>
                <c:pt idx="9">
                  <c:v>10.25</c:v>
                </c:pt>
                <c:pt idx="10">
                  <c:v>3.9225000000000003</c:v>
                </c:pt>
                <c:pt idx="11">
                  <c:v>5.08</c:v>
                </c:pt>
                <c:pt idx="12">
                  <c:v>4.91</c:v>
                </c:pt>
                <c:pt idx="13">
                  <c:v>5.0199999999999996</c:v>
                </c:pt>
                <c:pt idx="14">
                  <c:v>10.004999999999999</c:v>
                </c:pt>
                <c:pt idx="15">
                  <c:v>9.3674999999999997</c:v>
                </c:pt>
                <c:pt idx="16">
                  <c:v>7.07</c:v>
                </c:pt>
                <c:pt idx="17">
                  <c:v>5.1150000000000002</c:v>
                </c:pt>
                <c:pt idx="18">
                  <c:v>5.0439999999999996</c:v>
                </c:pt>
                <c:pt idx="19">
                  <c:v>8.4300000000000015</c:v>
                </c:pt>
                <c:pt idx="20">
                  <c:v>6.7766666666666673</c:v>
                </c:pt>
                <c:pt idx="21">
                  <c:v>9.02</c:v>
                </c:pt>
                <c:pt idx="22">
                  <c:v>0.8</c:v>
                </c:pt>
                <c:pt idx="23">
                  <c:v>4.5350000000000001</c:v>
                </c:pt>
                <c:pt idx="24">
                  <c:v>10.975000000000001</c:v>
                </c:pt>
                <c:pt idx="25">
                  <c:v>8.6366666666666667</c:v>
                </c:pt>
                <c:pt idx="26">
                  <c:v>3.5500000000000003</c:v>
                </c:pt>
                <c:pt idx="27">
                  <c:v>10.06</c:v>
                </c:pt>
                <c:pt idx="28">
                  <c:v>4.37</c:v>
                </c:pt>
                <c:pt idx="29">
                  <c:v>1.1399999999999999</c:v>
                </c:pt>
                <c:pt idx="30">
                  <c:v>4.68</c:v>
                </c:pt>
                <c:pt idx="31">
                  <c:v>13.86</c:v>
                </c:pt>
                <c:pt idx="32">
                  <c:v>3.8600000000000003</c:v>
                </c:pt>
                <c:pt idx="33">
                  <c:v>15.284000000000001</c:v>
                </c:pt>
                <c:pt idx="34">
                  <c:v>1.53</c:v>
                </c:pt>
                <c:pt idx="35">
                  <c:v>5.4849999999999994</c:v>
                </c:pt>
                <c:pt idx="36">
                  <c:v>7.4320000000000004</c:v>
                </c:pt>
                <c:pt idx="37">
                  <c:v>6.3062499999999995</c:v>
                </c:pt>
                <c:pt idx="38">
                  <c:v>4.51</c:v>
                </c:pt>
                <c:pt idx="39">
                  <c:v>3.206666666666667</c:v>
                </c:pt>
                <c:pt idx="40">
                  <c:v>9.1333333333333329</c:v>
                </c:pt>
                <c:pt idx="41">
                  <c:v>7.69</c:v>
                </c:pt>
                <c:pt idx="42">
                  <c:v>5.0825000000000005</c:v>
                </c:pt>
                <c:pt idx="43">
                  <c:v>11.93</c:v>
                </c:pt>
                <c:pt idx="44">
                  <c:v>4.6099999999999994</c:v>
                </c:pt>
                <c:pt idx="45">
                  <c:v>6.1574999999999998</c:v>
                </c:pt>
                <c:pt idx="46">
                  <c:v>2.6875000000000004</c:v>
                </c:pt>
                <c:pt idx="47">
                  <c:v>6.4366666666666674</c:v>
                </c:pt>
                <c:pt idx="48">
                  <c:v>8.1599999999999984</c:v>
                </c:pt>
                <c:pt idx="49">
                  <c:v>11.68</c:v>
                </c:pt>
                <c:pt idx="50">
                  <c:v>4.51</c:v>
                </c:pt>
                <c:pt idx="51">
                  <c:v>5.6816666666666658</c:v>
                </c:pt>
                <c:pt idx="52">
                  <c:v>9.9499999999999993</c:v>
                </c:pt>
                <c:pt idx="53">
                  <c:v>12.94</c:v>
                </c:pt>
                <c:pt idx="54">
                  <c:v>10.86</c:v>
                </c:pt>
                <c:pt idx="55">
                  <c:v>4.4800000000000004</c:v>
                </c:pt>
                <c:pt idx="56">
                  <c:v>2.0900000000000003</c:v>
                </c:pt>
                <c:pt idx="57">
                  <c:v>5.0125000000000002</c:v>
                </c:pt>
                <c:pt idx="58">
                  <c:v>6.1825000000000001</c:v>
                </c:pt>
                <c:pt idx="59">
                  <c:v>17.010000000000002</c:v>
                </c:pt>
                <c:pt idx="60">
                  <c:v>2.58</c:v>
                </c:pt>
                <c:pt idx="61">
                  <c:v>5.415</c:v>
                </c:pt>
                <c:pt idx="62">
                  <c:v>8.0566666666666666</c:v>
                </c:pt>
                <c:pt idx="63">
                  <c:v>6.28</c:v>
                </c:pt>
                <c:pt idx="64">
                  <c:v>5.7739999999999991</c:v>
                </c:pt>
                <c:pt idx="65">
                  <c:v>5.9820000000000011</c:v>
                </c:pt>
                <c:pt idx="66">
                  <c:v>5.2249999999999996</c:v>
                </c:pt>
                <c:pt idx="67">
                  <c:v>4</c:v>
                </c:pt>
                <c:pt idx="68">
                  <c:v>4.6100000000000003</c:v>
                </c:pt>
                <c:pt idx="69">
                  <c:v>15.080000000000002</c:v>
                </c:pt>
                <c:pt idx="70">
                  <c:v>4.16</c:v>
                </c:pt>
                <c:pt idx="71">
                  <c:v>6.3179999999999996</c:v>
                </c:pt>
                <c:pt idx="72">
                  <c:v>2.665</c:v>
                </c:pt>
                <c:pt idx="73">
                  <c:v>1.53</c:v>
                </c:pt>
                <c:pt idx="74">
                  <c:v>4.2674999999999992</c:v>
                </c:pt>
                <c:pt idx="75">
                  <c:v>8.8475000000000001</c:v>
                </c:pt>
                <c:pt idx="76">
                  <c:v>3.7650000000000001</c:v>
                </c:pt>
                <c:pt idx="77">
                  <c:v>8.9799999999999986</c:v>
                </c:pt>
                <c:pt idx="78">
                  <c:v>3.5650000000000004</c:v>
                </c:pt>
                <c:pt idx="79">
                  <c:v>3.8250000000000002</c:v>
                </c:pt>
                <c:pt idx="80">
                  <c:v>6.7057142857142864</c:v>
                </c:pt>
                <c:pt idx="81">
                  <c:v>8.59</c:v>
                </c:pt>
                <c:pt idx="82">
                  <c:v>2.2250000000000001</c:v>
                </c:pt>
                <c:pt idx="83">
                  <c:v>4.5999999999999996</c:v>
                </c:pt>
                <c:pt idx="84">
                  <c:v>3.2640000000000002</c:v>
                </c:pt>
                <c:pt idx="85">
                  <c:v>3.6633333333333336</c:v>
                </c:pt>
                <c:pt idx="86">
                  <c:v>6.4459999999999997</c:v>
                </c:pt>
                <c:pt idx="87">
                  <c:v>8.0425000000000004</c:v>
                </c:pt>
                <c:pt idx="88">
                  <c:v>5.37</c:v>
                </c:pt>
                <c:pt idx="89">
                  <c:v>12.67</c:v>
                </c:pt>
                <c:pt idx="90">
                  <c:v>3.6125000000000007</c:v>
                </c:pt>
                <c:pt idx="91">
                  <c:v>8.7799999999999994</c:v>
                </c:pt>
                <c:pt idx="92">
                  <c:v>3.56</c:v>
                </c:pt>
                <c:pt idx="93">
                  <c:v>5.8774999999999995</c:v>
                </c:pt>
                <c:pt idx="94">
                  <c:v>3.4349999999999996</c:v>
                </c:pt>
                <c:pt idx="95">
                  <c:v>2.1150000000000002</c:v>
                </c:pt>
                <c:pt idx="96">
                  <c:v>3.5799999999999996</c:v>
                </c:pt>
                <c:pt idx="97">
                  <c:v>3.4349999999999996</c:v>
                </c:pt>
                <c:pt idx="98">
                  <c:v>3.1174999999999997</c:v>
                </c:pt>
                <c:pt idx="99">
                  <c:v>5.94</c:v>
                </c:pt>
                <c:pt idx="100">
                  <c:v>4.8966666666666656</c:v>
                </c:pt>
                <c:pt idx="101">
                  <c:v>7.13</c:v>
                </c:pt>
                <c:pt idx="102">
                  <c:v>8.5449999999999999</c:v>
                </c:pt>
                <c:pt idx="103">
                  <c:v>7.4250000000000007</c:v>
                </c:pt>
                <c:pt idx="104">
                  <c:v>2.44</c:v>
                </c:pt>
                <c:pt idx="105">
                  <c:v>3.25</c:v>
                </c:pt>
                <c:pt idx="106">
                  <c:v>2.25</c:v>
                </c:pt>
                <c:pt idx="107">
                  <c:v>6.1325000000000003</c:v>
                </c:pt>
                <c:pt idx="108">
                  <c:v>10.321666666666667</c:v>
                </c:pt>
                <c:pt idx="109">
                  <c:v>3.8800000000000003</c:v>
                </c:pt>
                <c:pt idx="110">
                  <c:v>2.56</c:v>
                </c:pt>
                <c:pt idx="111">
                  <c:v>7.1000000000000005</c:v>
                </c:pt>
                <c:pt idx="112">
                  <c:v>10.336666666666666</c:v>
                </c:pt>
                <c:pt idx="113">
                  <c:v>5.33</c:v>
                </c:pt>
                <c:pt idx="114">
                  <c:v>12.28</c:v>
                </c:pt>
                <c:pt idx="115">
                  <c:v>2.5325000000000002</c:v>
                </c:pt>
                <c:pt idx="116">
                  <c:v>2.12</c:v>
                </c:pt>
                <c:pt idx="117">
                  <c:v>9.44</c:v>
                </c:pt>
                <c:pt idx="118">
                  <c:v>17.655000000000001</c:v>
                </c:pt>
                <c:pt idx="119">
                  <c:v>6.2450000000000001</c:v>
                </c:pt>
                <c:pt idx="120">
                  <c:v>2.2566666666666664</c:v>
                </c:pt>
                <c:pt idx="121">
                  <c:v>4.0214285714285714</c:v>
                </c:pt>
                <c:pt idx="122">
                  <c:v>9.918333333333333</c:v>
                </c:pt>
                <c:pt idx="123">
                  <c:v>6.003333333333333</c:v>
                </c:pt>
                <c:pt idx="124">
                  <c:v>3.4600000000000004</c:v>
                </c:pt>
                <c:pt idx="125">
                  <c:v>5.508</c:v>
                </c:pt>
                <c:pt idx="126">
                  <c:v>5.5699999999999994</c:v>
                </c:pt>
                <c:pt idx="127">
                  <c:v>7.6719999999999997</c:v>
                </c:pt>
                <c:pt idx="128">
                  <c:v>4.5787499999999994</c:v>
                </c:pt>
                <c:pt idx="129">
                  <c:v>5.66</c:v>
                </c:pt>
                <c:pt idx="130">
                  <c:v>4.6974999999999998</c:v>
                </c:pt>
                <c:pt idx="131">
                  <c:v>6.1750000000000007</c:v>
                </c:pt>
                <c:pt idx="132">
                  <c:v>3</c:v>
                </c:pt>
                <c:pt idx="133">
                  <c:v>5.9233333333333347</c:v>
                </c:pt>
                <c:pt idx="134">
                  <c:v>5.9833333333333334</c:v>
                </c:pt>
                <c:pt idx="135">
                  <c:v>4.7240000000000002</c:v>
                </c:pt>
                <c:pt idx="136">
                  <c:v>5.1466666666666665</c:v>
                </c:pt>
                <c:pt idx="137">
                  <c:v>1.8149999999999999</c:v>
                </c:pt>
                <c:pt idx="138">
                  <c:v>3.6342857142857143</c:v>
                </c:pt>
                <c:pt idx="139">
                  <c:v>5.7850000000000001</c:v>
                </c:pt>
                <c:pt idx="140">
                  <c:v>10.47</c:v>
                </c:pt>
                <c:pt idx="141">
                  <c:v>4.0066666666666668</c:v>
                </c:pt>
                <c:pt idx="142">
                  <c:v>2.4950000000000001</c:v>
                </c:pt>
                <c:pt idx="143">
                  <c:v>2.4849999999999999</c:v>
                </c:pt>
                <c:pt idx="144">
                  <c:v>9.11</c:v>
                </c:pt>
                <c:pt idx="145">
                  <c:v>2.72</c:v>
                </c:pt>
                <c:pt idx="146">
                  <c:v>5.4859999999999998</c:v>
                </c:pt>
                <c:pt idx="147">
                  <c:v>12.61</c:v>
                </c:pt>
                <c:pt idx="148">
                  <c:v>3.4850000000000003</c:v>
                </c:pt>
                <c:pt idx="149">
                  <c:v>0.1</c:v>
                </c:pt>
                <c:pt idx="150">
                  <c:v>2.4649999999999999</c:v>
                </c:pt>
                <c:pt idx="151">
                  <c:v>4.54</c:v>
                </c:pt>
                <c:pt idx="152">
                  <c:v>4.3</c:v>
                </c:pt>
                <c:pt idx="153">
                  <c:v>5.0150000000000006</c:v>
                </c:pt>
                <c:pt idx="154">
                  <c:v>11.984285714285717</c:v>
                </c:pt>
                <c:pt idx="155">
                  <c:v>17.425000000000001</c:v>
                </c:pt>
                <c:pt idx="156">
                  <c:v>1.53</c:v>
                </c:pt>
                <c:pt idx="157">
                  <c:v>7.0066666666666668</c:v>
                </c:pt>
                <c:pt idx="158">
                  <c:v>4.8499999999999996</c:v>
                </c:pt>
                <c:pt idx="159">
                  <c:v>5.6916666666666664</c:v>
                </c:pt>
                <c:pt idx="160">
                  <c:v>5.64</c:v>
                </c:pt>
                <c:pt idx="161">
                  <c:v>1.91</c:v>
                </c:pt>
                <c:pt idx="162">
                  <c:v>4.4000000000000004</c:v>
                </c:pt>
                <c:pt idx="163">
                  <c:v>12.989999999999997</c:v>
                </c:pt>
                <c:pt idx="164">
                  <c:v>3.9499999999999997</c:v>
                </c:pt>
                <c:pt idx="165">
                  <c:v>0.54</c:v>
                </c:pt>
                <c:pt idx="166">
                  <c:v>7.0520000000000014</c:v>
                </c:pt>
                <c:pt idx="167">
                  <c:v>5.2350000000000003</c:v>
                </c:pt>
                <c:pt idx="168">
                  <c:v>4.3499999999999996</c:v>
                </c:pt>
                <c:pt idx="169">
                  <c:v>17.52</c:v>
                </c:pt>
                <c:pt idx="170">
                  <c:v>4.5649999999999995</c:v>
                </c:pt>
                <c:pt idx="171">
                  <c:v>9.44</c:v>
                </c:pt>
                <c:pt idx="172">
                  <c:v>3.335</c:v>
                </c:pt>
                <c:pt idx="173">
                  <c:v>2.835</c:v>
                </c:pt>
                <c:pt idx="174">
                  <c:v>13.383333333333335</c:v>
                </c:pt>
                <c:pt idx="175">
                  <c:v>8.112857142857143</c:v>
                </c:pt>
                <c:pt idx="176">
                  <c:v>1.6274999999999999</c:v>
                </c:pt>
                <c:pt idx="177">
                  <c:v>5.8966666666666674</c:v>
                </c:pt>
                <c:pt idx="178">
                  <c:v>4.7466666666666661</c:v>
                </c:pt>
                <c:pt idx="179">
                  <c:v>6.41</c:v>
                </c:pt>
                <c:pt idx="180">
                  <c:v>3.7725</c:v>
                </c:pt>
                <c:pt idx="181">
                  <c:v>5.33</c:v>
                </c:pt>
                <c:pt idx="182">
                  <c:v>2.9</c:v>
                </c:pt>
                <c:pt idx="183">
                  <c:v>6.8449999999999998</c:v>
                </c:pt>
                <c:pt idx="184">
                  <c:v>9.7259999999999991</c:v>
                </c:pt>
                <c:pt idx="185">
                  <c:v>11.525</c:v>
                </c:pt>
                <c:pt idx="186">
                  <c:v>8.4499999999999993</c:v>
                </c:pt>
                <c:pt idx="187">
                  <c:v>1.48</c:v>
                </c:pt>
                <c:pt idx="188">
                  <c:v>4.55</c:v>
                </c:pt>
                <c:pt idx="189">
                  <c:v>6.416666666666667</c:v>
                </c:pt>
                <c:pt idx="190">
                  <c:v>8.3324999999999996</c:v>
                </c:pt>
                <c:pt idx="191">
                  <c:v>3.38</c:v>
                </c:pt>
                <c:pt idx="192">
                  <c:v>11.540000000000001</c:v>
                </c:pt>
                <c:pt idx="193">
                  <c:v>10.542</c:v>
                </c:pt>
                <c:pt idx="194">
                  <c:v>8.7687499999999989</c:v>
                </c:pt>
                <c:pt idx="195">
                  <c:v>4.8840000000000003</c:v>
                </c:pt>
                <c:pt idx="196">
                  <c:v>4.7725</c:v>
                </c:pt>
                <c:pt idx="197">
                  <c:v>2.98</c:v>
                </c:pt>
                <c:pt idx="198">
                  <c:v>8.7279999999999998</c:v>
                </c:pt>
                <c:pt idx="199">
                  <c:v>1.76</c:v>
                </c:pt>
                <c:pt idx="200">
                  <c:v>3.4166666666666665</c:v>
                </c:pt>
                <c:pt idx="201">
                  <c:v>4.7075000000000005</c:v>
                </c:pt>
                <c:pt idx="202">
                  <c:v>3.672857142857143</c:v>
                </c:pt>
                <c:pt idx="203">
                  <c:v>7.583333333333333</c:v>
                </c:pt>
                <c:pt idx="204">
                  <c:v>4.24</c:v>
                </c:pt>
                <c:pt idx="205">
                  <c:v>5.2549999999999999</c:v>
                </c:pt>
                <c:pt idx="206">
                  <c:v>5.2874999999999996</c:v>
                </c:pt>
                <c:pt idx="207">
                  <c:v>4.3274999999999997</c:v>
                </c:pt>
                <c:pt idx="208">
                  <c:v>13.015000000000001</c:v>
                </c:pt>
                <c:pt idx="209">
                  <c:v>8.5549999999999997</c:v>
                </c:pt>
                <c:pt idx="210">
                  <c:v>2.0499999999999998</c:v>
                </c:pt>
                <c:pt idx="211">
                  <c:v>3.7650000000000001</c:v>
                </c:pt>
                <c:pt idx="212">
                  <c:v>0.54500000000000004</c:v>
                </c:pt>
                <c:pt idx="213">
                  <c:v>7.1140000000000017</c:v>
                </c:pt>
                <c:pt idx="214">
                  <c:v>0.5</c:v>
                </c:pt>
                <c:pt idx="215">
                  <c:v>5.2374999999999998</c:v>
                </c:pt>
                <c:pt idx="216">
                  <c:v>4.12</c:v>
                </c:pt>
                <c:pt idx="217">
                  <c:v>6.4859999999999998</c:v>
                </c:pt>
                <c:pt idx="218">
                  <c:v>20.12</c:v>
                </c:pt>
                <c:pt idx="219">
                  <c:v>4.6150000000000002</c:v>
                </c:pt>
                <c:pt idx="220">
                  <c:v>2.7199999999999998</c:v>
                </c:pt>
                <c:pt idx="221">
                  <c:v>3.6225000000000001</c:v>
                </c:pt>
                <c:pt idx="222">
                  <c:v>1.24</c:v>
                </c:pt>
                <c:pt idx="223">
                  <c:v>4.1475</c:v>
                </c:pt>
                <c:pt idx="224">
                  <c:v>19.03</c:v>
                </c:pt>
                <c:pt idx="225">
                  <c:v>1.2566666666666666</c:v>
                </c:pt>
                <c:pt idx="226">
                  <c:v>4.8149999999999995</c:v>
                </c:pt>
                <c:pt idx="227">
                  <c:v>7.333333333333333</c:v>
                </c:pt>
                <c:pt idx="228">
                  <c:v>3.5566666666666666</c:v>
                </c:pt>
                <c:pt idx="229">
                  <c:v>7.5466666666666669</c:v>
                </c:pt>
                <c:pt idx="230">
                  <c:v>5.4450000000000003</c:v>
                </c:pt>
                <c:pt idx="231">
                  <c:v>4.9633333333333338</c:v>
                </c:pt>
                <c:pt idx="232">
                  <c:v>10.626666666666667</c:v>
                </c:pt>
                <c:pt idx="233">
                  <c:v>6.6833333333333336</c:v>
                </c:pt>
                <c:pt idx="234">
                  <c:v>7.58</c:v>
                </c:pt>
                <c:pt idx="235">
                  <c:v>6.1809999999999992</c:v>
                </c:pt>
                <c:pt idx="236">
                  <c:v>4.9340000000000002</c:v>
                </c:pt>
                <c:pt idx="237">
                  <c:v>4.5449999999999999</c:v>
                </c:pt>
                <c:pt idx="238">
                  <c:v>6.2</c:v>
                </c:pt>
                <c:pt idx="239">
                  <c:v>7.8849999999999998</c:v>
                </c:pt>
                <c:pt idx="240">
                  <c:v>1.865</c:v>
                </c:pt>
                <c:pt idx="241">
                  <c:v>12.456666666666665</c:v>
                </c:pt>
                <c:pt idx="242">
                  <c:v>9</c:v>
                </c:pt>
                <c:pt idx="243">
                  <c:v>5.28</c:v>
                </c:pt>
                <c:pt idx="244">
                  <c:v>5.9659999999999993</c:v>
                </c:pt>
                <c:pt idx="245">
                  <c:v>19.53</c:v>
                </c:pt>
                <c:pt idx="246">
                  <c:v>6.8</c:v>
                </c:pt>
                <c:pt idx="247">
                  <c:v>6.8500000000000005</c:v>
                </c:pt>
                <c:pt idx="248">
                  <c:v>8.4766666666666666</c:v>
                </c:pt>
                <c:pt idx="249">
                  <c:v>1.02</c:v>
                </c:pt>
                <c:pt idx="250">
                  <c:v>6.6966666666666663</c:v>
                </c:pt>
                <c:pt idx="251">
                  <c:v>12.024999999999999</c:v>
                </c:pt>
                <c:pt idx="252">
                  <c:v>3.9699999999999998</c:v>
                </c:pt>
                <c:pt idx="253">
                  <c:v>8.4500000000000011</c:v>
                </c:pt>
                <c:pt idx="254">
                  <c:v>12.493333333333334</c:v>
                </c:pt>
                <c:pt idx="255">
                  <c:v>4.6916666666666655</c:v>
                </c:pt>
                <c:pt idx="256">
                  <c:v>12.965999999999999</c:v>
                </c:pt>
                <c:pt idx="257">
                  <c:v>7.088000000000001</c:v>
                </c:pt>
                <c:pt idx="258">
                  <c:v>8.2249999999999996</c:v>
                </c:pt>
                <c:pt idx="259">
                  <c:v>13.48</c:v>
                </c:pt>
                <c:pt idx="260">
                  <c:v>3.2800000000000002</c:v>
                </c:pt>
                <c:pt idx="261">
                  <c:v>13.19</c:v>
                </c:pt>
                <c:pt idx="262">
                  <c:v>9.2959999999999994</c:v>
                </c:pt>
                <c:pt idx="263">
                  <c:v>6.2566666666666668</c:v>
                </c:pt>
                <c:pt idx="264">
                  <c:v>13.133333333333333</c:v>
                </c:pt>
                <c:pt idx="265">
                  <c:v>6.3757142857142863</c:v>
                </c:pt>
                <c:pt idx="266">
                  <c:v>2.3233333333333337</c:v>
                </c:pt>
                <c:pt idx="267">
                  <c:v>6.4279999999999999</c:v>
                </c:pt>
                <c:pt idx="268">
                  <c:v>2.56</c:v>
                </c:pt>
                <c:pt idx="269">
                  <c:v>2.722</c:v>
                </c:pt>
                <c:pt idx="270">
                  <c:v>6.6483333333333334</c:v>
                </c:pt>
                <c:pt idx="271">
                  <c:v>15.713333333333333</c:v>
                </c:pt>
                <c:pt idx="272">
                  <c:v>8.8833333333333329</c:v>
                </c:pt>
                <c:pt idx="273">
                  <c:v>3.76</c:v>
                </c:pt>
                <c:pt idx="274">
                  <c:v>2.3766666666666665</c:v>
                </c:pt>
                <c:pt idx="275">
                  <c:v>5.9450000000000003</c:v>
                </c:pt>
                <c:pt idx="276">
                  <c:v>14.07</c:v>
                </c:pt>
                <c:pt idx="277">
                  <c:v>6.0950000000000006</c:v>
                </c:pt>
                <c:pt idx="278">
                  <c:v>6.25</c:v>
                </c:pt>
                <c:pt idx="279">
                  <c:v>4.6500000000000004</c:v>
                </c:pt>
                <c:pt idx="280">
                  <c:v>10.96</c:v>
                </c:pt>
                <c:pt idx="281">
                  <c:v>9.27</c:v>
                </c:pt>
                <c:pt idx="282">
                  <c:v>11.006666666666668</c:v>
                </c:pt>
                <c:pt idx="283">
                  <c:v>5.9537499999999994</c:v>
                </c:pt>
                <c:pt idx="284">
                  <c:v>6.1542857142857139</c:v>
                </c:pt>
                <c:pt idx="285">
                  <c:v>0.91500000000000004</c:v>
                </c:pt>
                <c:pt idx="286">
                  <c:v>10.966666666666669</c:v>
                </c:pt>
                <c:pt idx="287">
                  <c:v>1.6333333333333335</c:v>
                </c:pt>
                <c:pt idx="288">
                  <c:v>4.9450000000000003</c:v>
                </c:pt>
                <c:pt idx="289">
                  <c:v>9.8975000000000009</c:v>
                </c:pt>
              </c:numCache>
            </c:numRef>
          </c:val>
          <c:smooth val="0"/>
          <c:extLst>
            <c:ext xmlns:c16="http://schemas.microsoft.com/office/drawing/2014/chart" uri="{C3380CC4-5D6E-409C-BE32-E72D297353CC}">
              <c16:uniqueId val="{00000000-0C99-48C9-AC0F-62E8B5F56F3B}"/>
            </c:ext>
          </c:extLst>
        </c:ser>
        <c:dLbls>
          <c:showLegendKey val="0"/>
          <c:showVal val="0"/>
          <c:showCatName val="0"/>
          <c:showSerName val="0"/>
          <c:showPercent val="0"/>
          <c:showBubbleSize val="0"/>
        </c:dLbls>
        <c:smooth val="0"/>
        <c:axId val="253616975"/>
        <c:axId val="253617455"/>
      </c:lineChart>
      <c:catAx>
        <c:axId val="25361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25C4F"/>
                </a:solidFill>
                <a:latin typeface="+mn-lt"/>
                <a:ea typeface="+mn-ea"/>
                <a:cs typeface="+mn-cs"/>
              </a:defRPr>
            </a:pPr>
            <a:endParaRPr lang="en-US"/>
          </a:p>
        </c:txPr>
        <c:crossAx val="253617455"/>
        <c:crosses val="autoZero"/>
        <c:auto val="1"/>
        <c:lblAlgn val="ctr"/>
        <c:lblOffset val="100"/>
        <c:noMultiLvlLbl val="0"/>
      </c:catAx>
      <c:valAx>
        <c:axId val="253617455"/>
        <c:scaling>
          <c:orientation val="minMax"/>
        </c:scaling>
        <c:delete val="1"/>
        <c:axPos val="l"/>
        <c:numFmt formatCode="0.00" sourceLinked="1"/>
        <c:majorTickMark val="out"/>
        <c:minorTickMark val="none"/>
        <c:tickLblPos val="nextTo"/>
        <c:crossAx val="2536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EDF6-45D8-B57C-9A7CFA182C17}"/>
              </c:ext>
            </c:extLst>
          </c:dPt>
          <c:dPt>
            <c:idx val="1"/>
            <c:bubble3D val="0"/>
            <c:spPr>
              <a:noFill/>
              <a:ln w="19050">
                <a:noFill/>
              </a:ln>
              <a:effectLst/>
            </c:spPr>
            <c:extLst>
              <c:ext xmlns:c16="http://schemas.microsoft.com/office/drawing/2014/chart" uri="{C3380CC4-5D6E-409C-BE32-E72D297353CC}">
                <c16:uniqueId val="{00000003-EDF6-45D8-B57C-9A7CFA182C17}"/>
              </c:ext>
            </c:extLst>
          </c:dPt>
          <c:dLbls>
            <c:dLbl>
              <c:idx val="1"/>
              <c:delete val="1"/>
              <c:extLst>
                <c:ext xmlns:c15="http://schemas.microsoft.com/office/drawing/2012/chart" uri="{CE6537A1-D6FC-4f65-9D91-7224C49458BB}"/>
                <c:ext xmlns:c16="http://schemas.microsoft.com/office/drawing/2014/chart" uri="{C3380CC4-5D6E-409C-BE32-E72D297353CC}">
                  <c16:uniqueId val="{00000003-EDF6-45D8-B57C-9A7CFA182C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Pivot!$H$4:$I$4</c:f>
              <c:numCache>
                <c:formatCode>0%</c:formatCode>
                <c:ptCount val="2"/>
                <c:pt idx="0">
                  <c:v>1</c:v>
                </c:pt>
                <c:pt idx="1">
                  <c:v>0</c:v>
                </c:pt>
              </c:numCache>
            </c:numRef>
          </c:val>
          <c:extLst>
            <c:ext xmlns:c16="http://schemas.microsoft.com/office/drawing/2014/chart" uri="{C3380CC4-5D6E-409C-BE32-E72D297353CC}">
              <c16:uniqueId val="{00000004-EDF6-45D8-B57C-9A7CFA182C1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2"/>
          <c:tx>
            <c:strRef>
              <c:f>Pivot!$DF$3</c:f>
              <c:strCache>
                <c:ptCount val="1"/>
                <c:pt idx="0">
                  <c:v>countifs</c:v>
                </c:pt>
              </c:strCache>
            </c:strRef>
          </c:tx>
          <c:spPr>
            <a:solidFill>
              <a:schemeClr val="accent3"/>
            </a:solidFill>
            <a:ln>
              <a:noFill/>
            </a:ln>
            <a:effectLst/>
          </c:spPr>
          <c:invertIfNegative val="0"/>
          <c:val>
            <c:numRef>
              <c:f>Pivot!$DF$4:$DF$14</c:f>
              <c:numCache>
                <c:formatCode>General</c:formatCode>
                <c:ptCount val="11"/>
                <c:pt idx="0">
                  <c:v>0</c:v>
                </c:pt>
                <c:pt idx="1">
                  <c:v>55</c:v>
                </c:pt>
                <c:pt idx="2">
                  <c:v>112</c:v>
                </c:pt>
                <c:pt idx="3">
                  <c:v>106</c:v>
                </c:pt>
                <c:pt idx="4">
                  <c:v>110</c:v>
                </c:pt>
                <c:pt idx="5">
                  <c:v>106</c:v>
                </c:pt>
                <c:pt idx="6">
                  <c:v>118</c:v>
                </c:pt>
                <c:pt idx="7">
                  <c:v>90</c:v>
                </c:pt>
                <c:pt idx="8">
                  <c:v>89</c:v>
                </c:pt>
                <c:pt idx="9">
                  <c:v>105</c:v>
                </c:pt>
                <c:pt idx="10">
                  <c:v>109</c:v>
                </c:pt>
              </c:numCache>
            </c:numRef>
          </c:val>
          <c:extLst>
            <c:ext xmlns:c16="http://schemas.microsoft.com/office/drawing/2014/chart" uri="{C3380CC4-5D6E-409C-BE32-E72D297353CC}">
              <c16:uniqueId val="{00000000-8C4C-4E28-B756-B5BE89B4FAC8}"/>
            </c:ext>
          </c:extLst>
        </c:ser>
        <c:dLbls>
          <c:showLegendKey val="0"/>
          <c:showVal val="0"/>
          <c:showCatName val="0"/>
          <c:showSerName val="0"/>
          <c:showPercent val="0"/>
          <c:showBubbleSize val="0"/>
        </c:dLbls>
        <c:gapWidth val="219"/>
        <c:overlap val="100"/>
        <c:axId val="138602255"/>
        <c:axId val="138600815"/>
      </c:barChart>
      <c:lineChart>
        <c:grouping val="standard"/>
        <c:varyColors val="0"/>
        <c:ser>
          <c:idx val="0"/>
          <c:order val="0"/>
          <c:tx>
            <c:strRef>
              <c:f>Pivot!$DD$3</c:f>
              <c:strCache>
                <c:ptCount val="1"/>
                <c:pt idx="0">
                  <c:v>normdist</c:v>
                </c:pt>
              </c:strCache>
            </c:strRef>
          </c:tx>
          <c:spPr>
            <a:ln w="28575" cap="rnd">
              <a:solidFill>
                <a:schemeClr val="accent1"/>
              </a:solidFill>
              <a:round/>
            </a:ln>
            <a:effectLst/>
          </c:spPr>
          <c:marker>
            <c:symbol val="none"/>
          </c:marker>
          <c:val>
            <c:numRef>
              <c:f>Pivot!$DD$4:$DD$14</c:f>
              <c:numCache>
                <c:formatCode>0.00000</c:formatCode>
                <c:ptCount val="11"/>
                <c:pt idx="0">
                  <c:v>1.2441598592351144E-2</c:v>
                </c:pt>
                <c:pt idx="1">
                  <c:v>2.3031727912103513E-2</c:v>
                </c:pt>
                <c:pt idx="2">
                  <c:v>3.7366807952180968E-2</c:v>
                </c:pt>
                <c:pt idx="3">
                  <c:v>5.3131811279245551E-2</c:v>
                </c:pt>
                <c:pt idx="4">
                  <c:v>6.6211341260927217E-2</c:v>
                </c:pt>
                <c:pt idx="5">
                  <c:v>7.2313485099237046E-2</c:v>
                </c:pt>
                <c:pt idx="6">
                  <c:v>6.9217409621967027E-2</c:v>
                </c:pt>
                <c:pt idx="7">
                  <c:v>5.8065816170316614E-2</c:v>
                </c:pt>
                <c:pt idx="8">
                  <c:v>4.2690856703023423E-2</c:v>
                </c:pt>
                <c:pt idx="9">
                  <c:v>2.7507957723653952E-2</c:v>
                </c:pt>
                <c:pt idx="10">
                  <c:v>1.5534274282897638E-2</c:v>
                </c:pt>
              </c:numCache>
            </c:numRef>
          </c:val>
          <c:smooth val="0"/>
          <c:extLst>
            <c:ext xmlns:c16="http://schemas.microsoft.com/office/drawing/2014/chart" uri="{C3380CC4-5D6E-409C-BE32-E72D297353CC}">
              <c16:uniqueId val="{00000001-8C4C-4E28-B756-B5BE89B4FAC8}"/>
            </c:ext>
          </c:extLst>
        </c:ser>
        <c:ser>
          <c:idx val="1"/>
          <c:order val="1"/>
          <c:tx>
            <c:strRef>
              <c:f>Pivot!$DE$3</c:f>
              <c:strCache>
                <c:ptCount val="1"/>
                <c:pt idx="0">
                  <c:v>uniform</c:v>
                </c:pt>
              </c:strCache>
            </c:strRef>
          </c:tx>
          <c:spPr>
            <a:ln w="28575" cap="rnd">
              <a:solidFill>
                <a:schemeClr val="accent2"/>
              </a:solidFill>
              <a:round/>
            </a:ln>
            <a:effectLst/>
          </c:spPr>
          <c:marker>
            <c:symbol val="none"/>
          </c:marker>
          <c:val>
            <c:numRef>
              <c:f>Pivot!$DE$4:$DE$14</c:f>
              <c:numCache>
                <c:formatCode>General</c:formatCode>
                <c:ptCount val="11"/>
                <c:pt idx="0">
                  <c:v>0.05</c:v>
                </c:pt>
                <c:pt idx="1">
                  <c:v>0.05</c:v>
                </c:pt>
                <c:pt idx="2">
                  <c:v>0.05</c:v>
                </c:pt>
                <c:pt idx="3">
                  <c:v>0.05</c:v>
                </c:pt>
                <c:pt idx="4">
                  <c:v>0.05</c:v>
                </c:pt>
                <c:pt idx="5">
                  <c:v>0.05</c:v>
                </c:pt>
                <c:pt idx="6">
                  <c:v>0.05</c:v>
                </c:pt>
                <c:pt idx="7">
                  <c:v>0.05</c:v>
                </c:pt>
                <c:pt idx="8">
                  <c:v>0.05</c:v>
                </c:pt>
                <c:pt idx="9">
                  <c:v>0.05</c:v>
                </c:pt>
                <c:pt idx="10">
                  <c:v>0.05</c:v>
                </c:pt>
              </c:numCache>
            </c:numRef>
          </c:val>
          <c:smooth val="0"/>
          <c:extLst>
            <c:ext xmlns:c16="http://schemas.microsoft.com/office/drawing/2014/chart" uri="{C3380CC4-5D6E-409C-BE32-E72D297353CC}">
              <c16:uniqueId val="{00000002-8C4C-4E28-B756-B5BE89B4FAC8}"/>
            </c:ext>
          </c:extLst>
        </c:ser>
        <c:dLbls>
          <c:showLegendKey val="0"/>
          <c:showVal val="0"/>
          <c:showCatName val="0"/>
          <c:showSerName val="0"/>
          <c:showPercent val="0"/>
          <c:showBubbleSize val="0"/>
        </c:dLbls>
        <c:marker val="1"/>
        <c:smooth val="0"/>
        <c:axId val="1991282271"/>
        <c:axId val="1207238911"/>
      </c:lineChart>
      <c:catAx>
        <c:axId val="1386022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8600815"/>
        <c:crosses val="autoZero"/>
        <c:auto val="1"/>
        <c:lblAlgn val="ctr"/>
        <c:lblOffset val="100"/>
        <c:noMultiLvlLbl val="0"/>
      </c:catAx>
      <c:valAx>
        <c:axId val="13860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8602255"/>
        <c:crosses val="autoZero"/>
        <c:crossBetween val="between"/>
      </c:valAx>
      <c:valAx>
        <c:axId val="1207238911"/>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1282271"/>
        <c:crosses val="max"/>
        <c:crossBetween val="between"/>
      </c:valAx>
      <c:catAx>
        <c:axId val="1991282271"/>
        <c:scaling>
          <c:orientation val="minMax"/>
        </c:scaling>
        <c:delete val="1"/>
        <c:axPos val="b"/>
        <c:majorTickMark val="out"/>
        <c:minorTickMark val="none"/>
        <c:tickLblPos val="nextTo"/>
        <c:crossAx val="1207238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45351836420015"/>
          <c:y val="5.0925925925925923E-2"/>
          <c:w val="0.76121313129595292"/>
          <c:h val="0.73577136191309422"/>
        </c:manualLayout>
      </c:layout>
      <c:barChart>
        <c:barDir val="bar"/>
        <c:grouping val="stacked"/>
        <c:varyColors val="0"/>
        <c:ser>
          <c:idx val="0"/>
          <c:order val="0"/>
          <c:tx>
            <c:strRef>
              <c:f>Pivot!$CL$4</c:f>
              <c:strCache>
                <c:ptCount val="1"/>
                <c:pt idx="0">
                  <c:v>High Quality</c:v>
                </c:pt>
              </c:strCache>
            </c:strRef>
          </c:tx>
          <c:spPr>
            <a:solidFill>
              <a:schemeClr val="accent1"/>
            </a:solidFill>
            <a:ln>
              <a:noFill/>
            </a:ln>
            <a:effectLst/>
          </c:spPr>
          <c:invertIfNegative val="0"/>
          <c:cat>
            <c:strRef>
              <c:f>Pivot!$CK$5:$CK$10</c:f>
              <c:strCache>
                <c:ptCount val="6"/>
                <c:pt idx="0">
                  <c:v>Boya</c:v>
                </c:pt>
                <c:pt idx="1">
                  <c:v>CNC</c:v>
                </c:pt>
                <c:pt idx="2">
                  <c:v>Kaynak</c:v>
                </c:pt>
                <c:pt idx="3">
                  <c:v>Montaj</c:v>
                </c:pt>
                <c:pt idx="4">
                  <c:v>Paketleme</c:v>
                </c:pt>
                <c:pt idx="5">
                  <c:v>Pres</c:v>
                </c:pt>
              </c:strCache>
            </c:strRef>
          </c:cat>
          <c:val>
            <c:numRef>
              <c:f>Pivot!$CL$5:$CL$10</c:f>
              <c:numCache>
                <c:formatCode>General</c:formatCode>
                <c:ptCount val="6"/>
                <c:pt idx="0">
                  <c:v>43</c:v>
                </c:pt>
                <c:pt idx="1">
                  <c:v>51</c:v>
                </c:pt>
                <c:pt idx="2">
                  <c:v>39</c:v>
                </c:pt>
                <c:pt idx="3">
                  <c:v>48</c:v>
                </c:pt>
                <c:pt idx="4">
                  <c:v>53</c:v>
                </c:pt>
                <c:pt idx="5">
                  <c:v>39</c:v>
                </c:pt>
              </c:numCache>
            </c:numRef>
          </c:val>
          <c:extLst>
            <c:ext xmlns:c16="http://schemas.microsoft.com/office/drawing/2014/chart" uri="{C3380CC4-5D6E-409C-BE32-E72D297353CC}">
              <c16:uniqueId val="{00000000-BB61-475E-BABA-7728A113B85C}"/>
            </c:ext>
          </c:extLst>
        </c:ser>
        <c:ser>
          <c:idx val="1"/>
          <c:order val="1"/>
          <c:tx>
            <c:strRef>
              <c:f>Pivot!$CM$4</c:f>
              <c:strCache>
                <c:ptCount val="1"/>
                <c:pt idx="0">
                  <c:v>Mid Quality</c:v>
                </c:pt>
              </c:strCache>
            </c:strRef>
          </c:tx>
          <c:spPr>
            <a:solidFill>
              <a:schemeClr val="accent2"/>
            </a:solidFill>
            <a:ln>
              <a:noFill/>
            </a:ln>
            <a:effectLst/>
          </c:spPr>
          <c:invertIfNegative val="0"/>
          <c:cat>
            <c:strRef>
              <c:f>Pivot!$CK$5:$CK$10</c:f>
              <c:strCache>
                <c:ptCount val="6"/>
                <c:pt idx="0">
                  <c:v>Boya</c:v>
                </c:pt>
                <c:pt idx="1">
                  <c:v>CNC</c:v>
                </c:pt>
                <c:pt idx="2">
                  <c:v>Kaynak</c:v>
                </c:pt>
                <c:pt idx="3">
                  <c:v>Montaj</c:v>
                </c:pt>
                <c:pt idx="4">
                  <c:v>Paketleme</c:v>
                </c:pt>
                <c:pt idx="5">
                  <c:v>Pres</c:v>
                </c:pt>
              </c:strCache>
            </c:strRef>
          </c:cat>
          <c:val>
            <c:numRef>
              <c:f>Pivot!$CM$5:$CM$10</c:f>
              <c:numCache>
                <c:formatCode>General</c:formatCode>
                <c:ptCount val="6"/>
                <c:pt idx="0">
                  <c:v>50</c:v>
                </c:pt>
                <c:pt idx="1">
                  <c:v>40</c:v>
                </c:pt>
                <c:pt idx="2">
                  <c:v>43</c:v>
                </c:pt>
                <c:pt idx="3">
                  <c:v>53</c:v>
                </c:pt>
                <c:pt idx="4">
                  <c:v>38</c:v>
                </c:pt>
                <c:pt idx="5">
                  <c:v>42</c:v>
                </c:pt>
              </c:numCache>
            </c:numRef>
          </c:val>
          <c:extLst>
            <c:ext xmlns:c16="http://schemas.microsoft.com/office/drawing/2014/chart" uri="{C3380CC4-5D6E-409C-BE32-E72D297353CC}">
              <c16:uniqueId val="{00000001-BB61-475E-BABA-7728A113B85C}"/>
            </c:ext>
          </c:extLst>
        </c:ser>
        <c:ser>
          <c:idx val="2"/>
          <c:order val="2"/>
          <c:tx>
            <c:strRef>
              <c:f>Pivot!$CN$4</c:f>
              <c:strCache>
                <c:ptCount val="1"/>
                <c:pt idx="0">
                  <c:v>Low Quality</c:v>
                </c:pt>
              </c:strCache>
            </c:strRef>
          </c:tx>
          <c:spPr>
            <a:solidFill>
              <a:schemeClr val="accent3"/>
            </a:solidFill>
            <a:ln>
              <a:noFill/>
            </a:ln>
            <a:effectLst/>
          </c:spPr>
          <c:invertIfNegative val="0"/>
          <c:cat>
            <c:strRef>
              <c:f>Pivot!$CK$5:$CK$10</c:f>
              <c:strCache>
                <c:ptCount val="6"/>
                <c:pt idx="0">
                  <c:v>Boya</c:v>
                </c:pt>
                <c:pt idx="1">
                  <c:v>CNC</c:v>
                </c:pt>
                <c:pt idx="2">
                  <c:v>Kaynak</c:v>
                </c:pt>
                <c:pt idx="3">
                  <c:v>Montaj</c:v>
                </c:pt>
                <c:pt idx="4">
                  <c:v>Paketleme</c:v>
                </c:pt>
                <c:pt idx="5">
                  <c:v>Pres</c:v>
                </c:pt>
              </c:strCache>
            </c:strRef>
          </c:cat>
          <c:val>
            <c:numRef>
              <c:f>Pivot!$CN$5:$CN$10</c:f>
              <c:numCache>
                <c:formatCode>General</c:formatCode>
                <c:ptCount val="6"/>
                <c:pt idx="0">
                  <c:v>71</c:v>
                </c:pt>
                <c:pt idx="1">
                  <c:v>81</c:v>
                </c:pt>
                <c:pt idx="2">
                  <c:v>72</c:v>
                </c:pt>
                <c:pt idx="3">
                  <c:v>80</c:v>
                </c:pt>
                <c:pt idx="4">
                  <c:v>83</c:v>
                </c:pt>
                <c:pt idx="5">
                  <c:v>74</c:v>
                </c:pt>
              </c:numCache>
            </c:numRef>
          </c:val>
          <c:extLst>
            <c:ext xmlns:c16="http://schemas.microsoft.com/office/drawing/2014/chart" uri="{C3380CC4-5D6E-409C-BE32-E72D297353CC}">
              <c16:uniqueId val="{00000002-BB61-475E-BABA-7728A113B85C}"/>
            </c:ext>
          </c:extLst>
        </c:ser>
        <c:dLbls>
          <c:showLegendKey val="0"/>
          <c:showVal val="0"/>
          <c:showCatName val="0"/>
          <c:showSerName val="0"/>
          <c:showPercent val="0"/>
          <c:showBubbleSize val="0"/>
        </c:dLbls>
        <c:gapWidth val="150"/>
        <c:overlap val="100"/>
        <c:axId val="2137232512"/>
        <c:axId val="2137237792"/>
      </c:barChart>
      <c:catAx>
        <c:axId val="213723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25C4F"/>
                </a:solidFill>
                <a:latin typeface="Segoe UI Black" panose="020B0A02040204020203" pitchFamily="34" charset="0"/>
                <a:ea typeface="Segoe UI Black" panose="020B0A02040204020203" pitchFamily="34" charset="0"/>
                <a:cs typeface="+mn-cs"/>
              </a:defRPr>
            </a:pPr>
            <a:endParaRPr lang="en-US"/>
          </a:p>
        </c:txPr>
        <c:crossAx val="2137237792"/>
        <c:crosses val="autoZero"/>
        <c:auto val="1"/>
        <c:lblAlgn val="ctr"/>
        <c:lblOffset val="100"/>
        <c:noMultiLvlLbl val="0"/>
      </c:catAx>
      <c:valAx>
        <c:axId val="213723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25C4F"/>
                </a:solidFill>
                <a:latin typeface="Segoe UI Black" panose="020B0A02040204020203" pitchFamily="34" charset="0"/>
                <a:ea typeface="Segoe UI Black" panose="020B0A02040204020203" pitchFamily="34" charset="0"/>
                <a:cs typeface="+mn-cs"/>
              </a:defRPr>
            </a:pPr>
            <a:endParaRPr lang="en-US"/>
          </a:p>
        </c:txPr>
        <c:crossAx val="213723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125C4F"/>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Pivot!$DR$4:$DR$13</c:f>
              <c:strCache>
                <c:ptCount val="10"/>
                <c:pt idx="0">
                  <c:v>Oca</c:v>
                </c:pt>
                <c:pt idx="1">
                  <c:v>Şub</c:v>
                </c:pt>
                <c:pt idx="2">
                  <c:v>Mar</c:v>
                </c:pt>
                <c:pt idx="3">
                  <c:v>Nis</c:v>
                </c:pt>
                <c:pt idx="4">
                  <c:v>May</c:v>
                </c:pt>
                <c:pt idx="5">
                  <c:v>Haz</c:v>
                </c:pt>
                <c:pt idx="6">
                  <c:v>Tem</c:v>
                </c:pt>
                <c:pt idx="7">
                  <c:v>Ağu</c:v>
                </c:pt>
                <c:pt idx="8">
                  <c:v>Eyl</c:v>
                </c:pt>
                <c:pt idx="9">
                  <c:v>Eki</c:v>
                </c:pt>
              </c:strCache>
            </c:strRef>
          </c:cat>
          <c:val>
            <c:numRef>
              <c:f>Pivot!$DS$4:$DS$13</c:f>
              <c:numCache>
                <c:formatCode>General</c:formatCode>
                <c:ptCount val="10"/>
                <c:pt idx="0">
                  <c:v>44707.28</c:v>
                </c:pt>
                <c:pt idx="1">
                  <c:v>43527.689999999988</c:v>
                </c:pt>
                <c:pt idx="2">
                  <c:v>48319.94000000001</c:v>
                </c:pt>
                <c:pt idx="3">
                  <c:v>47737.120000000003</c:v>
                </c:pt>
                <c:pt idx="4">
                  <c:v>52368.799999999988</c:v>
                </c:pt>
                <c:pt idx="5">
                  <c:v>35935.750000000007</c:v>
                </c:pt>
                <c:pt idx="6">
                  <c:v>61218.609999999979</c:v>
                </c:pt>
                <c:pt idx="7">
                  <c:v>43653.489999999991</c:v>
                </c:pt>
                <c:pt idx="8">
                  <c:v>49548.470000000008</c:v>
                </c:pt>
                <c:pt idx="9">
                  <c:v>52794.350000000006</c:v>
                </c:pt>
              </c:numCache>
            </c:numRef>
          </c:val>
          <c:extLst>
            <c:ext xmlns:c16="http://schemas.microsoft.com/office/drawing/2014/chart" uri="{C3380CC4-5D6E-409C-BE32-E72D297353CC}">
              <c16:uniqueId val="{00000000-ECA9-4606-B9A4-E5BDA57AA6F5}"/>
            </c:ext>
          </c:extLst>
        </c:ser>
        <c:dLbls>
          <c:dLblPos val="outEnd"/>
          <c:showLegendKey val="0"/>
          <c:showVal val="1"/>
          <c:showCatName val="0"/>
          <c:showSerName val="0"/>
          <c:showPercent val="0"/>
          <c:showBubbleSize val="0"/>
        </c:dLbls>
        <c:gapWidth val="219"/>
        <c:overlap val="-27"/>
        <c:axId val="1649054543"/>
        <c:axId val="1649047343"/>
      </c:barChart>
      <c:catAx>
        <c:axId val="16490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25C4F"/>
                </a:solidFill>
                <a:latin typeface="Segoe UI Black" panose="020B0A02040204020203" pitchFamily="34" charset="0"/>
                <a:ea typeface="Segoe UI Black" panose="020B0A02040204020203" pitchFamily="34" charset="0"/>
                <a:cs typeface="+mn-cs"/>
              </a:defRPr>
            </a:pPr>
            <a:endParaRPr lang="en-US"/>
          </a:p>
        </c:txPr>
        <c:crossAx val="1649047343"/>
        <c:crosses val="autoZero"/>
        <c:auto val="1"/>
        <c:lblAlgn val="ctr"/>
        <c:lblOffset val="100"/>
        <c:noMultiLvlLbl val="0"/>
      </c:catAx>
      <c:valAx>
        <c:axId val="1649047343"/>
        <c:scaling>
          <c:orientation val="minMax"/>
        </c:scaling>
        <c:delete val="1"/>
        <c:axPos val="l"/>
        <c:numFmt formatCode="General" sourceLinked="1"/>
        <c:majorTickMark val="none"/>
        <c:minorTickMark val="none"/>
        <c:tickLblPos val="nextTo"/>
        <c:crossAx val="1649054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[(SON).xlsx]Pivot!ErrorType-Descriptions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aseline="0">
                <a:solidFill>
                  <a:srgbClr val="125C4F"/>
                </a:solidFill>
                <a:latin typeface="Segoe UI Black" panose="020B0A02040204020203" pitchFamily="34" charset="0"/>
                <a:ea typeface="Segoe UI Black" panose="020B0A02040204020203" pitchFamily="34" charset="0"/>
              </a:rPr>
              <a:t>Error Descriptions of Error Types</a:t>
            </a:r>
            <a:endParaRPr lang="en-US" sz="1400">
              <a:solidFill>
                <a:srgbClr val="125C4F"/>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8628923522813953E-2"/>
          <c:w val="0.83576407702392752"/>
          <c:h val="0.83106574071563022"/>
        </c:manualLayout>
      </c:layout>
      <c:barChart>
        <c:barDir val="col"/>
        <c:grouping val="clustered"/>
        <c:varyColors val="0"/>
        <c:ser>
          <c:idx val="0"/>
          <c:order val="0"/>
          <c:tx>
            <c:strRef>
              <c:f>Pivot!$CR$3:$CR$4</c:f>
              <c:strCache>
                <c:ptCount val="1"/>
                <c:pt idx="0">
                  <c:v>Renk farkı</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Pivot!$CQ$5:$CQ$10</c:f>
              <c:strCache>
                <c:ptCount val="5"/>
                <c:pt idx="0">
                  <c:v>Eksik Parça</c:v>
                </c:pt>
                <c:pt idx="1">
                  <c:v>Kaynak Hatası</c:v>
                </c:pt>
                <c:pt idx="2">
                  <c:v>Ölçü Hatası</c:v>
                </c:pt>
                <c:pt idx="3">
                  <c:v>Renk Uyumsuzluğu</c:v>
                </c:pt>
                <c:pt idx="4">
                  <c:v>Yüzey Çizik</c:v>
                </c:pt>
              </c:strCache>
            </c:strRef>
          </c:cat>
          <c:val>
            <c:numRef>
              <c:f>Pivot!$CR$5:$CR$10</c:f>
              <c:numCache>
                <c:formatCode>General</c:formatCode>
                <c:ptCount val="5"/>
                <c:pt idx="0">
                  <c:v>48</c:v>
                </c:pt>
                <c:pt idx="1">
                  <c:v>59</c:v>
                </c:pt>
                <c:pt idx="2">
                  <c:v>42</c:v>
                </c:pt>
                <c:pt idx="3">
                  <c:v>45</c:v>
                </c:pt>
                <c:pt idx="4">
                  <c:v>41</c:v>
                </c:pt>
              </c:numCache>
            </c:numRef>
          </c:val>
          <c:extLst>
            <c:ext xmlns:c16="http://schemas.microsoft.com/office/drawing/2014/chart" uri="{C3380CC4-5D6E-409C-BE32-E72D297353CC}">
              <c16:uniqueId val="{00000000-3B76-48A6-A3D5-C3F07F8478FE}"/>
            </c:ext>
          </c:extLst>
        </c:ser>
        <c:ser>
          <c:idx val="1"/>
          <c:order val="1"/>
          <c:tx>
            <c:strRef>
              <c:f>Pivot!$CS$3:$CS$4</c:f>
              <c:strCache>
                <c:ptCount val="1"/>
                <c:pt idx="0">
                  <c:v>Eksik vida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Pivot!$CQ$5:$CQ$10</c:f>
              <c:strCache>
                <c:ptCount val="5"/>
                <c:pt idx="0">
                  <c:v>Eksik Parça</c:v>
                </c:pt>
                <c:pt idx="1">
                  <c:v>Kaynak Hatası</c:v>
                </c:pt>
                <c:pt idx="2">
                  <c:v>Ölçü Hatası</c:v>
                </c:pt>
                <c:pt idx="3">
                  <c:v>Renk Uyumsuzluğu</c:v>
                </c:pt>
                <c:pt idx="4">
                  <c:v>Yüzey Çizik</c:v>
                </c:pt>
              </c:strCache>
            </c:strRef>
          </c:cat>
          <c:val>
            <c:numRef>
              <c:f>Pivot!$CS$5:$CS$10</c:f>
              <c:numCache>
                <c:formatCode>General</c:formatCode>
                <c:ptCount val="5"/>
                <c:pt idx="0">
                  <c:v>39</c:v>
                </c:pt>
                <c:pt idx="1">
                  <c:v>47</c:v>
                </c:pt>
                <c:pt idx="2">
                  <c:v>44</c:v>
                </c:pt>
                <c:pt idx="3">
                  <c:v>36</c:v>
                </c:pt>
                <c:pt idx="4">
                  <c:v>42</c:v>
                </c:pt>
              </c:numCache>
            </c:numRef>
          </c:val>
          <c:extLst>
            <c:ext xmlns:c16="http://schemas.microsoft.com/office/drawing/2014/chart" uri="{C3380CC4-5D6E-409C-BE32-E72D297353CC}">
              <c16:uniqueId val="{00000001-0220-4263-8DB5-A8D69874994B}"/>
            </c:ext>
          </c:extLst>
        </c:ser>
        <c:ser>
          <c:idx val="2"/>
          <c:order val="2"/>
          <c:tx>
            <c:strRef>
              <c:f>Pivot!$CT$3:$CT$4</c:f>
              <c:strCache>
                <c:ptCount val="1"/>
                <c:pt idx="0">
                  <c:v>Tolerans dışı ölçüm</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Pivot!$CQ$5:$CQ$10</c:f>
              <c:strCache>
                <c:ptCount val="5"/>
                <c:pt idx="0">
                  <c:v>Eksik Parça</c:v>
                </c:pt>
                <c:pt idx="1">
                  <c:v>Kaynak Hatası</c:v>
                </c:pt>
                <c:pt idx="2">
                  <c:v>Ölçü Hatası</c:v>
                </c:pt>
                <c:pt idx="3">
                  <c:v>Renk Uyumsuzluğu</c:v>
                </c:pt>
                <c:pt idx="4">
                  <c:v>Yüzey Çizik</c:v>
                </c:pt>
              </c:strCache>
            </c:strRef>
          </c:cat>
          <c:val>
            <c:numRef>
              <c:f>Pivot!$CT$5:$CT$10</c:f>
              <c:numCache>
                <c:formatCode>General</c:formatCode>
                <c:ptCount val="5"/>
                <c:pt idx="0">
                  <c:v>38</c:v>
                </c:pt>
                <c:pt idx="1">
                  <c:v>33</c:v>
                </c:pt>
                <c:pt idx="2">
                  <c:v>38</c:v>
                </c:pt>
                <c:pt idx="3">
                  <c:v>43</c:v>
                </c:pt>
                <c:pt idx="4">
                  <c:v>45</c:v>
                </c:pt>
              </c:numCache>
            </c:numRef>
          </c:val>
          <c:extLst>
            <c:ext xmlns:c16="http://schemas.microsoft.com/office/drawing/2014/chart" uri="{C3380CC4-5D6E-409C-BE32-E72D297353CC}">
              <c16:uniqueId val="{00000005-AF08-4D53-99B1-89CB154D758F}"/>
            </c:ext>
          </c:extLst>
        </c:ser>
        <c:ser>
          <c:idx val="3"/>
          <c:order val="3"/>
          <c:tx>
            <c:strRef>
              <c:f>Pivot!$CU$3:$CU$4</c:f>
              <c:strCache>
                <c:ptCount val="1"/>
                <c:pt idx="0">
                  <c:v>Yüzey deformasyonu</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Pivot!$CQ$5:$CQ$10</c:f>
              <c:strCache>
                <c:ptCount val="5"/>
                <c:pt idx="0">
                  <c:v>Eksik Parça</c:v>
                </c:pt>
                <c:pt idx="1">
                  <c:v>Kaynak Hatası</c:v>
                </c:pt>
                <c:pt idx="2">
                  <c:v>Ölçü Hatası</c:v>
                </c:pt>
                <c:pt idx="3">
                  <c:v>Renk Uyumsuzluğu</c:v>
                </c:pt>
                <c:pt idx="4">
                  <c:v>Yüzey Çizik</c:v>
                </c:pt>
              </c:strCache>
            </c:strRef>
          </c:cat>
          <c:val>
            <c:numRef>
              <c:f>Pivot!$CU$5:$CU$10</c:f>
              <c:numCache>
                <c:formatCode>General</c:formatCode>
                <c:ptCount val="5"/>
                <c:pt idx="0">
                  <c:v>38</c:v>
                </c:pt>
                <c:pt idx="1">
                  <c:v>39</c:v>
                </c:pt>
                <c:pt idx="2">
                  <c:v>35</c:v>
                </c:pt>
                <c:pt idx="3">
                  <c:v>36</c:v>
                </c:pt>
                <c:pt idx="4">
                  <c:v>46</c:v>
                </c:pt>
              </c:numCache>
            </c:numRef>
          </c:val>
          <c:extLst>
            <c:ext xmlns:c16="http://schemas.microsoft.com/office/drawing/2014/chart" uri="{C3380CC4-5D6E-409C-BE32-E72D297353CC}">
              <c16:uniqueId val="{00000006-AF08-4D53-99B1-89CB154D758F}"/>
            </c:ext>
          </c:extLst>
        </c:ser>
        <c:ser>
          <c:idx val="4"/>
          <c:order val="4"/>
          <c:tx>
            <c:strRef>
              <c:f>Pivot!$CV$3:$CV$4</c:f>
              <c:strCache>
                <c:ptCount val="1"/>
                <c:pt idx="0">
                  <c:v>Kaynak atlaması</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Pivot!$CQ$5:$CQ$10</c:f>
              <c:strCache>
                <c:ptCount val="5"/>
                <c:pt idx="0">
                  <c:v>Eksik Parça</c:v>
                </c:pt>
                <c:pt idx="1">
                  <c:v>Kaynak Hatası</c:v>
                </c:pt>
                <c:pt idx="2">
                  <c:v>Ölçü Hatası</c:v>
                </c:pt>
                <c:pt idx="3">
                  <c:v>Renk Uyumsuzluğu</c:v>
                </c:pt>
                <c:pt idx="4">
                  <c:v>Yüzey Çizik</c:v>
                </c:pt>
              </c:strCache>
            </c:strRef>
          </c:cat>
          <c:val>
            <c:numRef>
              <c:f>Pivot!$CV$5:$CV$10</c:f>
              <c:numCache>
                <c:formatCode>General</c:formatCode>
                <c:ptCount val="5"/>
                <c:pt idx="0">
                  <c:v>39</c:v>
                </c:pt>
                <c:pt idx="1">
                  <c:v>29</c:v>
                </c:pt>
                <c:pt idx="2">
                  <c:v>24</c:v>
                </c:pt>
                <c:pt idx="3">
                  <c:v>36</c:v>
                </c:pt>
                <c:pt idx="4">
                  <c:v>38</c:v>
                </c:pt>
              </c:numCache>
            </c:numRef>
          </c:val>
          <c:extLst>
            <c:ext xmlns:c16="http://schemas.microsoft.com/office/drawing/2014/chart" uri="{C3380CC4-5D6E-409C-BE32-E72D297353CC}">
              <c16:uniqueId val="{00000008-AF08-4D53-99B1-89CB154D758F}"/>
            </c:ext>
          </c:extLst>
        </c:ser>
        <c:dLbls>
          <c:dLblPos val="outEnd"/>
          <c:showLegendKey val="0"/>
          <c:showVal val="1"/>
          <c:showCatName val="0"/>
          <c:showSerName val="0"/>
          <c:showPercent val="0"/>
          <c:showBubbleSize val="0"/>
        </c:dLbls>
        <c:gapWidth val="219"/>
        <c:overlap val="-27"/>
        <c:axId val="219177456"/>
        <c:axId val="219178416"/>
      </c:barChart>
      <c:catAx>
        <c:axId val="21917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78416"/>
        <c:crosses val="autoZero"/>
        <c:auto val="1"/>
        <c:lblAlgn val="ctr"/>
        <c:lblOffset val="100"/>
        <c:noMultiLvlLbl val="0"/>
      </c:catAx>
      <c:valAx>
        <c:axId val="219178416"/>
        <c:scaling>
          <c:orientation val="minMax"/>
        </c:scaling>
        <c:delete val="1"/>
        <c:axPos val="l"/>
        <c:numFmt formatCode="General" sourceLinked="1"/>
        <c:majorTickMark val="none"/>
        <c:minorTickMark val="none"/>
        <c:tickLblPos val="nextTo"/>
        <c:crossAx val="219177456"/>
        <c:crosses val="autoZero"/>
        <c:crossBetween val="between"/>
      </c:valAx>
      <c:spPr>
        <a:noFill/>
        <a:ln>
          <a:noFill/>
        </a:ln>
        <a:effectLst/>
      </c:spPr>
    </c:plotArea>
    <c:legend>
      <c:legendPos val="r"/>
      <c:layout>
        <c:manualLayout>
          <c:xMode val="edge"/>
          <c:yMode val="edge"/>
          <c:x val="0.80640951276102091"/>
          <c:y val="0.1941732172329696"/>
          <c:w val="0.19359056982265471"/>
          <c:h val="0.71458882782818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F11D-4984-981A-CA4FE36754FB}"/>
              </c:ext>
            </c:extLst>
          </c:dPt>
          <c:dPt>
            <c:idx val="1"/>
            <c:bubble3D val="0"/>
            <c:spPr>
              <a:solidFill>
                <a:srgbClr val="89F3DF"/>
              </a:solidFill>
              <a:ln w="19050">
                <a:noFill/>
              </a:ln>
              <a:effectLst/>
            </c:spPr>
            <c:extLst>
              <c:ext xmlns:c16="http://schemas.microsoft.com/office/drawing/2014/chart" uri="{C3380CC4-5D6E-409C-BE32-E72D297353CC}">
                <c16:uniqueId val="{00000003-F11D-4984-981A-CA4FE36754FB}"/>
              </c:ext>
            </c:extLst>
          </c:dPt>
          <c:dPt>
            <c:idx val="2"/>
            <c:bubble3D val="0"/>
            <c:spPr>
              <a:solidFill>
                <a:srgbClr val="FFFF99"/>
              </a:solidFill>
              <a:ln w="19050">
                <a:noFill/>
              </a:ln>
              <a:effectLst/>
            </c:spPr>
            <c:extLst>
              <c:ext xmlns:c16="http://schemas.microsoft.com/office/drawing/2014/chart" uri="{C3380CC4-5D6E-409C-BE32-E72D297353CC}">
                <c16:uniqueId val="{00000005-F11D-4984-981A-CA4FE36754FB}"/>
              </c:ext>
            </c:extLst>
          </c:dPt>
          <c:dPt>
            <c:idx val="3"/>
            <c:bubble3D val="0"/>
            <c:spPr>
              <a:solidFill>
                <a:srgbClr val="FF3300"/>
              </a:solidFill>
              <a:ln w="19050">
                <a:noFill/>
              </a:ln>
              <a:effectLst/>
            </c:spPr>
            <c:extLst>
              <c:ext xmlns:c16="http://schemas.microsoft.com/office/drawing/2014/chart" uri="{C3380CC4-5D6E-409C-BE32-E72D297353CC}">
                <c16:uniqueId val="{00000007-F11D-4984-981A-CA4FE36754FB}"/>
              </c:ext>
            </c:extLst>
          </c:dPt>
          <c:dPt>
            <c:idx val="4"/>
            <c:bubble3D val="0"/>
            <c:spPr>
              <a:solidFill>
                <a:srgbClr val="C00000"/>
              </a:solidFill>
              <a:ln w="19050">
                <a:noFill/>
              </a:ln>
              <a:effectLst/>
            </c:spPr>
            <c:extLst>
              <c:ext xmlns:c16="http://schemas.microsoft.com/office/drawing/2014/chart" uri="{C3380CC4-5D6E-409C-BE32-E72D297353CC}">
                <c16:uniqueId val="{00000009-F11D-4984-981A-CA4FE36754FB}"/>
              </c:ext>
            </c:extLst>
          </c:dPt>
          <c:dPt>
            <c:idx val="5"/>
            <c:bubble3D val="0"/>
            <c:spPr>
              <a:noFill/>
              <a:ln w="19050">
                <a:noFill/>
              </a:ln>
              <a:effectLst/>
            </c:spPr>
            <c:extLst>
              <c:ext xmlns:c16="http://schemas.microsoft.com/office/drawing/2014/chart" uri="{C3380CC4-5D6E-409C-BE32-E72D297353CC}">
                <c16:uniqueId val="{0000000B-F11D-4984-981A-CA4FE36754FB}"/>
              </c:ext>
            </c:extLst>
          </c:dPt>
          <c:val>
            <c:numRef>
              <c:f>Pivot!$BC$4:$BC$9</c:f>
              <c:numCache>
                <c:formatCode>0.00</c:formatCode>
                <c:ptCount val="6"/>
                <c:pt idx="0">
                  <c:v>1</c:v>
                </c:pt>
                <c:pt idx="1">
                  <c:v>1</c:v>
                </c:pt>
                <c:pt idx="2">
                  <c:v>1</c:v>
                </c:pt>
                <c:pt idx="3">
                  <c:v>1</c:v>
                </c:pt>
                <c:pt idx="4">
                  <c:v>1</c:v>
                </c:pt>
                <c:pt idx="5">
                  <c:v>5</c:v>
                </c:pt>
              </c:numCache>
            </c:numRef>
          </c:val>
          <c:extLst>
            <c:ext xmlns:c16="http://schemas.microsoft.com/office/drawing/2014/chart" uri="{C3380CC4-5D6E-409C-BE32-E72D297353CC}">
              <c16:uniqueId val="{0000000C-F11D-4984-981A-CA4FE36754FB}"/>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010863859408877"/>
          <c:y val="0"/>
          <c:w val="0.49601460686979343"/>
          <c:h val="0.8860841656174776"/>
        </c:manualLayout>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CC2A-4F48-A829-F3FE0C639DBA}"/>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CC2A-4F48-A829-F3FE0C639DBA}"/>
              </c:ext>
            </c:extLst>
          </c:dPt>
          <c:dPt>
            <c:idx val="2"/>
            <c:bubble3D val="0"/>
            <c:spPr>
              <a:noFill/>
              <a:ln w="19050">
                <a:noFill/>
              </a:ln>
              <a:effectLst/>
            </c:spPr>
            <c:extLst>
              <c:ext xmlns:c16="http://schemas.microsoft.com/office/drawing/2014/chart" uri="{C3380CC4-5D6E-409C-BE32-E72D297353CC}">
                <c16:uniqueId val="{00000005-CC2A-4F48-A829-F3FE0C639DBA}"/>
              </c:ext>
            </c:extLst>
          </c:dPt>
          <c:cat>
            <c:strRef>
              <c:f>Pivot!$BD$2:$BD$4</c:f>
              <c:strCache>
                <c:ptCount val="3"/>
                <c:pt idx="0">
                  <c:v>Score</c:v>
                </c:pt>
                <c:pt idx="1">
                  <c:v>Needle</c:v>
                </c:pt>
                <c:pt idx="2">
                  <c:v>Rest</c:v>
                </c:pt>
              </c:strCache>
            </c:strRef>
          </c:cat>
          <c:val>
            <c:numRef>
              <c:f>Pivot!$BE$2:$BE$4</c:f>
              <c:numCache>
                <c:formatCode>0%</c:formatCode>
                <c:ptCount val="3"/>
                <c:pt idx="0" formatCode="0.00">
                  <c:v>3</c:v>
                </c:pt>
                <c:pt idx="1">
                  <c:v>0.1</c:v>
                </c:pt>
                <c:pt idx="2">
                  <c:v>6.9</c:v>
                </c:pt>
              </c:numCache>
            </c:numRef>
          </c:val>
          <c:extLst>
            <c:ext xmlns:c16="http://schemas.microsoft.com/office/drawing/2014/chart" uri="{C3380CC4-5D6E-409C-BE32-E72D297353CC}">
              <c16:uniqueId val="{00000006-CC2A-4F48-A829-F3FE0C639DB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r>
              <a: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rPr>
              <a:t>Error Type Analysis</a:t>
            </a:r>
          </a:p>
        </c:rich>
      </c:tx>
      <c:overlay val="0"/>
      <c:spPr>
        <a:noFill/>
        <a:ln>
          <a:noFill/>
        </a:ln>
        <a:effectLst/>
      </c:spPr>
      <c:txPr>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endParaRPr lang="tr-TR"/>
        </a:p>
      </c:txPr>
    </c:title>
    <c:autoTitleDeleted val="0"/>
    <c:plotArea>
      <c:layout/>
      <c:pieChart>
        <c:varyColors val="1"/>
        <c:ser>
          <c:idx val="0"/>
          <c:order val="0"/>
          <c:tx>
            <c:strRef>
              <c:f>Pivot!$AC$3</c:f>
              <c:strCache>
                <c:ptCount val="1"/>
                <c:pt idx="0">
                  <c:v>frequency</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479-453B-A336-9555A4F88CCE}"/>
              </c:ext>
            </c:extLst>
          </c:dPt>
          <c:dPt>
            <c:idx val="1"/>
            <c:bubble3D val="0"/>
            <c:spPr>
              <a:solidFill>
                <a:schemeClr val="accent2"/>
              </a:solidFill>
              <a:ln w="19050">
                <a:noFill/>
              </a:ln>
              <a:effectLst/>
            </c:spPr>
            <c:extLst>
              <c:ext xmlns:c16="http://schemas.microsoft.com/office/drawing/2014/chart" uri="{C3380CC4-5D6E-409C-BE32-E72D297353CC}">
                <c16:uniqueId val="{00000003-F479-453B-A336-9555A4F88CCE}"/>
              </c:ext>
            </c:extLst>
          </c:dPt>
          <c:dPt>
            <c:idx val="2"/>
            <c:bubble3D val="0"/>
            <c:spPr>
              <a:solidFill>
                <a:schemeClr val="accent3"/>
              </a:solidFill>
              <a:ln w="19050">
                <a:noFill/>
              </a:ln>
              <a:effectLst/>
            </c:spPr>
            <c:extLst>
              <c:ext xmlns:c16="http://schemas.microsoft.com/office/drawing/2014/chart" uri="{C3380CC4-5D6E-409C-BE32-E72D297353CC}">
                <c16:uniqueId val="{00000005-F479-453B-A336-9555A4F88CCE}"/>
              </c:ext>
            </c:extLst>
          </c:dPt>
          <c:dPt>
            <c:idx val="3"/>
            <c:bubble3D val="0"/>
            <c:spPr>
              <a:solidFill>
                <a:schemeClr val="accent4"/>
              </a:solidFill>
              <a:ln w="19050">
                <a:noFill/>
              </a:ln>
              <a:effectLst/>
            </c:spPr>
            <c:extLst>
              <c:ext xmlns:c16="http://schemas.microsoft.com/office/drawing/2014/chart" uri="{C3380CC4-5D6E-409C-BE32-E72D297353CC}">
                <c16:uniqueId val="{00000007-F479-453B-A336-9555A4F88CCE}"/>
              </c:ext>
            </c:extLst>
          </c:dPt>
          <c:dPt>
            <c:idx val="4"/>
            <c:bubble3D val="0"/>
            <c:spPr>
              <a:solidFill>
                <a:schemeClr val="accent5"/>
              </a:solidFill>
              <a:ln w="19050">
                <a:noFill/>
              </a:ln>
              <a:effectLst/>
            </c:spPr>
            <c:extLst>
              <c:ext xmlns:c16="http://schemas.microsoft.com/office/drawing/2014/chart" uri="{C3380CC4-5D6E-409C-BE32-E72D297353CC}">
                <c16:uniqueId val="{00000009-F479-453B-A336-9555A4F88CCE}"/>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Pivot!$AB$4:$AB$8</c:f>
              <c:strCache>
                <c:ptCount val="5"/>
                <c:pt idx="0">
                  <c:v>Eksik Parça</c:v>
                </c:pt>
                <c:pt idx="1">
                  <c:v>Kaynak Hatası</c:v>
                </c:pt>
                <c:pt idx="2">
                  <c:v>Ölçü Hatası</c:v>
                </c:pt>
                <c:pt idx="3">
                  <c:v>Renk Uyumsuzluğu</c:v>
                </c:pt>
                <c:pt idx="4">
                  <c:v>Yüzey Çizik</c:v>
                </c:pt>
              </c:strCache>
            </c:strRef>
          </c:cat>
          <c:val>
            <c:numRef>
              <c:f>Pivot!$AC$4:$AC$8</c:f>
              <c:numCache>
                <c:formatCode>General</c:formatCode>
                <c:ptCount val="5"/>
                <c:pt idx="0">
                  <c:v>202</c:v>
                </c:pt>
                <c:pt idx="1">
                  <c:v>207</c:v>
                </c:pt>
                <c:pt idx="2">
                  <c:v>183</c:v>
                </c:pt>
                <c:pt idx="3">
                  <c:v>196</c:v>
                </c:pt>
                <c:pt idx="4">
                  <c:v>212</c:v>
                </c:pt>
              </c:numCache>
            </c:numRef>
          </c:val>
          <c:extLst>
            <c:ext xmlns:c16="http://schemas.microsoft.com/office/drawing/2014/chart" uri="{C3380CC4-5D6E-409C-BE32-E72D297353CC}">
              <c16:uniqueId val="{0000000A-F479-453B-A336-9555A4F88C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r>
              <a: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rPr>
              <a:t>Error Type-Risk Factor Analysis</a:t>
            </a:r>
          </a:p>
        </c:rich>
      </c:tx>
      <c:overlay val="0"/>
      <c:spPr>
        <a:noFill/>
        <a:ln>
          <a:noFill/>
        </a:ln>
        <a:effectLst/>
      </c:spPr>
      <c:txPr>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Pivot!$AO$3</c:f>
              <c:strCache>
                <c:ptCount val="1"/>
                <c:pt idx="0">
                  <c:v>riskscore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DC-4224-AAA8-A6C0687DC25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DC-4224-AAA8-A6C0687DC25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DC-4224-AAA8-A6C0687DC25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DC-4224-AAA8-A6C0687DC25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DC-4224-AAA8-A6C0687DC25A}"/>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Pivot!$AN$4:$AN$8</c:f>
              <c:strCache>
                <c:ptCount val="5"/>
                <c:pt idx="0">
                  <c:v>Eksik Parça</c:v>
                </c:pt>
                <c:pt idx="1">
                  <c:v>Kaynak Hatası</c:v>
                </c:pt>
                <c:pt idx="2">
                  <c:v>Ölçü Hatası</c:v>
                </c:pt>
                <c:pt idx="3">
                  <c:v>Renk Uyumsuzluğu</c:v>
                </c:pt>
                <c:pt idx="4">
                  <c:v>Yüzey Çizik</c:v>
                </c:pt>
              </c:strCache>
            </c:strRef>
          </c:cat>
          <c:val>
            <c:numRef>
              <c:f>Pivot!$AO$4:$AO$8</c:f>
              <c:numCache>
                <c:formatCode>0%</c:formatCode>
                <c:ptCount val="5"/>
                <c:pt idx="0">
                  <c:v>0.20173583463861175</c:v>
                </c:pt>
                <c:pt idx="1">
                  <c:v>0.21796221881637151</c:v>
                </c:pt>
                <c:pt idx="2">
                  <c:v>0.17616619449387197</c:v>
                </c:pt>
                <c:pt idx="3">
                  <c:v>0.16954712408450545</c:v>
                </c:pt>
                <c:pt idx="4">
                  <c:v>0.23458862796663926</c:v>
                </c:pt>
              </c:numCache>
            </c:numRef>
          </c:val>
          <c:extLst>
            <c:ext xmlns:c16="http://schemas.microsoft.com/office/drawing/2014/chart" uri="{C3380CC4-5D6E-409C-BE32-E72D297353CC}">
              <c16:uniqueId val="{0000000A-D9DC-4224-AAA8-A6C0687DC25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r>
              <a: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rPr>
              <a:t>Error Cost Analysis</a:t>
            </a:r>
          </a:p>
        </c:rich>
      </c:tx>
      <c:overlay val="0"/>
      <c:spPr>
        <a:noFill/>
        <a:ln>
          <a:noFill/>
        </a:ln>
        <a:effectLst/>
      </c:spPr>
      <c:txPr>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endParaRPr lang="tr-T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Pivot!$AG$3</c:f>
              <c:strCache>
                <c:ptCount val="1"/>
                <c:pt idx="0">
                  <c:v>toterrorcost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Pivot!$AF$4:$AF$8</c:f>
              <c:strCache>
                <c:ptCount val="5"/>
                <c:pt idx="0">
                  <c:v>Eksik Parça</c:v>
                </c:pt>
                <c:pt idx="1">
                  <c:v>Kaynak Hatası</c:v>
                </c:pt>
                <c:pt idx="2">
                  <c:v>Ölçü Hatası</c:v>
                </c:pt>
                <c:pt idx="3">
                  <c:v>Renk Uyumsuzluğu</c:v>
                </c:pt>
                <c:pt idx="4">
                  <c:v>Yüzey Çizik</c:v>
                </c:pt>
              </c:strCache>
            </c:strRef>
          </c:cat>
          <c:val>
            <c:numRef>
              <c:f>Pivot!$AG$4:$AG$8</c:f>
              <c:numCache>
                <c:formatCode>General</c:formatCode>
                <c:ptCount val="5"/>
                <c:pt idx="0">
                  <c:v>52751.759999999995</c:v>
                </c:pt>
                <c:pt idx="1">
                  <c:v>58295.889999999978</c:v>
                </c:pt>
                <c:pt idx="2">
                  <c:v>49215.359999999979</c:v>
                </c:pt>
                <c:pt idx="3">
                  <c:v>53007.400000000016</c:v>
                </c:pt>
                <c:pt idx="4">
                  <c:v>55950.319999999992</c:v>
                </c:pt>
              </c:numCache>
            </c:numRef>
          </c:val>
          <c:extLst>
            <c:ext xmlns:c16="http://schemas.microsoft.com/office/drawing/2014/chart" uri="{C3380CC4-5D6E-409C-BE32-E72D297353CC}">
              <c16:uniqueId val="{00000000-C3EA-4A12-B127-2265242A3768}"/>
            </c:ext>
          </c:extLst>
        </c:ser>
        <c:dLbls>
          <c:showLegendKey val="0"/>
          <c:showVal val="1"/>
          <c:showCatName val="0"/>
          <c:showSerName val="0"/>
          <c:showPercent val="0"/>
          <c:showBubbleSize val="0"/>
        </c:dLbls>
        <c:gapWidth val="150"/>
        <c:shape val="box"/>
        <c:axId val="1216873535"/>
        <c:axId val="1216874015"/>
        <c:axId val="0"/>
      </c:bar3DChart>
      <c:catAx>
        <c:axId val="121687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16874015"/>
        <c:crosses val="autoZero"/>
        <c:auto val="1"/>
        <c:lblAlgn val="ctr"/>
        <c:lblOffset val="100"/>
        <c:noMultiLvlLbl val="0"/>
      </c:catAx>
      <c:valAx>
        <c:axId val="1216874015"/>
        <c:scaling>
          <c:orientation val="minMax"/>
        </c:scaling>
        <c:delete val="1"/>
        <c:axPos val="b"/>
        <c:numFmt formatCode="General" sourceLinked="1"/>
        <c:majorTickMark val="none"/>
        <c:minorTickMark val="none"/>
        <c:tickLblPos val="nextTo"/>
        <c:crossAx val="12168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r>
              <a: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rPr>
              <a:t>Correction Time Analysis</a:t>
            </a:r>
          </a:p>
        </c:rich>
      </c:tx>
      <c:overlay val="0"/>
      <c:spPr>
        <a:noFill/>
        <a:ln>
          <a:noFill/>
        </a:ln>
        <a:effectLst/>
      </c:spPr>
      <c:txPr>
        <a:bodyPr rot="0" spcFirstLastPara="1" vertOverflow="ellipsis" vert="horz" wrap="square" anchor="ctr" anchorCtr="1"/>
        <a:lstStyle/>
        <a:p>
          <a:pPr algn="ctr" rtl="0">
            <a:defRPr lang="tr-TR" sz="1400" b="0" i="0" u="none" strike="noStrike" kern="1200" spc="0" baseline="0">
              <a:solidFill>
                <a:srgbClr val="125C4F"/>
              </a:solidFill>
              <a:latin typeface="Segoe UI Black" panose="020B0A02040204020203" pitchFamily="34" charset="0"/>
              <a:ea typeface="Segoe UI Black" panose="020B0A02040204020203" pitchFamily="34" charset="0"/>
              <a:cs typeface="+mn-cs"/>
            </a:defRPr>
          </a:pPr>
          <a:endParaRPr lang="tr-T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Pivot!$AK$3</c:f>
              <c:strCache>
                <c:ptCount val="1"/>
                <c:pt idx="0">
                  <c:v>avgcorrectiontime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Pivot!$AJ$4:$AJ$8</c:f>
              <c:strCache>
                <c:ptCount val="5"/>
                <c:pt idx="0">
                  <c:v>Eksik Parça</c:v>
                </c:pt>
                <c:pt idx="1">
                  <c:v>Kaynak Hatası</c:v>
                </c:pt>
                <c:pt idx="2">
                  <c:v>Ölçü Hatası</c:v>
                </c:pt>
                <c:pt idx="3">
                  <c:v>Renk Uyumsuzluğu</c:v>
                </c:pt>
                <c:pt idx="4">
                  <c:v>Yüzey Çizik</c:v>
                </c:pt>
              </c:strCache>
            </c:strRef>
          </c:cat>
          <c:val>
            <c:numRef>
              <c:f>Pivot!$AK$4:$AK$8</c:f>
              <c:numCache>
                <c:formatCode>0.00</c:formatCode>
                <c:ptCount val="5"/>
                <c:pt idx="0">
                  <c:v>45.341584158415841</c:v>
                </c:pt>
                <c:pt idx="1">
                  <c:v>44.391304347826086</c:v>
                </c:pt>
                <c:pt idx="2">
                  <c:v>46.617486338797811</c:v>
                </c:pt>
                <c:pt idx="3">
                  <c:v>45.948979591836732</c:v>
                </c:pt>
                <c:pt idx="4">
                  <c:v>50.773584905660378</c:v>
                </c:pt>
              </c:numCache>
            </c:numRef>
          </c:val>
          <c:extLst>
            <c:ext xmlns:c16="http://schemas.microsoft.com/office/drawing/2014/chart" uri="{C3380CC4-5D6E-409C-BE32-E72D297353CC}">
              <c16:uniqueId val="{00000000-3E2B-4EE7-BD08-B68599A9EEF5}"/>
            </c:ext>
          </c:extLst>
        </c:ser>
        <c:dLbls>
          <c:showLegendKey val="0"/>
          <c:showVal val="1"/>
          <c:showCatName val="0"/>
          <c:showSerName val="0"/>
          <c:showPercent val="0"/>
          <c:showBubbleSize val="0"/>
        </c:dLbls>
        <c:gapWidth val="150"/>
        <c:shape val="box"/>
        <c:axId val="1224128239"/>
        <c:axId val="1224130159"/>
        <c:axId val="0"/>
      </c:bar3DChart>
      <c:catAx>
        <c:axId val="1224128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24130159"/>
        <c:crosses val="autoZero"/>
        <c:auto val="1"/>
        <c:lblAlgn val="ctr"/>
        <c:lblOffset val="100"/>
        <c:noMultiLvlLbl val="0"/>
      </c:catAx>
      <c:valAx>
        <c:axId val="1224130159"/>
        <c:scaling>
          <c:orientation val="minMax"/>
        </c:scaling>
        <c:delete val="1"/>
        <c:axPos val="b"/>
        <c:numFmt formatCode="0.00" sourceLinked="1"/>
        <c:majorTickMark val="none"/>
        <c:minorTickMark val="none"/>
        <c:tickLblPos val="nextTo"/>
        <c:crossAx val="122412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A397CFB6-2F9D-42FA-B8C9-E04727BA30E8}">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5.png"/><Relationship Id="rId5" Type="http://schemas.openxmlformats.org/officeDocument/2006/relationships/image" Target="../media/image1.png"/><Relationship Id="rId10" Type="http://schemas.openxmlformats.org/officeDocument/2006/relationships/hyperlink" Target="#'Error Analysis'!A1"/><Relationship Id="rId4" Type="http://schemas.openxmlformats.org/officeDocument/2006/relationships/chart" Target="../charts/chart4.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9.xml"/><Relationship Id="rId7" Type="http://schemas.openxmlformats.org/officeDocument/2006/relationships/chart" Target="../charts/chart10.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8.svg"/><Relationship Id="rId5" Type="http://schemas.openxmlformats.org/officeDocument/2006/relationships/image" Target="../media/image7.png"/><Relationship Id="rId10" Type="http://schemas.openxmlformats.org/officeDocument/2006/relationships/chart" Target="../charts/chart13.xml"/><Relationship Id="rId4" Type="http://schemas.openxmlformats.org/officeDocument/2006/relationships/hyperlink" Target="#Dashboard!A1"/><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315684</xdr:colOff>
      <xdr:row>4</xdr:row>
      <xdr:rowOff>146798</xdr:rowOff>
    </xdr:from>
    <xdr:to>
      <xdr:col>9</xdr:col>
      <xdr:colOff>497098</xdr:colOff>
      <xdr:row>25</xdr:row>
      <xdr:rowOff>175827</xdr:rowOff>
    </xdr:to>
    <xdr:sp macro="" textlink="">
      <xdr:nvSpPr>
        <xdr:cNvPr id="42" name="Rectangle: Rounded Corners 41">
          <a:extLst>
            <a:ext uri="{FF2B5EF4-FFF2-40B4-BE49-F238E27FC236}">
              <a16:creationId xmlns:a16="http://schemas.microsoft.com/office/drawing/2014/main" id="{51AEA265-F1C9-47BE-8110-A93ABF8C12C9}"/>
            </a:ext>
          </a:extLst>
        </xdr:cNvPr>
        <xdr:cNvSpPr/>
      </xdr:nvSpPr>
      <xdr:spPr>
        <a:xfrm>
          <a:off x="4071255" y="872512"/>
          <a:ext cx="2059200" cy="383902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99786</xdr:colOff>
      <xdr:row>4</xdr:row>
      <xdr:rowOff>146798</xdr:rowOff>
    </xdr:from>
    <xdr:to>
      <xdr:col>6</xdr:col>
      <xdr:colOff>281201</xdr:colOff>
      <xdr:row>25</xdr:row>
      <xdr:rowOff>174012</xdr:rowOff>
    </xdr:to>
    <xdr:sp macro="" textlink="">
      <xdr:nvSpPr>
        <xdr:cNvPr id="29" name="Rectangle: Rounded Corners 28">
          <a:extLst>
            <a:ext uri="{FF2B5EF4-FFF2-40B4-BE49-F238E27FC236}">
              <a16:creationId xmlns:a16="http://schemas.microsoft.com/office/drawing/2014/main" id="{1894ECE8-6195-CC47-0F83-26AC9714D234}"/>
            </a:ext>
          </a:extLst>
        </xdr:cNvPr>
        <xdr:cNvSpPr/>
      </xdr:nvSpPr>
      <xdr:spPr>
        <a:xfrm>
          <a:off x="1866241" y="908798"/>
          <a:ext cx="1947869" cy="4027714"/>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0</xdr:colOff>
      <xdr:row>0</xdr:row>
      <xdr:rowOff>0</xdr:rowOff>
    </xdr:from>
    <xdr:to>
      <xdr:col>29</xdr:col>
      <xdr:colOff>335280</xdr:colOff>
      <xdr:row>4</xdr:row>
      <xdr:rowOff>99060</xdr:rowOff>
    </xdr:to>
    <xdr:sp macro="" textlink="">
      <xdr:nvSpPr>
        <xdr:cNvPr id="17" name="Rectangle 16">
          <a:extLst>
            <a:ext uri="{FF2B5EF4-FFF2-40B4-BE49-F238E27FC236}">
              <a16:creationId xmlns:a16="http://schemas.microsoft.com/office/drawing/2014/main" id="{0B476EC9-02A9-87E6-BED3-E66F3869837B}"/>
            </a:ext>
          </a:extLst>
        </xdr:cNvPr>
        <xdr:cNvSpPr/>
      </xdr:nvSpPr>
      <xdr:spPr>
        <a:xfrm>
          <a:off x="0" y="0"/>
          <a:ext cx="18013680" cy="822960"/>
        </a:xfrm>
        <a:prstGeom prst="rect">
          <a:avLst/>
        </a:prstGeom>
        <a:solidFill>
          <a:srgbClr val="125C4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3200" b="1">
              <a:solidFill>
                <a:srgbClr val="E9FBF8"/>
              </a:solidFill>
              <a:latin typeface="Segoe UI Black" panose="020B0A02040204020203" pitchFamily="34" charset="0"/>
              <a:ea typeface="Segoe UI Black" panose="020B0A02040204020203" pitchFamily="34" charset="0"/>
            </a:rPr>
            <a:t>QUALITY</a:t>
          </a:r>
          <a:r>
            <a:rPr lang="tr-TR" sz="3200" b="1" baseline="0">
              <a:solidFill>
                <a:srgbClr val="E9FBF8"/>
              </a:solidFill>
              <a:latin typeface="Segoe UI Black" panose="020B0A02040204020203" pitchFamily="34" charset="0"/>
              <a:ea typeface="Segoe UI Black" panose="020B0A02040204020203" pitchFamily="34" charset="0"/>
            </a:rPr>
            <a:t> CONTROL ERROR ANALYSIS</a:t>
          </a:r>
          <a:endParaRPr lang="en-US" sz="3200" b="1">
            <a:solidFill>
              <a:srgbClr val="E9FBF8"/>
            </a:solidFill>
            <a:latin typeface="Segoe UI Black" panose="020B0A02040204020203" pitchFamily="34" charset="0"/>
            <a:ea typeface="Segoe UI Black" panose="020B0A02040204020203" pitchFamily="34" charset="0"/>
          </a:endParaRPr>
        </a:p>
      </xdr:txBody>
    </xdr:sp>
    <xdr:clientData/>
  </xdr:twoCellAnchor>
  <xdr:twoCellAnchor>
    <xdr:from>
      <xdr:col>6</xdr:col>
      <xdr:colOff>74860</xdr:colOff>
      <xdr:row>13</xdr:row>
      <xdr:rowOff>117951</xdr:rowOff>
    </xdr:from>
    <xdr:to>
      <xdr:col>10</xdr:col>
      <xdr:colOff>108384</xdr:colOff>
      <xdr:row>26</xdr:row>
      <xdr:rowOff>27251</xdr:rowOff>
    </xdr:to>
    <xdr:graphicFrame macro="">
      <xdr:nvGraphicFramePr>
        <xdr:cNvPr id="27" name="Chart 26">
          <a:extLst>
            <a:ext uri="{FF2B5EF4-FFF2-40B4-BE49-F238E27FC236}">
              <a16:creationId xmlns:a16="http://schemas.microsoft.com/office/drawing/2014/main" id="{DB857FFC-6DBC-48E0-A2A4-6C014ECE889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55245</xdr:colOff>
      <xdr:row>15</xdr:row>
      <xdr:rowOff>57151</xdr:rowOff>
    </xdr:from>
    <xdr:to>
      <xdr:col>3</xdr:col>
      <xdr:colOff>55245</xdr:colOff>
      <xdr:row>27</xdr:row>
      <xdr:rowOff>95251</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FA5E9DF2-AC4C-4226-A86F-288D266B5BB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245" y="2771776"/>
              <a:ext cx="18288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331894</xdr:colOff>
      <xdr:row>21</xdr:row>
      <xdr:rowOff>95038</xdr:rowOff>
    </xdr:from>
    <xdr:to>
      <xdr:col>29</xdr:col>
      <xdr:colOff>331894</xdr:colOff>
      <xdr:row>28</xdr:row>
      <xdr:rowOff>66675</xdr:rowOff>
    </xdr:to>
    <mc:AlternateContent xmlns:mc="http://schemas.openxmlformats.org/markup-compatibility/2006" xmlns:a14="http://schemas.microsoft.com/office/drawing/2010/main">
      <mc:Choice Requires="a14">
        <xdr:graphicFrame macro="">
          <xdr:nvGraphicFramePr>
            <xdr:cNvPr id="31" name="Shift">
              <a:extLst>
                <a:ext uri="{FF2B5EF4-FFF2-40B4-BE49-F238E27FC236}">
                  <a16:creationId xmlns:a16="http://schemas.microsoft.com/office/drawing/2014/main" id="{3B8E517D-60A3-4D64-B178-C3326AC847D7}"/>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6181494" y="3895513"/>
              <a:ext cx="1828800" cy="1238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326572</xdr:colOff>
      <xdr:row>13</xdr:row>
      <xdr:rowOff>106318</xdr:rowOff>
    </xdr:from>
    <xdr:to>
      <xdr:col>26</xdr:col>
      <xdr:colOff>249604</xdr:colOff>
      <xdr:row>27</xdr:row>
      <xdr:rowOff>50318</xdr:rowOff>
    </xdr:to>
    <xdr:grpSp>
      <xdr:nvGrpSpPr>
        <xdr:cNvPr id="68" name="Group 67">
          <a:extLst>
            <a:ext uri="{FF2B5EF4-FFF2-40B4-BE49-F238E27FC236}">
              <a16:creationId xmlns:a16="http://schemas.microsoft.com/office/drawing/2014/main" id="{2521F037-A6A3-6052-6844-FFE0FC6A56EC}"/>
            </a:ext>
          </a:extLst>
        </xdr:cNvPr>
        <xdr:cNvGrpSpPr/>
      </xdr:nvGrpSpPr>
      <xdr:grpSpPr>
        <a:xfrm>
          <a:off x="9805109" y="2522416"/>
          <a:ext cx="5847117" cy="2545951"/>
          <a:chOff x="12599456" y="7812617"/>
          <a:chExt cx="6002025" cy="3726816"/>
        </a:xfrm>
      </xdr:grpSpPr>
      <xdr:sp macro="" textlink="">
        <xdr:nvSpPr>
          <xdr:cNvPr id="99" name="Rectangle: Rounded Corners 98">
            <a:extLst>
              <a:ext uri="{FF2B5EF4-FFF2-40B4-BE49-F238E27FC236}">
                <a16:creationId xmlns:a16="http://schemas.microsoft.com/office/drawing/2014/main" id="{5A384A0F-7926-7D09-2C78-28B09C657801}"/>
              </a:ext>
            </a:extLst>
          </xdr:cNvPr>
          <xdr:cNvSpPr/>
        </xdr:nvSpPr>
        <xdr:spPr>
          <a:xfrm>
            <a:off x="12599456" y="7812617"/>
            <a:ext cx="6002025" cy="3726816"/>
          </a:xfrm>
          <a:prstGeom prst="roundRect">
            <a:avLst>
              <a:gd name="adj" fmla="val 8162"/>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grpSp>
        <xdr:nvGrpSpPr>
          <xdr:cNvPr id="74" name="Group 73">
            <a:extLst>
              <a:ext uri="{FF2B5EF4-FFF2-40B4-BE49-F238E27FC236}">
                <a16:creationId xmlns:a16="http://schemas.microsoft.com/office/drawing/2014/main" id="{1FB39786-1384-CAB0-3E49-DF8530918108}"/>
              </a:ext>
            </a:extLst>
          </xdr:cNvPr>
          <xdr:cNvGrpSpPr/>
        </xdr:nvGrpSpPr>
        <xdr:grpSpPr>
          <a:xfrm>
            <a:off x="12759189" y="8039156"/>
            <a:ext cx="5720444" cy="3227584"/>
            <a:chOff x="1840088" y="3934478"/>
            <a:chExt cx="4495275" cy="2152771"/>
          </a:xfrm>
        </xdr:grpSpPr>
        <xdr:graphicFrame macro="">
          <xdr:nvGraphicFramePr>
            <xdr:cNvPr id="25" name="Chart 24">
              <a:extLst>
                <a:ext uri="{FF2B5EF4-FFF2-40B4-BE49-F238E27FC236}">
                  <a16:creationId xmlns:a16="http://schemas.microsoft.com/office/drawing/2014/main" id="{5F55C3F6-DB72-479B-AA4E-694DAB74666B}"/>
                </a:ext>
              </a:extLst>
            </xdr:cNvPr>
            <xdr:cNvGraphicFramePr>
              <a:graphicFrameLocks/>
            </xdr:cNvGraphicFramePr>
          </xdr:nvGraphicFramePr>
          <xdr:xfrm>
            <a:off x="1840088" y="3939330"/>
            <a:ext cx="4495275" cy="214791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5" name="TextBox 44">
              <a:extLst>
                <a:ext uri="{FF2B5EF4-FFF2-40B4-BE49-F238E27FC236}">
                  <a16:creationId xmlns:a16="http://schemas.microsoft.com/office/drawing/2014/main" id="{F54D99B8-DBE0-2C81-7318-AFD15E824053}"/>
                </a:ext>
              </a:extLst>
            </xdr:cNvPr>
            <xdr:cNvSpPr txBox="1"/>
          </xdr:nvSpPr>
          <xdr:spPr>
            <a:xfrm>
              <a:off x="3499039" y="3934478"/>
              <a:ext cx="1147601" cy="346201"/>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none" rtlCol="0" anchor="t">
              <a:spAutoFit/>
            </a:bodyPr>
            <a:lstStyle/>
            <a:p>
              <a:pPr algn="ctr"/>
              <a:r>
                <a:rPr lang="tr-TR" sz="1400" b="1">
                  <a:solidFill>
                    <a:srgbClr val="125C4F"/>
                  </a:solidFill>
                  <a:latin typeface="Segoe UI Black" panose="020B0A02040204020203" pitchFamily="34" charset="0"/>
                  <a:ea typeface="Segoe UI Black" panose="020B0A02040204020203" pitchFamily="34" charset="0"/>
                </a:rPr>
                <a:t>Error Rate(%)</a:t>
              </a:r>
              <a:endParaRPr lang="en-US" sz="1400" b="1">
                <a:solidFill>
                  <a:srgbClr val="125C4F"/>
                </a:solidFill>
                <a:latin typeface="Segoe UI Black" panose="020B0A02040204020203" pitchFamily="34" charset="0"/>
                <a:ea typeface="Segoe UI Black" panose="020B0A02040204020203" pitchFamily="34" charset="0"/>
              </a:endParaRPr>
            </a:p>
          </xdr:txBody>
        </xdr:sp>
      </xdr:grpSp>
    </xdr:grpSp>
    <xdr:clientData/>
  </xdr:twoCellAnchor>
  <xdr:twoCellAnchor editAs="oneCell">
    <xdr:from>
      <xdr:col>0</xdr:col>
      <xdr:colOff>32810</xdr:colOff>
      <xdr:row>28</xdr:row>
      <xdr:rowOff>76200</xdr:rowOff>
    </xdr:from>
    <xdr:to>
      <xdr:col>3</xdr:col>
      <xdr:colOff>61366</xdr:colOff>
      <xdr:row>46</xdr:row>
      <xdr:rowOff>47625</xdr:rowOff>
    </xdr:to>
    <mc:AlternateContent xmlns:mc="http://schemas.openxmlformats.org/markup-compatibility/2006" xmlns:a14="http://schemas.microsoft.com/office/drawing/2010/main">
      <mc:Choice Requires="a14">
        <xdr:graphicFrame macro="">
          <xdr:nvGraphicFramePr>
            <xdr:cNvPr id="6" name="MachineCode">
              <a:extLst>
                <a:ext uri="{FF2B5EF4-FFF2-40B4-BE49-F238E27FC236}">
                  <a16:creationId xmlns:a16="http://schemas.microsoft.com/office/drawing/2014/main" id="{DADFE297-EE5A-41B8-8FB7-8A7619B3FFC2}"/>
                </a:ext>
              </a:extLst>
            </xdr:cNvPr>
            <xdr:cNvGraphicFramePr/>
          </xdr:nvGraphicFramePr>
          <xdr:xfrm>
            <a:off x="0" y="0"/>
            <a:ext cx="0" cy="0"/>
          </xdr:xfrm>
          <a:graphic>
            <a:graphicData uri="http://schemas.microsoft.com/office/drawing/2010/slicer">
              <sle:slicer xmlns:sle="http://schemas.microsoft.com/office/drawing/2010/slicer" name="MachineCode"/>
            </a:graphicData>
          </a:graphic>
        </xdr:graphicFrame>
      </mc:Choice>
      <mc:Fallback xmlns="">
        <xdr:sp macro="" textlink="">
          <xdr:nvSpPr>
            <xdr:cNvPr id="0" name=""/>
            <xdr:cNvSpPr>
              <a:spLocks noTextEdit="1"/>
            </xdr:cNvSpPr>
          </xdr:nvSpPr>
          <xdr:spPr>
            <a:xfrm>
              <a:off x="32810" y="5143500"/>
              <a:ext cx="1857356" cy="3228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43391</xdr:colOff>
      <xdr:row>4</xdr:row>
      <xdr:rowOff>131233</xdr:rowOff>
    </xdr:from>
    <xdr:to>
      <xdr:col>3</xdr:col>
      <xdr:colOff>67944</xdr:colOff>
      <xdr:row>14</xdr:row>
      <xdr:rowOff>171450</xdr:rowOff>
    </xdr:to>
    <mc:AlternateContent xmlns:mc="http://schemas.openxmlformats.org/markup-compatibility/2006" xmlns:a14="http://schemas.microsoft.com/office/drawing/2010/main">
      <mc:Choice Requires="a14">
        <xdr:graphicFrame macro="">
          <xdr:nvGraphicFramePr>
            <xdr:cNvPr id="19" name="ProductionLine">
              <a:extLst>
                <a:ext uri="{FF2B5EF4-FFF2-40B4-BE49-F238E27FC236}">
                  <a16:creationId xmlns:a16="http://schemas.microsoft.com/office/drawing/2014/main" id="{8188C8BA-6A6B-44A3-AD5D-4F467A80F913}"/>
                </a:ext>
              </a:extLst>
            </xdr:cNvPr>
            <xdr:cNvGraphicFramePr/>
          </xdr:nvGraphicFramePr>
          <xdr:xfrm>
            <a:off x="0" y="0"/>
            <a:ext cx="0" cy="0"/>
          </xdr:xfrm>
          <a:graphic>
            <a:graphicData uri="http://schemas.microsoft.com/office/drawing/2010/slicer">
              <sle:slicer xmlns:sle="http://schemas.microsoft.com/office/drawing/2010/slicer" name="ProductionLine"/>
            </a:graphicData>
          </a:graphic>
        </xdr:graphicFrame>
      </mc:Choice>
      <mc:Fallback xmlns="">
        <xdr:sp macro="" textlink="">
          <xdr:nvSpPr>
            <xdr:cNvPr id="0" name=""/>
            <xdr:cNvSpPr>
              <a:spLocks noTextEdit="1"/>
            </xdr:cNvSpPr>
          </xdr:nvSpPr>
          <xdr:spPr>
            <a:xfrm>
              <a:off x="43391" y="855133"/>
              <a:ext cx="1853353" cy="1849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116158</xdr:colOff>
      <xdr:row>13</xdr:row>
      <xdr:rowOff>117887</xdr:rowOff>
    </xdr:from>
    <xdr:to>
      <xdr:col>8</xdr:col>
      <xdr:colOff>242455</xdr:colOff>
      <xdr:row>26</xdr:row>
      <xdr:rowOff>27315</xdr:rowOff>
    </xdr:to>
    <xdr:grpSp>
      <xdr:nvGrpSpPr>
        <xdr:cNvPr id="106" name="Group 105">
          <a:extLst>
            <a:ext uri="{FF2B5EF4-FFF2-40B4-BE49-F238E27FC236}">
              <a16:creationId xmlns:a16="http://schemas.microsoft.com/office/drawing/2014/main" id="{499FE489-3722-5FD8-C4C1-69E7BF004B74}"/>
            </a:ext>
          </a:extLst>
        </xdr:cNvPr>
        <xdr:cNvGrpSpPr>
          <a:grpSpLocks noChangeAspect="1"/>
        </xdr:cNvGrpSpPr>
      </xdr:nvGrpSpPr>
      <xdr:grpSpPr>
        <a:xfrm>
          <a:off x="708567" y="2533985"/>
          <a:ext cx="4273156" cy="2325525"/>
          <a:chOff x="1530934" y="2605665"/>
          <a:chExt cx="4011256" cy="2308226"/>
        </a:xfrm>
      </xdr:grpSpPr>
      <xdr:sp macro="" textlink="">
        <xdr:nvSpPr>
          <xdr:cNvPr id="34" name="Oval 33">
            <a:extLst>
              <a:ext uri="{FF2B5EF4-FFF2-40B4-BE49-F238E27FC236}">
                <a16:creationId xmlns:a16="http://schemas.microsoft.com/office/drawing/2014/main" id="{E765838A-FC70-781A-0A8D-F9D677E47687}"/>
              </a:ext>
            </a:extLst>
          </xdr:cNvPr>
          <xdr:cNvSpPr/>
        </xdr:nvSpPr>
        <xdr:spPr>
          <a:xfrm>
            <a:off x="2814536" y="3067310"/>
            <a:ext cx="1444052" cy="1384936"/>
          </a:xfrm>
          <a:prstGeom prst="ellipse">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graphicFrame macro="">
        <xdr:nvGraphicFramePr>
          <xdr:cNvPr id="35" name="Chart 34">
            <a:extLst>
              <a:ext uri="{FF2B5EF4-FFF2-40B4-BE49-F238E27FC236}">
                <a16:creationId xmlns:a16="http://schemas.microsoft.com/office/drawing/2014/main" id="{23FD9754-FDB5-4E4E-A74B-F6279F3CC7F2}"/>
              </a:ext>
            </a:extLst>
          </xdr:cNvPr>
          <xdr:cNvGraphicFramePr>
            <a:graphicFrameLocks/>
          </xdr:cNvGraphicFramePr>
        </xdr:nvGraphicFramePr>
        <xdr:xfrm>
          <a:off x="1530934" y="2605665"/>
          <a:ext cx="4011256" cy="230822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26</xdr:col>
      <xdr:colOff>267759</xdr:colOff>
      <xdr:row>29</xdr:row>
      <xdr:rowOff>21168</xdr:rowOff>
    </xdr:from>
    <xdr:to>
      <xdr:col>29</xdr:col>
      <xdr:colOff>267759</xdr:colOff>
      <xdr:row>45</xdr:row>
      <xdr:rowOff>123826</xdr:rowOff>
    </xdr:to>
    <mc:AlternateContent xmlns:mc="http://schemas.openxmlformats.org/markup-compatibility/2006" xmlns:a14="http://schemas.microsoft.com/office/drawing/2010/main">
      <mc:Choice Requires="a14">
        <xdr:graphicFrame macro="">
          <xdr:nvGraphicFramePr>
            <xdr:cNvPr id="40" name="ProductCode">
              <a:extLst>
                <a:ext uri="{FF2B5EF4-FFF2-40B4-BE49-F238E27FC236}">
                  <a16:creationId xmlns:a16="http://schemas.microsoft.com/office/drawing/2014/main" id="{9F5B601C-EB92-4444-944A-DDA0034D5148}"/>
                </a:ext>
              </a:extLst>
            </xdr:cNvPr>
            <xdr:cNvGraphicFramePr/>
          </xdr:nvGraphicFramePr>
          <xdr:xfrm>
            <a:off x="0" y="0"/>
            <a:ext cx="0" cy="0"/>
          </xdr:xfrm>
          <a:graphic>
            <a:graphicData uri="http://schemas.microsoft.com/office/drawing/2010/slicer">
              <sle:slicer xmlns:sle="http://schemas.microsoft.com/office/drawing/2010/slicer" name="ProductCode"/>
            </a:graphicData>
          </a:graphic>
        </xdr:graphicFrame>
      </mc:Choice>
      <mc:Fallback xmlns="">
        <xdr:sp macro="" textlink="">
          <xdr:nvSpPr>
            <xdr:cNvPr id="0" name=""/>
            <xdr:cNvSpPr>
              <a:spLocks noTextEdit="1"/>
            </xdr:cNvSpPr>
          </xdr:nvSpPr>
          <xdr:spPr>
            <a:xfrm>
              <a:off x="16117359" y="5269443"/>
              <a:ext cx="1828800" cy="2998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309033</xdr:colOff>
      <xdr:row>38</xdr:row>
      <xdr:rowOff>101546</xdr:rowOff>
    </xdr:from>
    <xdr:to>
      <xdr:col>8</xdr:col>
      <xdr:colOff>267281</xdr:colOff>
      <xdr:row>40</xdr:row>
      <xdr:rowOff>3332</xdr:rowOff>
    </xdr:to>
    <xdr:sp macro="" textlink="B4">
      <xdr:nvSpPr>
        <xdr:cNvPr id="51" name="TextBox 50">
          <a:extLst>
            <a:ext uri="{FF2B5EF4-FFF2-40B4-BE49-F238E27FC236}">
              <a16:creationId xmlns:a16="http://schemas.microsoft.com/office/drawing/2014/main" id="{89EE2B39-CD60-87B6-2B46-6F9C7330C8C5}"/>
            </a:ext>
          </a:extLst>
        </xdr:cNvPr>
        <xdr:cNvSpPr txBox="1"/>
      </xdr:nvSpPr>
      <xdr:spPr>
        <a:xfrm>
          <a:off x="4576233" y="7179679"/>
          <a:ext cx="56784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6052D0E-5EC2-4D3B-BB0E-4310011CB063}" type="TxLink">
            <a:rPr lang="en-US" sz="1100" b="0" i="0" u="none" strike="noStrike">
              <a:solidFill>
                <a:srgbClr val="FFFFFF"/>
              </a:solidFill>
              <a:latin typeface="Segoe UI Black"/>
              <a:ea typeface="Segoe UI Black"/>
            </a:rPr>
            <a:pPr/>
            <a:t> </a:t>
          </a:fld>
          <a:endParaRPr lang="en-US" sz="1100"/>
        </a:p>
      </xdr:txBody>
    </xdr:sp>
    <xdr:clientData/>
  </xdr:twoCellAnchor>
  <xdr:twoCellAnchor>
    <xdr:from>
      <xdr:col>7</xdr:col>
      <xdr:colOff>303006</xdr:colOff>
      <xdr:row>39</xdr:row>
      <xdr:rowOff>166739</xdr:rowOff>
    </xdr:from>
    <xdr:to>
      <xdr:col>8</xdr:col>
      <xdr:colOff>267281</xdr:colOff>
      <xdr:row>41</xdr:row>
      <xdr:rowOff>68526</xdr:rowOff>
    </xdr:to>
    <xdr:sp macro="" textlink="B5">
      <xdr:nvSpPr>
        <xdr:cNvPr id="52" name="TextBox 51">
          <a:extLst>
            <a:ext uri="{FF2B5EF4-FFF2-40B4-BE49-F238E27FC236}">
              <a16:creationId xmlns:a16="http://schemas.microsoft.com/office/drawing/2014/main" id="{1D218C61-C3C0-B1BD-1EA1-A0D37FD73C9F}"/>
            </a:ext>
          </a:extLst>
        </xdr:cNvPr>
        <xdr:cNvSpPr txBox="1"/>
      </xdr:nvSpPr>
      <xdr:spPr>
        <a:xfrm>
          <a:off x="4570206" y="7431139"/>
          <a:ext cx="57387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D88E326-612B-4024-AFBA-82CF4120A645}" type="TxLink">
            <a:rPr lang="en-US" sz="1100" b="0" i="0" u="none" strike="noStrike">
              <a:solidFill>
                <a:srgbClr val="FFFFFF"/>
              </a:solidFill>
              <a:latin typeface="Segoe UI Black"/>
              <a:ea typeface="Segoe UI Black"/>
            </a:rPr>
            <a:pPr/>
            <a:t> </a:t>
          </a:fld>
          <a:endParaRPr lang="en-US" sz="1100"/>
        </a:p>
      </xdr:txBody>
    </xdr:sp>
    <xdr:clientData/>
  </xdr:twoCellAnchor>
  <xdr:twoCellAnchor>
    <xdr:from>
      <xdr:col>7</xdr:col>
      <xdr:colOff>303006</xdr:colOff>
      <xdr:row>41</xdr:row>
      <xdr:rowOff>45666</xdr:rowOff>
    </xdr:from>
    <xdr:to>
      <xdr:col>8</xdr:col>
      <xdr:colOff>267281</xdr:colOff>
      <xdr:row>42</xdr:row>
      <xdr:rowOff>133719</xdr:rowOff>
    </xdr:to>
    <xdr:sp macro="" textlink="B6">
      <xdr:nvSpPr>
        <xdr:cNvPr id="53" name="TextBox 52">
          <a:extLst>
            <a:ext uri="{FF2B5EF4-FFF2-40B4-BE49-F238E27FC236}">
              <a16:creationId xmlns:a16="http://schemas.microsoft.com/office/drawing/2014/main" id="{87EFFD77-432E-232C-B9F1-4F409F732F18}"/>
            </a:ext>
          </a:extLst>
        </xdr:cNvPr>
        <xdr:cNvSpPr txBox="1"/>
      </xdr:nvSpPr>
      <xdr:spPr>
        <a:xfrm>
          <a:off x="4570206" y="7682599"/>
          <a:ext cx="57387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8FD995D-ADB3-4816-AD44-343CD03FA0C4}" type="TxLink">
            <a:rPr lang="en-US" sz="1100" b="0" i="0" u="none" strike="noStrike">
              <a:solidFill>
                <a:srgbClr val="FFFFFF"/>
              </a:solidFill>
              <a:latin typeface="Segoe UI Black"/>
              <a:ea typeface="Segoe UI Black"/>
            </a:rPr>
            <a:pPr/>
            <a:t> </a:t>
          </a:fld>
          <a:endParaRPr lang="en-US" sz="1100"/>
        </a:p>
      </xdr:txBody>
    </xdr:sp>
    <xdr:clientData/>
  </xdr:twoCellAnchor>
  <xdr:twoCellAnchor>
    <xdr:from>
      <xdr:col>7</xdr:col>
      <xdr:colOff>309033</xdr:colOff>
      <xdr:row>42</xdr:row>
      <xdr:rowOff>137530</xdr:rowOff>
    </xdr:from>
    <xdr:to>
      <xdr:col>8</xdr:col>
      <xdr:colOff>267281</xdr:colOff>
      <xdr:row>44</xdr:row>
      <xdr:rowOff>39317</xdr:rowOff>
    </xdr:to>
    <xdr:sp macro="" textlink="B7">
      <xdr:nvSpPr>
        <xdr:cNvPr id="54" name="TextBox 53">
          <a:extLst>
            <a:ext uri="{FF2B5EF4-FFF2-40B4-BE49-F238E27FC236}">
              <a16:creationId xmlns:a16="http://schemas.microsoft.com/office/drawing/2014/main" id="{FF2463C6-563A-BA3D-294D-3FCFB1E3B057}"/>
            </a:ext>
          </a:extLst>
        </xdr:cNvPr>
        <xdr:cNvSpPr txBox="1"/>
      </xdr:nvSpPr>
      <xdr:spPr>
        <a:xfrm>
          <a:off x="4576233" y="7960730"/>
          <a:ext cx="56784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F038916-6BD8-4883-936E-32F31146906E}" type="TxLink">
            <a:rPr lang="en-US" sz="1100" b="0" i="0" u="none" strike="noStrike">
              <a:solidFill>
                <a:srgbClr val="FFFFFF"/>
              </a:solidFill>
              <a:latin typeface="Segoe UI Black"/>
              <a:ea typeface="Segoe UI Black"/>
            </a:rPr>
            <a:pPr/>
            <a:t> </a:t>
          </a:fld>
          <a:endParaRPr lang="en-US" sz="1100"/>
        </a:p>
      </xdr:txBody>
    </xdr:sp>
    <xdr:clientData/>
  </xdr:twoCellAnchor>
  <xdr:twoCellAnchor>
    <xdr:from>
      <xdr:col>7</xdr:col>
      <xdr:colOff>309033</xdr:colOff>
      <xdr:row>44</xdr:row>
      <xdr:rowOff>43126</xdr:rowOff>
    </xdr:from>
    <xdr:to>
      <xdr:col>8</xdr:col>
      <xdr:colOff>253944</xdr:colOff>
      <xdr:row>45</xdr:row>
      <xdr:rowOff>131179</xdr:rowOff>
    </xdr:to>
    <xdr:sp macro="" textlink="B8">
      <xdr:nvSpPr>
        <xdr:cNvPr id="55" name="TextBox 54">
          <a:extLst>
            <a:ext uri="{FF2B5EF4-FFF2-40B4-BE49-F238E27FC236}">
              <a16:creationId xmlns:a16="http://schemas.microsoft.com/office/drawing/2014/main" id="{FEFACAB6-EB5F-9DC4-41AF-F62627C4DCF7}"/>
            </a:ext>
          </a:extLst>
        </xdr:cNvPr>
        <xdr:cNvSpPr txBox="1"/>
      </xdr:nvSpPr>
      <xdr:spPr>
        <a:xfrm>
          <a:off x="4576233" y="8238859"/>
          <a:ext cx="554511"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8BC1946-C36F-4149-A1A3-734A1C973BAA}" type="TxLink">
            <a:rPr lang="en-US" sz="1100" b="0" i="0" u="none" strike="noStrike">
              <a:solidFill>
                <a:srgbClr val="FFFFFF"/>
              </a:solidFill>
              <a:latin typeface="Segoe UI Black"/>
              <a:ea typeface="Segoe UI Black"/>
            </a:rPr>
            <a:pPr/>
            <a:t> </a:t>
          </a:fld>
          <a:endParaRPr lang="en-US" sz="1100"/>
        </a:p>
      </xdr:txBody>
    </xdr:sp>
    <xdr:clientData/>
  </xdr:twoCellAnchor>
  <xdr:twoCellAnchor>
    <xdr:from>
      <xdr:col>21</xdr:col>
      <xdr:colOff>323850</xdr:colOff>
      <xdr:row>27</xdr:row>
      <xdr:rowOff>154842</xdr:rowOff>
    </xdr:from>
    <xdr:to>
      <xdr:col>28</xdr:col>
      <xdr:colOff>278014</xdr:colOff>
      <xdr:row>45</xdr:row>
      <xdr:rowOff>97692</xdr:rowOff>
    </xdr:to>
    <xdr:grpSp>
      <xdr:nvGrpSpPr>
        <xdr:cNvPr id="89" name="Group 88">
          <a:extLst>
            <a:ext uri="{FF2B5EF4-FFF2-40B4-BE49-F238E27FC236}">
              <a16:creationId xmlns:a16="http://schemas.microsoft.com/office/drawing/2014/main" id="{CA69957A-F4D2-FBA6-6FEB-B29E540D00AD}"/>
            </a:ext>
          </a:extLst>
        </xdr:cNvPr>
        <xdr:cNvGrpSpPr/>
      </xdr:nvGrpSpPr>
      <xdr:grpSpPr>
        <a:xfrm>
          <a:off x="12764429" y="5172891"/>
          <a:ext cx="4101024" cy="3288216"/>
          <a:chOff x="7181850" y="5020735"/>
          <a:chExt cx="3954664" cy="2008715"/>
        </a:xfrm>
      </xdr:grpSpPr>
      <xdr:sp macro="" textlink="">
        <xdr:nvSpPr>
          <xdr:cNvPr id="44" name="Rectangle: Rounded Corners 43">
            <a:extLst>
              <a:ext uri="{FF2B5EF4-FFF2-40B4-BE49-F238E27FC236}">
                <a16:creationId xmlns:a16="http://schemas.microsoft.com/office/drawing/2014/main" id="{12503BE0-9BC2-416D-99F7-839BD8338082}"/>
              </a:ext>
            </a:extLst>
          </xdr:cNvPr>
          <xdr:cNvSpPr/>
        </xdr:nvSpPr>
        <xdr:spPr>
          <a:xfrm>
            <a:off x="7429962" y="5020735"/>
            <a:ext cx="2409363" cy="2008715"/>
          </a:xfrm>
          <a:prstGeom prst="roundRect">
            <a:avLst>
              <a:gd name="adj" fmla="val 9630"/>
            </a:avLst>
          </a:prstGeom>
          <a:solidFill>
            <a:srgbClr val="99EB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6" name="Group 75">
            <a:extLst>
              <a:ext uri="{FF2B5EF4-FFF2-40B4-BE49-F238E27FC236}">
                <a16:creationId xmlns:a16="http://schemas.microsoft.com/office/drawing/2014/main" id="{B50FB679-7346-A3ED-B4E2-682726AA86F9}"/>
              </a:ext>
            </a:extLst>
          </xdr:cNvPr>
          <xdr:cNvGrpSpPr/>
        </xdr:nvGrpSpPr>
        <xdr:grpSpPr>
          <a:xfrm>
            <a:off x="7181850" y="5134032"/>
            <a:ext cx="3954664" cy="1880963"/>
            <a:chOff x="1752600" y="6650566"/>
            <a:chExt cx="4288039" cy="1921994"/>
          </a:xfrm>
        </xdr:grpSpPr>
        <xdr:sp macro="" textlink="">
          <xdr:nvSpPr>
            <xdr:cNvPr id="48" name="TextBox 47">
              <a:extLst>
                <a:ext uri="{FF2B5EF4-FFF2-40B4-BE49-F238E27FC236}">
                  <a16:creationId xmlns:a16="http://schemas.microsoft.com/office/drawing/2014/main" id="{540D7AC9-DC09-8758-78A5-01787123767E}"/>
                </a:ext>
              </a:extLst>
            </xdr:cNvPr>
            <xdr:cNvSpPr txBox="1"/>
          </xdr:nvSpPr>
          <xdr:spPr>
            <a:xfrm>
              <a:off x="1752600" y="6663193"/>
              <a:ext cx="1586277" cy="263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tr-TR" sz="1100" b="1">
                  <a:solidFill>
                    <a:srgbClr val="FFFFFF"/>
                  </a:solidFill>
                  <a:latin typeface="Segoe UI Black" panose="020B0A02040204020203" pitchFamily="34" charset="0"/>
                  <a:ea typeface="Segoe UI Black" panose="020B0A02040204020203" pitchFamily="34" charset="0"/>
                </a:rPr>
                <a:t>INSPECTOR</a:t>
              </a:r>
              <a:endParaRPr lang="en-US" sz="1100" b="1">
                <a:solidFill>
                  <a:srgbClr val="FFFFFF"/>
                </a:solidFill>
                <a:latin typeface="Segoe UI Black" panose="020B0A02040204020203" pitchFamily="34" charset="0"/>
                <a:ea typeface="Segoe UI Black" panose="020B0A02040204020203" pitchFamily="34" charset="0"/>
              </a:endParaRPr>
            </a:p>
          </xdr:txBody>
        </xdr:sp>
        <xdr:sp macro="" textlink="">
          <xdr:nvSpPr>
            <xdr:cNvPr id="50" name="TextBox 49">
              <a:extLst>
                <a:ext uri="{FF2B5EF4-FFF2-40B4-BE49-F238E27FC236}">
                  <a16:creationId xmlns:a16="http://schemas.microsoft.com/office/drawing/2014/main" id="{CBE7BB9B-F664-D0B7-74D1-70A01E31E480}"/>
                </a:ext>
              </a:extLst>
            </xdr:cNvPr>
            <xdr:cNvSpPr txBox="1"/>
          </xdr:nvSpPr>
          <xdr:spPr>
            <a:xfrm>
              <a:off x="2827896" y="6653033"/>
              <a:ext cx="2087850" cy="263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tr-TR" sz="1100" b="1">
                  <a:solidFill>
                    <a:srgbClr val="FFFFFF"/>
                  </a:solidFill>
                  <a:latin typeface="Segoe UI Black" panose="020B0A02040204020203" pitchFamily="34" charset="0"/>
                  <a:ea typeface="Segoe UI Black" panose="020B0A02040204020203" pitchFamily="34" charset="0"/>
                </a:rPr>
                <a:t>QUALITY</a:t>
              </a:r>
              <a:r>
                <a:rPr lang="tr-TR" sz="1100" b="1" baseline="0">
                  <a:solidFill>
                    <a:srgbClr val="FFFFFF"/>
                  </a:solidFill>
                  <a:latin typeface="Segoe UI Black" panose="020B0A02040204020203" pitchFamily="34" charset="0"/>
                  <a:ea typeface="Segoe UI Black" panose="020B0A02040204020203" pitchFamily="34" charset="0"/>
                </a:rPr>
                <a:t> SCORE</a:t>
              </a:r>
              <a:endParaRPr lang="en-US" sz="1100" b="1">
                <a:solidFill>
                  <a:srgbClr val="FFFFFF"/>
                </a:solidFill>
                <a:latin typeface="Segoe UI Black" panose="020B0A02040204020203" pitchFamily="34" charset="0"/>
                <a:ea typeface="Segoe UI Black" panose="020B0A02040204020203" pitchFamily="34" charset="0"/>
              </a:endParaRPr>
            </a:p>
          </xdr:txBody>
        </xdr:sp>
        <xdr:sp macro="" textlink="Pivot!AV4">
          <xdr:nvSpPr>
            <xdr:cNvPr id="56" name="TextBox 55">
              <a:extLst>
                <a:ext uri="{FF2B5EF4-FFF2-40B4-BE49-F238E27FC236}">
                  <a16:creationId xmlns:a16="http://schemas.microsoft.com/office/drawing/2014/main" id="{E3D953B2-31CA-7F12-5B0E-EAFD9E2D4760}"/>
                </a:ext>
              </a:extLst>
            </xdr:cNvPr>
            <xdr:cNvSpPr txBox="1"/>
          </xdr:nvSpPr>
          <xdr:spPr>
            <a:xfrm>
              <a:off x="2226733" y="6987538"/>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12677C9-A00C-4987-B51F-BE1A5E974919}"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Ahmet</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V5">
          <xdr:nvSpPr>
            <xdr:cNvPr id="57" name="TextBox 56">
              <a:extLst>
                <a:ext uri="{FF2B5EF4-FFF2-40B4-BE49-F238E27FC236}">
                  <a16:creationId xmlns:a16="http://schemas.microsoft.com/office/drawing/2014/main" id="{A005072F-4E56-029E-3E78-4BB58CBE03FF}"/>
                </a:ext>
              </a:extLst>
            </xdr:cNvPr>
            <xdr:cNvSpPr txBox="1"/>
          </xdr:nvSpPr>
          <xdr:spPr>
            <a:xfrm>
              <a:off x="2226733" y="7233709"/>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6077C16-D24F-47AE-8BC8-C6CEDDB0BA9A}"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Ayşe</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V6">
          <xdr:nvSpPr>
            <xdr:cNvPr id="58" name="TextBox 57">
              <a:extLst>
                <a:ext uri="{FF2B5EF4-FFF2-40B4-BE49-F238E27FC236}">
                  <a16:creationId xmlns:a16="http://schemas.microsoft.com/office/drawing/2014/main" id="{9FBDE93C-961C-ABB5-6762-D246C697514C}"/>
                </a:ext>
              </a:extLst>
            </xdr:cNvPr>
            <xdr:cNvSpPr txBox="1"/>
          </xdr:nvSpPr>
          <xdr:spPr>
            <a:xfrm>
              <a:off x="2226733" y="7474586"/>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333603F-396A-4680-9E00-B68848BF09C6}"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Burak</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V7">
          <xdr:nvSpPr>
            <xdr:cNvPr id="59" name="TextBox 58">
              <a:extLst>
                <a:ext uri="{FF2B5EF4-FFF2-40B4-BE49-F238E27FC236}">
                  <a16:creationId xmlns:a16="http://schemas.microsoft.com/office/drawing/2014/main" id="{B65A1262-37C3-6ACC-7C0A-1BB383685153}"/>
                </a:ext>
              </a:extLst>
            </xdr:cNvPr>
            <xdr:cNvSpPr txBox="1"/>
          </xdr:nvSpPr>
          <xdr:spPr>
            <a:xfrm>
              <a:off x="2226733" y="7747421"/>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124E841-FD7B-4473-AE8E-226EB5FA8D6F}"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Ece</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V8">
          <xdr:nvSpPr>
            <xdr:cNvPr id="60" name="TextBox 59">
              <a:extLst>
                <a:ext uri="{FF2B5EF4-FFF2-40B4-BE49-F238E27FC236}">
                  <a16:creationId xmlns:a16="http://schemas.microsoft.com/office/drawing/2014/main" id="{8F0E6078-F8CD-9070-0A0D-3E21B1EB9DE5}"/>
                </a:ext>
              </a:extLst>
            </xdr:cNvPr>
            <xdr:cNvSpPr txBox="1"/>
          </xdr:nvSpPr>
          <xdr:spPr>
            <a:xfrm>
              <a:off x="2226733" y="8014970"/>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D03AC8A-4E74-4C8B-B010-1BA15320C778}"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Mehmet</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W4">
          <xdr:nvSpPr>
            <xdr:cNvPr id="61" name="TextBox 60">
              <a:extLst>
                <a:ext uri="{FF2B5EF4-FFF2-40B4-BE49-F238E27FC236}">
                  <a16:creationId xmlns:a16="http://schemas.microsoft.com/office/drawing/2014/main" id="{E4F5D720-2161-D782-6BDD-8AD0BAD23910}"/>
                </a:ext>
              </a:extLst>
            </xdr:cNvPr>
            <xdr:cNvSpPr txBox="1"/>
          </xdr:nvSpPr>
          <xdr:spPr>
            <a:xfrm>
              <a:off x="3563620" y="6998971"/>
              <a:ext cx="745914" cy="263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83F8EA-6AD9-44A0-9F3C-3E7C667CE601}" type="TxLink">
                <a:rPr lang="en-US" sz="1100" b="0" i="0" u="none" strike="noStrike">
                  <a:solidFill>
                    <a:srgbClr val="125C4F"/>
                  </a:solidFill>
                  <a:latin typeface="Segoe UI Black"/>
                  <a:ea typeface="Segoe UI Black"/>
                  <a:cs typeface="Calibri"/>
                </a:rPr>
                <a:pPr/>
                <a:t>82,74</a:t>
              </a:fld>
              <a:endParaRPr lang="en-US" sz="1100">
                <a:solidFill>
                  <a:srgbClr val="125C4F"/>
                </a:solidFill>
                <a:latin typeface="Segoe UI Black" panose="020B0A02040204020203" pitchFamily="34" charset="0"/>
                <a:ea typeface="Segoe UI Black" panose="020B0A02040204020203" pitchFamily="34" charset="0"/>
              </a:endParaRPr>
            </a:p>
          </xdr:txBody>
        </xdr:sp>
        <xdr:sp macro="" textlink="Pivot!AW5">
          <xdr:nvSpPr>
            <xdr:cNvPr id="62" name="TextBox 61">
              <a:extLst>
                <a:ext uri="{FF2B5EF4-FFF2-40B4-BE49-F238E27FC236}">
                  <a16:creationId xmlns:a16="http://schemas.microsoft.com/office/drawing/2014/main" id="{3AD65FA7-C254-8FD1-8D65-A8A2EF4578A0}"/>
                </a:ext>
              </a:extLst>
            </xdr:cNvPr>
            <xdr:cNvSpPr txBox="1"/>
          </xdr:nvSpPr>
          <xdr:spPr>
            <a:xfrm>
              <a:off x="3563620" y="7248483"/>
              <a:ext cx="728981" cy="269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B50774-2445-4E57-8F53-6C6087E286D1}" type="TxLink">
                <a:rPr lang="en-US" sz="1100" b="0" i="0" u="none" strike="noStrike">
                  <a:solidFill>
                    <a:srgbClr val="125C4F"/>
                  </a:solidFill>
                  <a:latin typeface="Segoe UI Black"/>
                  <a:ea typeface="Segoe UI Black"/>
                  <a:cs typeface="Calibri"/>
                </a:rPr>
                <a:pPr/>
                <a:t>83,38</a:t>
              </a:fld>
              <a:endParaRPr lang="en-US" sz="1100">
                <a:solidFill>
                  <a:srgbClr val="125C4F"/>
                </a:solidFill>
                <a:latin typeface="Segoe UI Black" panose="020B0A02040204020203" pitchFamily="34" charset="0"/>
                <a:ea typeface="Segoe UI Black" panose="020B0A02040204020203" pitchFamily="34" charset="0"/>
              </a:endParaRPr>
            </a:p>
          </xdr:txBody>
        </xdr:sp>
        <xdr:sp macro="" textlink="Pivot!AW6">
          <xdr:nvSpPr>
            <xdr:cNvPr id="63" name="TextBox 62">
              <a:extLst>
                <a:ext uri="{FF2B5EF4-FFF2-40B4-BE49-F238E27FC236}">
                  <a16:creationId xmlns:a16="http://schemas.microsoft.com/office/drawing/2014/main" id="{033E7C59-0983-1341-842D-5FBB07432FC5}"/>
                </a:ext>
              </a:extLst>
            </xdr:cNvPr>
            <xdr:cNvSpPr txBox="1"/>
          </xdr:nvSpPr>
          <xdr:spPr>
            <a:xfrm>
              <a:off x="3563620" y="7503288"/>
              <a:ext cx="627380" cy="26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56DA8B-5415-4630-97BA-6E362B111D00}" type="TxLink">
                <a:rPr lang="en-US" sz="1100" b="0" i="0" u="none" strike="noStrike">
                  <a:solidFill>
                    <a:srgbClr val="125C4F"/>
                  </a:solidFill>
                  <a:latin typeface="Segoe UI Black"/>
                  <a:ea typeface="Segoe UI Black"/>
                  <a:cs typeface="Calibri"/>
                </a:rPr>
                <a:pPr/>
                <a:t>83,44</a:t>
              </a:fld>
              <a:endParaRPr lang="en-US" sz="1100">
                <a:solidFill>
                  <a:srgbClr val="125C4F"/>
                </a:solidFill>
                <a:latin typeface="Segoe UI Black" panose="020B0A02040204020203" pitchFamily="34" charset="0"/>
                <a:ea typeface="Segoe UI Black" panose="020B0A02040204020203" pitchFamily="34" charset="0"/>
              </a:endParaRPr>
            </a:p>
          </xdr:txBody>
        </xdr:sp>
        <xdr:sp macro="" textlink="Pivot!AW7">
          <xdr:nvSpPr>
            <xdr:cNvPr id="64" name="TextBox 63">
              <a:extLst>
                <a:ext uri="{FF2B5EF4-FFF2-40B4-BE49-F238E27FC236}">
                  <a16:creationId xmlns:a16="http://schemas.microsoft.com/office/drawing/2014/main" id="{67157120-6EED-6F00-0E2A-EFA634FF47B3}"/>
                </a:ext>
              </a:extLst>
            </xdr:cNvPr>
            <xdr:cNvSpPr txBox="1"/>
          </xdr:nvSpPr>
          <xdr:spPr>
            <a:xfrm>
              <a:off x="3563620" y="7758092"/>
              <a:ext cx="644313" cy="26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A51476-2E7E-4AD4-9A81-8E4CEE958401}" type="TxLink">
                <a:rPr lang="en-US" sz="1100" b="0" i="0" u="none" strike="noStrike">
                  <a:solidFill>
                    <a:srgbClr val="125C4F"/>
                  </a:solidFill>
                  <a:latin typeface="Segoe UI Black"/>
                  <a:ea typeface="Segoe UI Black"/>
                  <a:cs typeface="Calibri"/>
                </a:rPr>
                <a:pPr/>
                <a:t>84,40</a:t>
              </a:fld>
              <a:endParaRPr lang="en-US" sz="1100">
                <a:solidFill>
                  <a:srgbClr val="125C4F"/>
                </a:solidFill>
                <a:latin typeface="Segoe UI Black" panose="020B0A02040204020203" pitchFamily="34" charset="0"/>
                <a:ea typeface="Segoe UI Black" panose="020B0A02040204020203" pitchFamily="34" charset="0"/>
              </a:endParaRPr>
            </a:p>
          </xdr:txBody>
        </xdr:sp>
        <xdr:sp macro="" textlink="Pivot!AW8">
          <xdr:nvSpPr>
            <xdr:cNvPr id="65" name="TextBox 64">
              <a:extLst>
                <a:ext uri="{FF2B5EF4-FFF2-40B4-BE49-F238E27FC236}">
                  <a16:creationId xmlns:a16="http://schemas.microsoft.com/office/drawing/2014/main" id="{6B187EC9-F61F-21E5-7162-3C273B9F38CE}"/>
                </a:ext>
              </a:extLst>
            </xdr:cNvPr>
            <xdr:cNvSpPr txBox="1"/>
          </xdr:nvSpPr>
          <xdr:spPr>
            <a:xfrm>
              <a:off x="3563620" y="8007605"/>
              <a:ext cx="618913" cy="26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6B02E2-6F82-4F1E-BC4A-CAA95FA5AB74}" type="TxLink">
                <a:rPr lang="en-US" sz="1100" b="0" i="0" u="none" strike="noStrike">
                  <a:solidFill>
                    <a:srgbClr val="125C4F"/>
                  </a:solidFill>
                  <a:latin typeface="Segoe UI Black"/>
                  <a:ea typeface="Segoe UI Black"/>
                  <a:cs typeface="Calibri"/>
                </a:rPr>
                <a:pPr/>
                <a:t>85,30</a:t>
              </a:fld>
              <a:endParaRPr lang="en-US" sz="1100">
                <a:solidFill>
                  <a:srgbClr val="125C4F"/>
                </a:solidFill>
                <a:latin typeface="Segoe UI Black" panose="020B0A02040204020203" pitchFamily="34" charset="0"/>
                <a:ea typeface="Segoe UI Black" panose="020B0A02040204020203" pitchFamily="34" charset="0"/>
              </a:endParaRPr>
            </a:p>
          </xdr:txBody>
        </xdr:sp>
        <xdr:sp macro="" textlink="Pivot!AV9">
          <xdr:nvSpPr>
            <xdr:cNvPr id="28" name="TextBox 27">
              <a:extLst>
                <a:ext uri="{FF2B5EF4-FFF2-40B4-BE49-F238E27FC236}">
                  <a16:creationId xmlns:a16="http://schemas.microsoft.com/office/drawing/2014/main" id="{8F6E3052-7BED-4D35-973E-6BEE1D7E6A1E}"/>
                </a:ext>
              </a:extLst>
            </xdr:cNvPr>
            <xdr:cNvSpPr txBox="1"/>
          </xdr:nvSpPr>
          <xdr:spPr>
            <a:xfrm>
              <a:off x="2226733" y="8279341"/>
              <a:ext cx="1225191" cy="293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AE8D377-2016-4B08-B5AE-377CB629018C}" type="TxLink">
                <a:rPr lang="en-US" sz="1100" b="0" i="0" u="none" strike="noStrike">
                  <a:solidFill>
                    <a:srgbClr val="125C4F"/>
                  </a:solidFill>
                  <a:latin typeface="Segoe UI Black" panose="020B0A02040204020203" pitchFamily="34" charset="0"/>
                  <a:ea typeface="Segoe UI Black" panose="020B0A02040204020203" pitchFamily="34" charset="0"/>
                  <a:cs typeface="Calibri"/>
                </a:rPr>
                <a:pPr/>
                <a:t>Zeynep</a:t>
              </a:fld>
              <a:endParaRPr lang="en-US" sz="1100" b="1">
                <a:solidFill>
                  <a:srgbClr val="125C4F"/>
                </a:solidFill>
                <a:latin typeface="Segoe UI Black" panose="020B0A02040204020203" pitchFamily="34" charset="0"/>
                <a:ea typeface="Segoe UI Black" panose="020B0A02040204020203" pitchFamily="34" charset="0"/>
              </a:endParaRPr>
            </a:p>
          </xdr:txBody>
        </xdr:sp>
        <xdr:sp macro="" textlink="Pivot!AW9">
          <xdr:nvSpPr>
            <xdr:cNvPr id="33" name="TextBox 32">
              <a:extLst>
                <a:ext uri="{FF2B5EF4-FFF2-40B4-BE49-F238E27FC236}">
                  <a16:creationId xmlns:a16="http://schemas.microsoft.com/office/drawing/2014/main" id="{6F6A145A-B90F-42F4-94CA-0906DF5EEBB2}"/>
                </a:ext>
              </a:extLst>
            </xdr:cNvPr>
            <xdr:cNvSpPr txBox="1"/>
          </xdr:nvSpPr>
          <xdr:spPr>
            <a:xfrm>
              <a:off x="3563620" y="8262409"/>
              <a:ext cx="618913" cy="26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1ACC99-35C3-4AC4-AAD3-986E9095CBC5}" type="TxLink">
                <a:rPr lang="en-US" sz="1100" b="0" i="0" u="none" strike="noStrike">
                  <a:solidFill>
                    <a:srgbClr val="125C4F"/>
                  </a:solidFill>
                  <a:latin typeface="Segoe UI Black"/>
                  <a:ea typeface="Segoe UI Black"/>
                  <a:cs typeface="Calibri"/>
                </a:rPr>
                <a:pPr/>
                <a:t>84,16</a:t>
              </a:fld>
              <a:endParaRPr lang="en-US" sz="1100">
                <a:solidFill>
                  <a:srgbClr val="125C4F"/>
                </a:solidFill>
                <a:latin typeface="Segoe UI Black" panose="020B0A02040204020203" pitchFamily="34" charset="0"/>
                <a:ea typeface="Segoe UI Black" panose="020B0A02040204020203" pitchFamily="34" charset="0"/>
              </a:endParaRPr>
            </a:p>
          </xdr:txBody>
        </xdr:sp>
        <xdr:cxnSp macro="">
          <xdr:nvCxnSpPr>
            <xdr:cNvPr id="37" name="Straight Connector 36">
              <a:extLst>
                <a:ext uri="{FF2B5EF4-FFF2-40B4-BE49-F238E27FC236}">
                  <a16:creationId xmlns:a16="http://schemas.microsoft.com/office/drawing/2014/main" id="{B6A3F7DA-4973-346A-8483-BEC465920566}"/>
                </a:ext>
              </a:extLst>
            </xdr:cNvPr>
            <xdr:cNvCxnSpPr/>
          </xdr:nvCxnSpPr>
          <xdr:spPr>
            <a:xfrm flipV="1">
              <a:off x="2010799" y="6883931"/>
              <a:ext cx="2602643" cy="7790"/>
            </a:xfrm>
            <a:prstGeom prst="line">
              <a:avLst/>
            </a:prstGeom>
          </xdr:spPr>
          <xdr:style>
            <a:lnRef idx="3">
              <a:schemeClr val="accent2"/>
            </a:lnRef>
            <a:fillRef idx="0">
              <a:schemeClr val="accent2"/>
            </a:fillRef>
            <a:effectRef idx="2">
              <a:schemeClr val="accent2"/>
            </a:effectRef>
            <a:fontRef idx="minor">
              <a:schemeClr val="tx1"/>
            </a:fontRef>
          </xdr:style>
        </xdr:cxnSp>
        <xdr:sp macro="" textlink="">
          <xdr:nvSpPr>
            <xdr:cNvPr id="46" name="TextBox 45">
              <a:extLst>
                <a:ext uri="{FF2B5EF4-FFF2-40B4-BE49-F238E27FC236}">
                  <a16:creationId xmlns:a16="http://schemas.microsoft.com/office/drawing/2014/main" id="{8537A491-C497-4C2E-8831-CE7A2D3F305D}"/>
                </a:ext>
              </a:extLst>
            </xdr:cNvPr>
            <xdr:cNvSpPr txBox="1"/>
          </xdr:nvSpPr>
          <xdr:spPr>
            <a:xfrm>
              <a:off x="4080933" y="6650566"/>
              <a:ext cx="1959706" cy="263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100" b="1">
                <a:solidFill>
                  <a:srgbClr val="FFFFFF"/>
                </a:solidFill>
                <a:latin typeface="Segoe UI Black" panose="020B0A02040204020203" pitchFamily="34" charset="0"/>
                <a:ea typeface="Segoe UI Black" panose="020B0A02040204020203" pitchFamily="34" charset="0"/>
              </a:endParaRPr>
            </a:p>
          </xdr:txBody>
        </xdr:sp>
      </xdr:grpSp>
    </xdr:grpSp>
    <xdr:clientData/>
  </xdr:twoCellAnchor>
  <xdr:twoCellAnchor editAs="oneCell">
    <xdr:from>
      <xdr:col>26</xdr:col>
      <xdr:colOff>333375</xdr:colOff>
      <xdr:row>4</xdr:row>
      <xdr:rowOff>173355</xdr:rowOff>
    </xdr:from>
    <xdr:to>
      <xdr:col>29</xdr:col>
      <xdr:colOff>333375</xdr:colOff>
      <xdr:row>20</xdr:row>
      <xdr:rowOff>142875</xdr:rowOff>
    </xdr:to>
    <mc:AlternateContent xmlns:mc="http://schemas.openxmlformats.org/markup-compatibility/2006" xmlns:a14="http://schemas.microsoft.com/office/drawing/2010/main">
      <mc:Choice Requires="a14">
        <xdr:graphicFrame macro="">
          <xdr:nvGraphicFramePr>
            <xdr:cNvPr id="91" name="Months (ProductionDate)">
              <a:extLst>
                <a:ext uri="{FF2B5EF4-FFF2-40B4-BE49-F238E27FC236}">
                  <a16:creationId xmlns:a16="http://schemas.microsoft.com/office/drawing/2014/main" id="{C8244058-4873-C0F7-5926-3E113F3B50CA}"/>
                </a:ext>
              </a:extLst>
            </xdr:cNvPr>
            <xdr:cNvGraphicFramePr/>
          </xdr:nvGraphicFramePr>
          <xdr:xfrm>
            <a:off x="0" y="0"/>
            <a:ext cx="0" cy="0"/>
          </xdr:xfrm>
          <a:graphic>
            <a:graphicData uri="http://schemas.microsoft.com/office/drawing/2010/slicer">
              <sle:slicer xmlns:sle="http://schemas.microsoft.com/office/drawing/2010/slicer" name="Months (ProductionDate)"/>
            </a:graphicData>
          </a:graphic>
        </xdr:graphicFrame>
      </mc:Choice>
      <mc:Fallback xmlns="">
        <xdr:sp macro="" textlink="">
          <xdr:nvSpPr>
            <xdr:cNvPr id="0" name=""/>
            <xdr:cNvSpPr>
              <a:spLocks noTextEdit="1"/>
            </xdr:cNvSpPr>
          </xdr:nvSpPr>
          <xdr:spPr>
            <a:xfrm>
              <a:off x="16182975" y="897255"/>
              <a:ext cx="1828800" cy="2865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228600</xdr:colOff>
      <xdr:row>27</xdr:row>
      <xdr:rowOff>158749</xdr:rowOff>
    </xdr:from>
    <xdr:to>
      <xdr:col>21</xdr:col>
      <xdr:colOff>352425</xdr:colOff>
      <xdr:row>45</xdr:row>
      <xdr:rowOff>97692</xdr:rowOff>
    </xdr:to>
    <xdr:grpSp>
      <xdr:nvGrpSpPr>
        <xdr:cNvPr id="72" name="Grup 71">
          <a:extLst>
            <a:ext uri="{FF2B5EF4-FFF2-40B4-BE49-F238E27FC236}">
              <a16:creationId xmlns:a16="http://schemas.microsoft.com/office/drawing/2014/main" id="{D47DAE1E-3CC6-D3CE-7338-F2B9AAE05556}"/>
            </a:ext>
          </a:extLst>
        </xdr:cNvPr>
        <xdr:cNvGrpSpPr/>
      </xdr:nvGrpSpPr>
      <xdr:grpSpPr>
        <a:xfrm>
          <a:off x="6745094" y="5176798"/>
          <a:ext cx="6047910" cy="3284309"/>
          <a:chOff x="9730790" y="5347350"/>
          <a:chExt cx="4022951" cy="3387923"/>
        </a:xfrm>
      </xdr:grpSpPr>
      <xdr:sp macro="" textlink="">
        <xdr:nvSpPr>
          <xdr:cNvPr id="49" name="Rectangle: Rounded Corners 48">
            <a:extLst>
              <a:ext uri="{FF2B5EF4-FFF2-40B4-BE49-F238E27FC236}">
                <a16:creationId xmlns:a16="http://schemas.microsoft.com/office/drawing/2014/main" id="{813CA922-0A72-4D0A-9733-3BB3ECB791CA}"/>
              </a:ext>
            </a:extLst>
          </xdr:cNvPr>
          <xdr:cNvSpPr/>
        </xdr:nvSpPr>
        <xdr:spPr>
          <a:xfrm>
            <a:off x="9730790" y="5347350"/>
            <a:ext cx="4022951" cy="3387923"/>
          </a:xfrm>
          <a:prstGeom prst="roundRect">
            <a:avLst>
              <a:gd name="adj" fmla="val 5344"/>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tr-TR" sz="1100" b="0" i="0" baseline="0">
                <a:solidFill>
                  <a:srgbClr val="125C4F"/>
                </a:solidFill>
                <a:effectLst/>
                <a:latin typeface="Segoe UI Black" panose="020B0A02040204020203" pitchFamily="34" charset="0"/>
                <a:ea typeface="Segoe UI Black" panose="020B0A02040204020203" pitchFamily="34" charset="0"/>
                <a:cs typeface="+mn-cs"/>
              </a:rPr>
              <a:t>Measurement Error Distribution</a:t>
            </a:r>
            <a:endParaRPr lang="en-US" b="0">
              <a:solidFill>
                <a:srgbClr val="125C4F"/>
              </a:solidFill>
              <a:effectLst/>
              <a:latin typeface="Segoe UI Black" panose="020B0A02040204020203" pitchFamily="34" charset="0"/>
              <a:ea typeface="Segoe UI Black" panose="020B0A02040204020203" pitchFamily="34" charset="0"/>
            </a:endParaRPr>
          </a:p>
          <a:p>
            <a:pPr algn="ctr"/>
            <a:endParaRPr lang="en-US" sz="1100" b="0">
              <a:solidFill>
                <a:srgbClr val="125C4F"/>
              </a:solidFill>
              <a:latin typeface="Segoe UI Black" panose="020B0A02040204020203" pitchFamily="34" charset="0"/>
              <a:ea typeface="Segoe UI Black" panose="020B0A02040204020203" pitchFamily="34" charset="0"/>
            </a:endParaRPr>
          </a:p>
        </xdr:txBody>
      </xdr:sp>
      <xdr:graphicFrame macro="">
        <xdr:nvGraphicFramePr>
          <xdr:cNvPr id="2" name="Chart 1">
            <a:extLst>
              <a:ext uri="{FF2B5EF4-FFF2-40B4-BE49-F238E27FC236}">
                <a16:creationId xmlns:a16="http://schemas.microsoft.com/office/drawing/2014/main" id="{CB0B6312-86A5-4ADD-AF51-8A838BE83683}"/>
              </a:ext>
            </a:extLst>
          </xdr:cNvPr>
          <xdr:cNvGraphicFramePr>
            <a:graphicFrameLocks/>
          </xdr:cNvGraphicFramePr>
        </xdr:nvGraphicFramePr>
        <xdr:xfrm>
          <a:off x="9914152" y="5776553"/>
          <a:ext cx="3567882" cy="264731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309297</xdr:colOff>
      <xdr:row>4</xdr:row>
      <xdr:rowOff>146798</xdr:rowOff>
    </xdr:from>
    <xdr:to>
      <xdr:col>9</xdr:col>
      <xdr:colOff>492177</xdr:colOff>
      <xdr:row>12</xdr:row>
      <xdr:rowOff>70598</xdr:rowOff>
    </xdr:to>
    <xdr:grpSp>
      <xdr:nvGrpSpPr>
        <xdr:cNvPr id="92" name="Group 91">
          <a:extLst>
            <a:ext uri="{FF2B5EF4-FFF2-40B4-BE49-F238E27FC236}">
              <a16:creationId xmlns:a16="http://schemas.microsoft.com/office/drawing/2014/main" id="{09141438-AE48-87F4-F86E-63F1F98E8769}"/>
            </a:ext>
          </a:extLst>
        </xdr:cNvPr>
        <xdr:cNvGrpSpPr/>
      </xdr:nvGrpSpPr>
      <xdr:grpSpPr>
        <a:xfrm>
          <a:off x="3863748" y="890213"/>
          <a:ext cx="1960106" cy="1410629"/>
          <a:chOff x="4328273" y="934378"/>
          <a:chExt cx="2286000" cy="1561172"/>
        </a:xfrm>
      </xdr:grpSpPr>
      <xdr:sp macro="" textlink="Pivot!A8">
        <xdr:nvSpPr>
          <xdr:cNvPr id="5" name="Rectangle: Rounded Corners 4">
            <a:extLst>
              <a:ext uri="{FF2B5EF4-FFF2-40B4-BE49-F238E27FC236}">
                <a16:creationId xmlns:a16="http://schemas.microsoft.com/office/drawing/2014/main" id="{8F2BE28B-3048-4E2A-A220-64C5776F0991}"/>
              </a:ext>
            </a:extLst>
          </xdr:cNvPr>
          <xdr:cNvSpPr/>
        </xdr:nvSpPr>
        <xdr:spPr>
          <a:xfrm>
            <a:off x="4328273" y="934378"/>
            <a:ext cx="2286000" cy="156117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44DB5B4-7C23-4E4B-9C34-1F5E0A7655C3}"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269.221</a:t>
            </a:fld>
            <a:r>
              <a:rPr lang="tr-TR" sz="2400" b="0" i="0" u="none" strike="noStrike">
                <a:solidFill>
                  <a:schemeClr val="bg1"/>
                </a:solidFill>
                <a:latin typeface="Segoe UI Black" panose="020B0A02040204020203" pitchFamily="34" charset="0"/>
                <a:ea typeface="Segoe UI Black" panose="020B0A02040204020203" pitchFamily="34" charset="0"/>
                <a:cs typeface="Calibri"/>
              </a:rPr>
              <a:t>$</a:t>
            </a:r>
          </a:p>
          <a:p>
            <a:pPr algn="ctr"/>
            <a:endParaRPr lang="en-US" sz="2400">
              <a:solidFill>
                <a:schemeClr val="bg1"/>
              </a:solidFill>
              <a:latin typeface="Segoe UI Black" panose="020B0A02040204020203" pitchFamily="34" charset="0"/>
              <a:ea typeface="Segoe UI Black" panose="020B0A02040204020203" pitchFamily="34" charset="0"/>
            </a:endParaRPr>
          </a:p>
        </xdr:txBody>
      </xdr:sp>
      <xdr:sp macro="" textlink="">
        <xdr:nvSpPr>
          <xdr:cNvPr id="86" name="Rectangle: Top Corners Rounded 85">
            <a:extLst>
              <a:ext uri="{FF2B5EF4-FFF2-40B4-BE49-F238E27FC236}">
                <a16:creationId xmlns:a16="http://schemas.microsoft.com/office/drawing/2014/main" id="{6FBA9DB8-5091-7B75-2D1B-D0770A299D90}"/>
              </a:ext>
            </a:extLst>
          </xdr:cNvPr>
          <xdr:cNvSpPr/>
        </xdr:nvSpPr>
        <xdr:spPr>
          <a:xfrm rot="10800000">
            <a:off x="4328273" y="1855469"/>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A3">
        <xdr:nvSpPr>
          <xdr:cNvPr id="11" name="TextBox 10">
            <a:extLst>
              <a:ext uri="{FF2B5EF4-FFF2-40B4-BE49-F238E27FC236}">
                <a16:creationId xmlns:a16="http://schemas.microsoft.com/office/drawing/2014/main" id="{524ED6BD-D5F4-417C-8D68-7BDEA49E5847}"/>
              </a:ext>
            </a:extLst>
          </xdr:cNvPr>
          <xdr:cNvSpPr txBox="1"/>
        </xdr:nvSpPr>
        <xdr:spPr>
          <a:xfrm>
            <a:off x="4366953" y="1849413"/>
            <a:ext cx="1433742" cy="617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a:solidFill>
                  <a:schemeClr val="bg1"/>
                </a:solidFill>
                <a:latin typeface="Segoe UI Black" panose="020B0A02040204020203" pitchFamily="34" charset="0"/>
                <a:ea typeface="Segoe UI Black" panose="020B0A02040204020203" pitchFamily="34" charset="0"/>
              </a:rPr>
              <a:t>Total</a:t>
            </a:r>
            <a:r>
              <a:rPr lang="tr-TR" sz="1200" b="1" baseline="0">
                <a:solidFill>
                  <a:schemeClr val="bg1"/>
                </a:solidFill>
                <a:latin typeface="Segoe UI Black" panose="020B0A02040204020203" pitchFamily="34" charset="0"/>
                <a:ea typeface="Segoe UI Black" panose="020B0A02040204020203" pitchFamily="34" charset="0"/>
              </a:rPr>
              <a:t> Error</a:t>
            </a:r>
          </a:p>
          <a:p>
            <a:r>
              <a:rPr lang="tr-TR" sz="1200" b="1" baseline="0">
                <a:solidFill>
                  <a:schemeClr val="bg1"/>
                </a:solidFill>
                <a:latin typeface="Segoe UI Black" panose="020B0A02040204020203" pitchFamily="34" charset="0"/>
                <a:ea typeface="Segoe UI Black" panose="020B0A02040204020203" pitchFamily="34" charset="0"/>
              </a:rPr>
              <a:t>Cost($)</a:t>
            </a:r>
          </a:p>
        </xdr:txBody>
      </xdr:sp>
      <xdr:pic>
        <xdr:nvPicPr>
          <xdr:cNvPr id="23" name="Graphic 22" descr="Money">
            <a:extLst>
              <a:ext uri="{FF2B5EF4-FFF2-40B4-BE49-F238E27FC236}">
                <a16:creationId xmlns:a16="http://schemas.microsoft.com/office/drawing/2014/main" id="{FCFEDA83-CC01-99DF-DD07-2A4461F0E0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58449" y="1869281"/>
            <a:ext cx="623042" cy="555709"/>
          </a:xfrm>
          <a:prstGeom prst="rect">
            <a:avLst/>
          </a:prstGeom>
        </xdr:spPr>
      </xdr:pic>
    </xdr:grpSp>
    <xdr:clientData/>
  </xdr:twoCellAnchor>
  <xdr:twoCellAnchor>
    <xdr:from>
      <xdr:col>3</xdr:col>
      <xdr:colOff>96837</xdr:colOff>
      <xdr:row>4</xdr:row>
      <xdr:rowOff>146798</xdr:rowOff>
    </xdr:from>
    <xdr:to>
      <xdr:col>6</xdr:col>
      <xdr:colOff>279717</xdr:colOff>
      <xdr:row>12</xdr:row>
      <xdr:rowOff>70598</xdr:rowOff>
    </xdr:to>
    <xdr:grpSp>
      <xdr:nvGrpSpPr>
        <xdr:cNvPr id="88" name="Group 87">
          <a:extLst>
            <a:ext uri="{FF2B5EF4-FFF2-40B4-BE49-F238E27FC236}">
              <a16:creationId xmlns:a16="http://schemas.microsoft.com/office/drawing/2014/main" id="{7A15ED3A-BB72-9CCB-785C-535FFBC4A2AB}"/>
            </a:ext>
          </a:extLst>
        </xdr:cNvPr>
        <xdr:cNvGrpSpPr/>
      </xdr:nvGrpSpPr>
      <xdr:grpSpPr>
        <a:xfrm>
          <a:off x="1874063" y="890213"/>
          <a:ext cx="1960105" cy="1410629"/>
          <a:chOff x="1954212" y="908516"/>
          <a:chExt cx="2286000" cy="1578608"/>
        </a:xfrm>
      </xdr:grpSpPr>
      <xdr:sp macro="" textlink="Pivot!F4">
        <xdr:nvSpPr>
          <xdr:cNvPr id="4" name="Rectangle: Rounded Corners 3">
            <a:extLst>
              <a:ext uri="{FF2B5EF4-FFF2-40B4-BE49-F238E27FC236}">
                <a16:creationId xmlns:a16="http://schemas.microsoft.com/office/drawing/2014/main" id="{DFF2CACA-555F-4DCC-94ED-8D735B5B1191}"/>
              </a:ext>
            </a:extLst>
          </xdr:cNvPr>
          <xdr:cNvSpPr/>
        </xdr:nvSpPr>
        <xdr:spPr>
          <a:xfrm>
            <a:off x="1954212" y="908516"/>
            <a:ext cx="2286000" cy="155881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B9D86C-84EC-4E43-8793-30597FD9AE03}"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24.850</a:t>
            </a:fld>
            <a:endParaRPr lang="tr-TR"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sp macro="" textlink="">
        <xdr:nvSpPr>
          <xdr:cNvPr id="87" name="Rectangle: Top Corners Rounded 86">
            <a:extLst>
              <a:ext uri="{FF2B5EF4-FFF2-40B4-BE49-F238E27FC236}">
                <a16:creationId xmlns:a16="http://schemas.microsoft.com/office/drawing/2014/main" id="{079CC670-D464-4C98-B445-3B4BC0EB7B09}"/>
              </a:ext>
            </a:extLst>
          </xdr:cNvPr>
          <xdr:cNvSpPr/>
        </xdr:nvSpPr>
        <xdr:spPr>
          <a:xfrm rot="10800000">
            <a:off x="1954212" y="1827247"/>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A3">
        <xdr:nvSpPr>
          <xdr:cNvPr id="10" name="TextBox 9">
            <a:extLst>
              <a:ext uri="{FF2B5EF4-FFF2-40B4-BE49-F238E27FC236}">
                <a16:creationId xmlns:a16="http://schemas.microsoft.com/office/drawing/2014/main" id="{F6DEE24B-3847-4768-86ED-7D030C861DC5}"/>
              </a:ext>
            </a:extLst>
          </xdr:cNvPr>
          <xdr:cNvSpPr txBox="1"/>
        </xdr:nvSpPr>
        <xdr:spPr>
          <a:xfrm>
            <a:off x="1962151" y="1870051"/>
            <a:ext cx="1947498" cy="617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a:solidFill>
                  <a:schemeClr val="bg1"/>
                </a:solidFill>
                <a:latin typeface="Segoe UI Black" panose="020B0A02040204020203" pitchFamily="34" charset="0"/>
                <a:ea typeface="Segoe UI Black" panose="020B0A02040204020203" pitchFamily="34" charset="0"/>
              </a:rPr>
              <a:t>Total</a:t>
            </a:r>
            <a:r>
              <a:rPr lang="tr-TR" sz="1200" b="1" baseline="0">
                <a:solidFill>
                  <a:schemeClr val="bg1"/>
                </a:solidFill>
                <a:latin typeface="Segoe UI Black" panose="020B0A02040204020203" pitchFamily="34" charset="0"/>
                <a:ea typeface="Segoe UI Black" panose="020B0A02040204020203" pitchFamily="34" charset="0"/>
              </a:rPr>
              <a:t> Defective </a:t>
            </a:r>
          </a:p>
          <a:p>
            <a:r>
              <a:rPr lang="tr-TR" sz="1200" b="1" baseline="0">
                <a:solidFill>
                  <a:schemeClr val="bg1"/>
                </a:solidFill>
                <a:latin typeface="Segoe UI Black" panose="020B0A02040204020203" pitchFamily="34" charset="0"/>
                <a:ea typeface="Segoe UI Black" panose="020B0A02040204020203" pitchFamily="34" charset="0"/>
              </a:rPr>
              <a:t>Units</a:t>
            </a:r>
          </a:p>
        </xdr:txBody>
      </xdr:sp>
      <xdr:sp macro="" textlink="Pivot!H4">
        <xdr:nvSpPr>
          <xdr:cNvPr id="21" name="TextBox 20">
            <a:extLst>
              <a:ext uri="{FF2B5EF4-FFF2-40B4-BE49-F238E27FC236}">
                <a16:creationId xmlns:a16="http://schemas.microsoft.com/office/drawing/2014/main" id="{39E9BA88-A2B7-4F14-9565-62B6CDAEC069}"/>
              </a:ext>
            </a:extLst>
          </xdr:cNvPr>
          <xdr:cNvSpPr txBox="1"/>
        </xdr:nvSpPr>
        <xdr:spPr>
          <a:xfrm>
            <a:off x="3457203" y="1992381"/>
            <a:ext cx="762372" cy="363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D205990-4141-418E-8E8E-553DE77C0567}" type="TxLink">
              <a:rPr lang="en-US" sz="1200" b="1" i="0" u="none" strike="noStrike">
                <a:solidFill>
                  <a:schemeClr val="bg1"/>
                </a:solidFill>
                <a:latin typeface="Segoe UI Black" panose="020B0A02040204020203" pitchFamily="34" charset="0"/>
                <a:ea typeface="Segoe UI Black" panose="020B0A02040204020203" pitchFamily="34" charset="0"/>
                <a:cs typeface="Calibri"/>
              </a:rPr>
              <a:pPr/>
              <a:t>100%</a:t>
            </a:fld>
            <a:endParaRPr lang="en-US" sz="1200" b="1">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13</xdr:col>
      <xdr:colOff>124617</xdr:colOff>
      <xdr:row>4</xdr:row>
      <xdr:rowOff>146798</xdr:rowOff>
    </xdr:from>
    <xdr:to>
      <xdr:col>16</xdr:col>
      <xdr:colOff>307497</xdr:colOff>
      <xdr:row>12</xdr:row>
      <xdr:rowOff>114300</xdr:rowOff>
    </xdr:to>
    <xdr:grpSp>
      <xdr:nvGrpSpPr>
        <xdr:cNvPr id="101" name="Group 100">
          <a:extLst>
            <a:ext uri="{FF2B5EF4-FFF2-40B4-BE49-F238E27FC236}">
              <a16:creationId xmlns:a16="http://schemas.microsoft.com/office/drawing/2014/main" id="{005D9E2C-977F-4807-A9CA-9CA94A84E973}"/>
            </a:ext>
          </a:extLst>
        </xdr:cNvPr>
        <xdr:cNvGrpSpPr/>
      </xdr:nvGrpSpPr>
      <xdr:grpSpPr>
        <a:xfrm>
          <a:off x="7825928" y="890213"/>
          <a:ext cx="1960106" cy="1454331"/>
          <a:chOff x="9067926" y="902009"/>
          <a:chExt cx="2308001" cy="1615193"/>
        </a:xfrm>
      </xdr:grpSpPr>
      <xdr:sp macro="" textlink="Pivot!F12">
        <xdr:nvSpPr>
          <xdr:cNvPr id="7" name="Rectangle: Rounded Corners 6">
            <a:extLst>
              <a:ext uri="{FF2B5EF4-FFF2-40B4-BE49-F238E27FC236}">
                <a16:creationId xmlns:a16="http://schemas.microsoft.com/office/drawing/2014/main" id="{8CC5FC9A-88F9-44D5-9BC7-886A09EFF176}"/>
              </a:ext>
            </a:extLst>
          </xdr:cNvPr>
          <xdr:cNvSpPr/>
        </xdr:nvSpPr>
        <xdr:spPr>
          <a:xfrm>
            <a:off x="9089927" y="902009"/>
            <a:ext cx="2286000" cy="1565319"/>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C872EF-D772-4E84-8FCB-5220779D99DE}"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210.591</a:t>
            </a:fld>
            <a:r>
              <a:rPr lang="tr-TR" sz="2400" b="0" i="0" u="none" strike="noStrike">
                <a:solidFill>
                  <a:schemeClr val="bg1"/>
                </a:solidFill>
                <a:latin typeface="Segoe UI Black" panose="020B0A02040204020203" pitchFamily="34" charset="0"/>
                <a:ea typeface="Segoe UI Black" panose="020B0A02040204020203" pitchFamily="34" charset="0"/>
                <a:cs typeface="Calibri"/>
              </a:rPr>
              <a:t>$</a:t>
            </a:r>
          </a:p>
          <a:p>
            <a:pPr algn="ctr"/>
            <a:endParaRPr lang="en-US" sz="2400">
              <a:solidFill>
                <a:schemeClr val="bg1"/>
              </a:solidFill>
              <a:latin typeface="Segoe UI Black" panose="020B0A02040204020203" pitchFamily="34" charset="0"/>
              <a:ea typeface="Segoe UI Black" panose="020B0A02040204020203" pitchFamily="34" charset="0"/>
            </a:endParaRPr>
          </a:p>
        </xdr:txBody>
      </xdr:sp>
      <xdr:sp macro="" textlink="">
        <xdr:nvSpPr>
          <xdr:cNvPr id="94" name="Rectangle: Top Corners Rounded 93">
            <a:extLst>
              <a:ext uri="{FF2B5EF4-FFF2-40B4-BE49-F238E27FC236}">
                <a16:creationId xmlns:a16="http://schemas.microsoft.com/office/drawing/2014/main" id="{5FF00DC1-36BC-4420-A2FE-E31DC238E5C0}"/>
              </a:ext>
            </a:extLst>
          </xdr:cNvPr>
          <xdr:cNvSpPr/>
        </xdr:nvSpPr>
        <xdr:spPr>
          <a:xfrm rot="10800000">
            <a:off x="9077325" y="1827248"/>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3" name="Graphic 82" descr="Money">
            <a:extLst>
              <a:ext uri="{FF2B5EF4-FFF2-40B4-BE49-F238E27FC236}">
                <a16:creationId xmlns:a16="http://schemas.microsoft.com/office/drawing/2014/main" id="{FCE23BBB-E2FA-4DD1-8035-D9234758236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854681" y="1883823"/>
            <a:ext cx="506303" cy="508738"/>
          </a:xfrm>
          <a:prstGeom prst="rect">
            <a:avLst/>
          </a:prstGeom>
        </xdr:spPr>
      </xdr:pic>
      <xdr:sp macro="" textlink="Pivot!A3">
        <xdr:nvSpPr>
          <xdr:cNvPr id="14" name="TextBox 13">
            <a:extLst>
              <a:ext uri="{FF2B5EF4-FFF2-40B4-BE49-F238E27FC236}">
                <a16:creationId xmlns:a16="http://schemas.microsoft.com/office/drawing/2014/main" id="{9BE364AA-93B0-418A-8E71-F5E89A76EEAB}"/>
              </a:ext>
            </a:extLst>
          </xdr:cNvPr>
          <xdr:cNvSpPr txBox="1"/>
        </xdr:nvSpPr>
        <xdr:spPr>
          <a:xfrm>
            <a:off x="9067926" y="1843245"/>
            <a:ext cx="1716028" cy="673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baseline="0">
                <a:solidFill>
                  <a:schemeClr val="bg1"/>
                </a:solidFill>
                <a:latin typeface="Segoe UI Black" panose="020B0A02040204020203" pitchFamily="34" charset="0"/>
                <a:ea typeface="Segoe UI Black" panose="020B0A02040204020203" pitchFamily="34" charset="0"/>
              </a:rPr>
              <a:t>Correction</a:t>
            </a:r>
          </a:p>
          <a:p>
            <a:r>
              <a:rPr lang="tr-TR" sz="1200" b="1" baseline="0">
                <a:solidFill>
                  <a:schemeClr val="bg1"/>
                </a:solidFill>
                <a:latin typeface="Segoe UI Black" panose="020B0A02040204020203" pitchFamily="34" charset="0"/>
                <a:ea typeface="Segoe UI Black" panose="020B0A02040204020203" pitchFamily="34" charset="0"/>
              </a:rPr>
              <a:t>Cost($)</a:t>
            </a:r>
          </a:p>
          <a:p>
            <a:endParaRPr lang="tr-TR" sz="1200" b="1"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9</xdr:col>
      <xdr:colOff>521757</xdr:colOff>
      <xdr:row>4</xdr:row>
      <xdr:rowOff>146798</xdr:rowOff>
    </xdr:from>
    <xdr:to>
      <xdr:col>13</xdr:col>
      <xdr:colOff>95037</xdr:colOff>
      <xdr:row>12</xdr:row>
      <xdr:rowOff>70598</xdr:rowOff>
    </xdr:to>
    <xdr:grpSp>
      <xdr:nvGrpSpPr>
        <xdr:cNvPr id="100" name="Group 99">
          <a:extLst>
            <a:ext uri="{FF2B5EF4-FFF2-40B4-BE49-F238E27FC236}">
              <a16:creationId xmlns:a16="http://schemas.microsoft.com/office/drawing/2014/main" id="{12E7646A-AE7E-EBDF-F018-83B1B89FF155}"/>
            </a:ext>
          </a:extLst>
        </xdr:cNvPr>
        <xdr:cNvGrpSpPr/>
      </xdr:nvGrpSpPr>
      <xdr:grpSpPr>
        <a:xfrm>
          <a:off x="5853434" y="890213"/>
          <a:ext cx="1942914" cy="1410629"/>
          <a:chOff x="6688048" y="906206"/>
          <a:chExt cx="2286000" cy="1563282"/>
        </a:xfrm>
      </xdr:grpSpPr>
      <xdr:sp macro="" textlink="Pivot!BW4">
        <xdr:nvSpPr>
          <xdr:cNvPr id="47" name="Rectangle: Rounded Corners 46">
            <a:extLst>
              <a:ext uri="{FF2B5EF4-FFF2-40B4-BE49-F238E27FC236}">
                <a16:creationId xmlns:a16="http://schemas.microsoft.com/office/drawing/2014/main" id="{5F3365A5-890E-4513-B54F-978341909C9C}"/>
              </a:ext>
            </a:extLst>
          </xdr:cNvPr>
          <xdr:cNvSpPr/>
        </xdr:nvSpPr>
        <xdr:spPr>
          <a:xfrm>
            <a:off x="6688048" y="906206"/>
            <a:ext cx="2286000" cy="156328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457493-5544-4AA4-B3C1-7C1D7BEE2E86}" type="TxLink">
              <a:rPr lang="en-US" sz="2400" b="0" i="0" u="none" strike="noStrike">
                <a:solidFill>
                  <a:srgbClr val="FFFFFF"/>
                </a:solidFill>
                <a:latin typeface="Segoe UI Black" panose="020B0A02040204020203" pitchFamily="34" charset="0"/>
                <a:ea typeface="Segoe UI Black" panose="020B0A02040204020203" pitchFamily="34" charset="0"/>
                <a:cs typeface="Calibri"/>
              </a:rPr>
              <a:pPr algn="ctr"/>
              <a:t>479.812</a:t>
            </a:fld>
            <a:r>
              <a:rPr lang="tr-TR" sz="2400" b="0" i="0" u="none" strike="noStrike">
                <a:solidFill>
                  <a:srgbClr val="FFFFFF"/>
                </a:solidFill>
                <a:latin typeface="Segoe UI Black" panose="020B0A02040204020203" pitchFamily="34" charset="0"/>
                <a:ea typeface="Segoe UI Black" panose="020B0A02040204020203" pitchFamily="34" charset="0"/>
                <a:cs typeface="Calibri"/>
              </a:rPr>
              <a:t>$</a:t>
            </a:r>
          </a:p>
          <a:p>
            <a:pPr algn="ctr"/>
            <a:endParaRPr lang="en-US" sz="5400">
              <a:solidFill>
                <a:srgbClr val="FFFFFF"/>
              </a:solidFill>
              <a:latin typeface="Segoe UI Black" panose="020B0A02040204020203" pitchFamily="34" charset="0"/>
              <a:ea typeface="Segoe UI Black" panose="020B0A02040204020203" pitchFamily="34" charset="0"/>
            </a:endParaRPr>
          </a:p>
        </xdr:txBody>
      </xdr:sp>
      <xdr:sp macro="" textlink="">
        <xdr:nvSpPr>
          <xdr:cNvPr id="93" name="Rectangle: Top Corners Rounded 92">
            <a:extLst>
              <a:ext uri="{FF2B5EF4-FFF2-40B4-BE49-F238E27FC236}">
                <a16:creationId xmlns:a16="http://schemas.microsoft.com/office/drawing/2014/main" id="{712793E3-2B9D-479E-8706-84A1706DEFE6}"/>
              </a:ext>
            </a:extLst>
          </xdr:cNvPr>
          <xdr:cNvSpPr/>
        </xdr:nvSpPr>
        <xdr:spPr>
          <a:xfrm rot="10800000">
            <a:off x="6688048" y="1829408"/>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A3">
        <xdr:nvSpPr>
          <xdr:cNvPr id="67" name="TextBox 66">
            <a:extLst>
              <a:ext uri="{FF2B5EF4-FFF2-40B4-BE49-F238E27FC236}">
                <a16:creationId xmlns:a16="http://schemas.microsoft.com/office/drawing/2014/main" id="{AA53212E-3175-4515-9B43-31719406B7D3}"/>
              </a:ext>
            </a:extLst>
          </xdr:cNvPr>
          <xdr:cNvSpPr txBox="1"/>
        </xdr:nvSpPr>
        <xdr:spPr>
          <a:xfrm>
            <a:off x="6724900" y="2033374"/>
            <a:ext cx="1450547" cy="281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baseline="0">
                <a:solidFill>
                  <a:schemeClr val="bg1"/>
                </a:solidFill>
                <a:latin typeface="Segoe UI Black" panose="020B0A02040204020203" pitchFamily="34" charset="0"/>
                <a:ea typeface="Segoe UI Black" panose="020B0A02040204020203" pitchFamily="34" charset="0"/>
              </a:rPr>
              <a:t>Total Cost($)</a:t>
            </a:r>
          </a:p>
          <a:p>
            <a:endParaRPr lang="tr-TR" sz="1200" b="1" baseline="0">
              <a:solidFill>
                <a:schemeClr val="bg1"/>
              </a:solidFill>
              <a:latin typeface="Segoe UI Black" panose="020B0A02040204020203" pitchFamily="34" charset="0"/>
              <a:ea typeface="Segoe UI Black" panose="020B0A02040204020203" pitchFamily="34" charset="0"/>
            </a:endParaRPr>
          </a:p>
        </xdr:txBody>
      </xdr:sp>
      <xdr:pic>
        <xdr:nvPicPr>
          <xdr:cNvPr id="85" name="Graphic 84" descr="Money">
            <a:extLst>
              <a:ext uri="{FF2B5EF4-FFF2-40B4-BE49-F238E27FC236}">
                <a16:creationId xmlns:a16="http://schemas.microsoft.com/office/drawing/2014/main" id="{4F534E46-70BA-48EB-BC53-2561BD1B73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1746" y="1905091"/>
            <a:ext cx="533595" cy="537007"/>
          </a:xfrm>
          <a:prstGeom prst="rect">
            <a:avLst/>
          </a:prstGeom>
        </xdr:spPr>
      </xdr:pic>
    </xdr:grpSp>
    <xdr:clientData/>
  </xdr:twoCellAnchor>
  <xdr:twoCellAnchor>
    <xdr:from>
      <xdr:col>16</xdr:col>
      <xdr:colOff>327552</xdr:colOff>
      <xdr:row>4</xdr:row>
      <xdr:rowOff>146798</xdr:rowOff>
    </xdr:from>
    <xdr:to>
      <xdr:col>19</xdr:col>
      <xdr:colOff>510432</xdr:colOff>
      <xdr:row>12</xdr:row>
      <xdr:rowOff>70598</xdr:rowOff>
    </xdr:to>
    <xdr:grpSp>
      <xdr:nvGrpSpPr>
        <xdr:cNvPr id="102" name="Group 101">
          <a:extLst>
            <a:ext uri="{FF2B5EF4-FFF2-40B4-BE49-F238E27FC236}">
              <a16:creationId xmlns:a16="http://schemas.microsoft.com/office/drawing/2014/main" id="{E36DF04F-4359-F749-05AF-56EC2070E143}"/>
            </a:ext>
          </a:extLst>
        </xdr:cNvPr>
        <xdr:cNvGrpSpPr/>
      </xdr:nvGrpSpPr>
      <xdr:grpSpPr>
        <a:xfrm>
          <a:off x="9806089" y="890213"/>
          <a:ext cx="1960105" cy="1410629"/>
          <a:chOff x="11457216" y="926758"/>
          <a:chExt cx="2286000" cy="1561172"/>
        </a:xfrm>
      </xdr:grpSpPr>
      <xdr:sp macro="" textlink="Pivot!A4">
        <xdr:nvSpPr>
          <xdr:cNvPr id="3" name="Rectangle: Rounded Corners 2">
            <a:extLst>
              <a:ext uri="{FF2B5EF4-FFF2-40B4-BE49-F238E27FC236}">
                <a16:creationId xmlns:a16="http://schemas.microsoft.com/office/drawing/2014/main" id="{1AAD9CAB-8164-B29F-6FC3-6C06D8B5384F}"/>
              </a:ext>
            </a:extLst>
          </xdr:cNvPr>
          <xdr:cNvSpPr/>
        </xdr:nvSpPr>
        <xdr:spPr>
          <a:xfrm>
            <a:off x="11457216" y="926758"/>
            <a:ext cx="2286000" cy="156117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5483DF-C197-4B77-BFC4-BABAFAF9B5AB}"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535.557</a:t>
            </a:fld>
            <a:endParaRPr lang="tr-TR" sz="2400" b="0" i="0" u="none" strike="noStrike">
              <a:solidFill>
                <a:schemeClr val="bg1"/>
              </a:solidFill>
              <a:latin typeface="Segoe UI Black" panose="020B0A02040204020203" pitchFamily="34" charset="0"/>
              <a:ea typeface="Segoe UI Black" panose="020B0A02040204020203" pitchFamily="34" charset="0"/>
              <a:cs typeface="Calibri"/>
            </a:endParaRPr>
          </a:p>
          <a:p>
            <a:pPr algn="ctr"/>
            <a:endParaRPr lang="en-US" sz="2400">
              <a:solidFill>
                <a:schemeClr val="bg1"/>
              </a:solidFill>
              <a:latin typeface="Segoe UI Black" panose="020B0A02040204020203" pitchFamily="34" charset="0"/>
              <a:ea typeface="Segoe UI Black" panose="020B0A02040204020203" pitchFamily="34" charset="0"/>
            </a:endParaRPr>
          </a:p>
        </xdr:txBody>
      </xdr:sp>
      <xdr:sp macro="" textlink="">
        <xdr:nvSpPr>
          <xdr:cNvPr id="95" name="Rectangle: Top Corners Rounded 94">
            <a:extLst>
              <a:ext uri="{FF2B5EF4-FFF2-40B4-BE49-F238E27FC236}">
                <a16:creationId xmlns:a16="http://schemas.microsoft.com/office/drawing/2014/main" id="{A5FCC83C-8FA6-4C74-A758-8C78409254EF}"/>
              </a:ext>
            </a:extLst>
          </xdr:cNvPr>
          <xdr:cNvSpPr/>
        </xdr:nvSpPr>
        <xdr:spPr>
          <a:xfrm rot="10800000">
            <a:off x="11457216" y="1847850"/>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C4">
        <xdr:nvSpPr>
          <xdr:cNvPr id="20" name="TextBox 19">
            <a:extLst>
              <a:ext uri="{FF2B5EF4-FFF2-40B4-BE49-F238E27FC236}">
                <a16:creationId xmlns:a16="http://schemas.microsoft.com/office/drawing/2014/main" id="{E038A2EE-1679-7A20-B12E-12AF7D8FC304}"/>
              </a:ext>
            </a:extLst>
          </xdr:cNvPr>
          <xdr:cNvSpPr txBox="1"/>
        </xdr:nvSpPr>
        <xdr:spPr>
          <a:xfrm>
            <a:off x="13064192" y="2020963"/>
            <a:ext cx="670587" cy="365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BD92C5E-8270-4D9D-89AD-68754FBC7B57}" type="TxLink">
              <a:rPr lang="en-US" sz="1200" b="1" i="0" u="none" strike="noStrike">
                <a:solidFill>
                  <a:schemeClr val="bg1"/>
                </a:solidFill>
                <a:latin typeface="Segoe UI Black" panose="020B0A02040204020203" pitchFamily="34" charset="0"/>
                <a:ea typeface="Segoe UI Black" panose="020B0A02040204020203" pitchFamily="34" charset="0"/>
                <a:cs typeface="Calibri"/>
              </a:rPr>
              <a:pPr/>
              <a:t>100%</a:t>
            </a:fld>
            <a:endParaRPr lang="en-US" sz="1200" b="1">
              <a:solidFill>
                <a:schemeClr val="bg1"/>
              </a:solidFill>
              <a:latin typeface="Segoe UI Black" panose="020B0A02040204020203" pitchFamily="34" charset="0"/>
              <a:ea typeface="Segoe UI Black" panose="020B0A02040204020203" pitchFamily="34" charset="0"/>
            </a:endParaRPr>
          </a:p>
        </xdr:txBody>
      </xdr:sp>
      <xdr:sp macro="" textlink="Pivot!A3">
        <xdr:nvSpPr>
          <xdr:cNvPr id="9" name="TextBox 8">
            <a:extLst>
              <a:ext uri="{FF2B5EF4-FFF2-40B4-BE49-F238E27FC236}">
                <a16:creationId xmlns:a16="http://schemas.microsoft.com/office/drawing/2014/main" id="{23D5C51C-C397-0C02-922D-5F6288824290}"/>
              </a:ext>
            </a:extLst>
          </xdr:cNvPr>
          <xdr:cNvSpPr txBox="1"/>
        </xdr:nvSpPr>
        <xdr:spPr>
          <a:xfrm>
            <a:off x="11458759" y="2021455"/>
            <a:ext cx="1592314" cy="295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a:solidFill>
                  <a:schemeClr val="bg1"/>
                </a:solidFill>
                <a:latin typeface="Segoe UI Black" panose="020B0A02040204020203" pitchFamily="34" charset="0"/>
                <a:ea typeface="Segoe UI Black" panose="020B0A02040204020203" pitchFamily="34" charset="0"/>
              </a:rPr>
              <a:t>Total</a:t>
            </a:r>
            <a:r>
              <a:rPr lang="tr-TR" sz="1200" b="1" baseline="0">
                <a:solidFill>
                  <a:schemeClr val="bg1"/>
                </a:solidFill>
                <a:latin typeface="Segoe UI Black" panose="020B0A02040204020203" pitchFamily="34" charset="0"/>
                <a:ea typeface="Segoe UI Black" panose="020B0A02040204020203" pitchFamily="34" charset="0"/>
              </a:rPr>
              <a:t> Production</a:t>
            </a:r>
            <a:endParaRPr lang="en-US" sz="1200" b="1">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19</xdr:col>
      <xdr:colOff>540012</xdr:colOff>
      <xdr:row>4</xdr:row>
      <xdr:rowOff>146798</xdr:rowOff>
    </xdr:from>
    <xdr:to>
      <xdr:col>23</xdr:col>
      <xdr:colOff>113292</xdr:colOff>
      <xdr:row>12</xdr:row>
      <xdr:rowOff>70598</xdr:rowOff>
    </xdr:to>
    <xdr:grpSp>
      <xdr:nvGrpSpPr>
        <xdr:cNvPr id="103" name="Group 102">
          <a:extLst>
            <a:ext uri="{FF2B5EF4-FFF2-40B4-BE49-F238E27FC236}">
              <a16:creationId xmlns:a16="http://schemas.microsoft.com/office/drawing/2014/main" id="{E8595C36-F460-5E14-E083-3C4433741F6D}"/>
            </a:ext>
          </a:extLst>
        </xdr:cNvPr>
        <xdr:cNvGrpSpPr/>
      </xdr:nvGrpSpPr>
      <xdr:grpSpPr>
        <a:xfrm>
          <a:off x="11795774" y="890213"/>
          <a:ext cx="1942914" cy="1410629"/>
          <a:chOff x="13857345" y="908466"/>
          <a:chExt cx="2286000" cy="1561172"/>
        </a:xfrm>
      </xdr:grpSpPr>
      <xdr:sp macro="" textlink="Pivot!F8">
        <xdr:nvSpPr>
          <xdr:cNvPr id="8" name="Rectangle: Rounded Corners 7">
            <a:extLst>
              <a:ext uri="{FF2B5EF4-FFF2-40B4-BE49-F238E27FC236}">
                <a16:creationId xmlns:a16="http://schemas.microsoft.com/office/drawing/2014/main" id="{7C34B9C0-AA1D-43D7-A2E4-D96DBA5165A4}"/>
              </a:ext>
            </a:extLst>
          </xdr:cNvPr>
          <xdr:cNvSpPr/>
        </xdr:nvSpPr>
        <xdr:spPr>
          <a:xfrm>
            <a:off x="13857345" y="908466"/>
            <a:ext cx="2286000" cy="156117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589BC4-AB7A-43AA-81D2-CD47EFED4800}" type="TxLink">
              <a:rPr lang="en-US" sz="2400" b="1" i="0" u="none" strike="noStrike">
                <a:solidFill>
                  <a:srgbClr val="FFFFFF"/>
                </a:solidFill>
                <a:latin typeface="Segoe UI Black" panose="020B0A02040204020203" pitchFamily="34" charset="0"/>
                <a:ea typeface="Segoe UI Black" panose="020B0A02040204020203" pitchFamily="34" charset="0"/>
                <a:cs typeface="Calibri"/>
              </a:rPr>
              <a:pPr algn="ctr"/>
              <a:t>46.649</a:t>
            </a:fld>
            <a:endParaRPr lang="en-US" sz="5400" b="1">
              <a:solidFill>
                <a:srgbClr val="FFFFFF"/>
              </a:solidFill>
              <a:latin typeface="Segoe UI Black" panose="020B0A02040204020203" pitchFamily="34" charset="0"/>
              <a:ea typeface="Segoe UI Black" panose="020B0A02040204020203" pitchFamily="34" charset="0"/>
            </a:endParaRPr>
          </a:p>
        </xdr:txBody>
      </xdr:sp>
      <xdr:sp macro="" textlink="">
        <xdr:nvSpPr>
          <xdr:cNvPr id="98" name="Rectangle: Top Corners Rounded 97">
            <a:extLst>
              <a:ext uri="{FF2B5EF4-FFF2-40B4-BE49-F238E27FC236}">
                <a16:creationId xmlns:a16="http://schemas.microsoft.com/office/drawing/2014/main" id="{DDCD9322-008E-4100-BD78-0296F71D6ECA}"/>
              </a:ext>
            </a:extLst>
          </xdr:cNvPr>
          <xdr:cNvSpPr/>
        </xdr:nvSpPr>
        <xdr:spPr>
          <a:xfrm rot="10800000">
            <a:off x="13857345" y="1829558"/>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6" name="Graphic 25" descr="Stopwatch">
            <a:extLst>
              <a:ext uri="{FF2B5EF4-FFF2-40B4-BE49-F238E27FC236}">
                <a16:creationId xmlns:a16="http://schemas.microsoft.com/office/drawing/2014/main" id="{408CA943-B460-313E-946C-7FA09BD25B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501084" y="1900113"/>
            <a:ext cx="553889" cy="513627"/>
          </a:xfrm>
          <a:prstGeom prst="rect">
            <a:avLst/>
          </a:prstGeom>
        </xdr:spPr>
      </xdr:pic>
      <xdr:sp macro="" textlink="Pivot!A3">
        <xdr:nvSpPr>
          <xdr:cNvPr id="15" name="TextBox 14">
            <a:extLst>
              <a:ext uri="{FF2B5EF4-FFF2-40B4-BE49-F238E27FC236}">
                <a16:creationId xmlns:a16="http://schemas.microsoft.com/office/drawing/2014/main" id="{54672084-4CC9-4894-847B-7C751813B140}"/>
              </a:ext>
            </a:extLst>
          </xdr:cNvPr>
          <xdr:cNvSpPr txBox="1"/>
        </xdr:nvSpPr>
        <xdr:spPr>
          <a:xfrm>
            <a:off x="13893916" y="2013366"/>
            <a:ext cx="1615786" cy="295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bg1"/>
                </a:solidFill>
                <a:latin typeface="Segoe UI Black" panose="020B0A02040204020203" pitchFamily="34" charset="0"/>
                <a:ea typeface="Segoe UI Black" panose="020B0A02040204020203" pitchFamily="34" charset="0"/>
              </a:rPr>
              <a:t>Correction</a:t>
            </a:r>
            <a:r>
              <a:rPr lang="en-US" sz="1200" b="1" baseline="0">
                <a:solidFill>
                  <a:schemeClr val="bg1"/>
                </a:solidFill>
                <a:latin typeface="Segoe UI Black" panose="020B0A02040204020203" pitchFamily="34" charset="0"/>
                <a:ea typeface="Segoe UI Black" panose="020B0A02040204020203" pitchFamily="34" charset="0"/>
              </a:rPr>
              <a:t> Time</a:t>
            </a:r>
            <a:endParaRPr lang="en-US" sz="1200" b="1">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3</xdr:col>
      <xdr:colOff>228600</xdr:colOff>
      <xdr:row>27</xdr:row>
      <xdr:rowOff>154842</xdr:rowOff>
    </xdr:from>
    <xdr:to>
      <xdr:col>10</xdr:col>
      <xdr:colOff>495300</xdr:colOff>
      <xdr:row>45</xdr:row>
      <xdr:rowOff>97692</xdr:rowOff>
    </xdr:to>
    <xdr:grpSp>
      <xdr:nvGrpSpPr>
        <xdr:cNvPr id="108" name="Group 107">
          <a:extLst>
            <a:ext uri="{FF2B5EF4-FFF2-40B4-BE49-F238E27FC236}">
              <a16:creationId xmlns:a16="http://schemas.microsoft.com/office/drawing/2014/main" id="{3964326D-8C51-758A-F433-536AB192928B}"/>
            </a:ext>
          </a:extLst>
        </xdr:cNvPr>
        <xdr:cNvGrpSpPr/>
      </xdr:nvGrpSpPr>
      <xdr:grpSpPr>
        <a:xfrm>
          <a:off x="2005826" y="5172891"/>
          <a:ext cx="4413559" cy="3288216"/>
          <a:chOff x="1933575" y="5086350"/>
          <a:chExt cx="4533900" cy="3139440"/>
        </a:xfrm>
      </xdr:grpSpPr>
      <xdr:grpSp>
        <xdr:nvGrpSpPr>
          <xdr:cNvPr id="97" name="Group 96">
            <a:extLst>
              <a:ext uri="{FF2B5EF4-FFF2-40B4-BE49-F238E27FC236}">
                <a16:creationId xmlns:a16="http://schemas.microsoft.com/office/drawing/2014/main" id="{3F5FAE06-97CF-5852-2DF4-A9C02CE975CE}"/>
              </a:ext>
            </a:extLst>
          </xdr:cNvPr>
          <xdr:cNvGrpSpPr/>
        </xdr:nvGrpSpPr>
        <xdr:grpSpPr>
          <a:xfrm>
            <a:off x="1933575" y="5086350"/>
            <a:ext cx="4533900" cy="3139440"/>
            <a:chOff x="7134225" y="7181850"/>
            <a:chExt cx="4533900" cy="2856642"/>
          </a:xfrm>
        </xdr:grpSpPr>
        <xdr:sp macro="" textlink="">
          <xdr:nvSpPr>
            <xdr:cNvPr id="96" name="Rectangle: Rounded Corners 95">
              <a:extLst>
                <a:ext uri="{FF2B5EF4-FFF2-40B4-BE49-F238E27FC236}">
                  <a16:creationId xmlns:a16="http://schemas.microsoft.com/office/drawing/2014/main" id="{311783E6-925C-5743-B672-F2FEBFFA75EA}"/>
                </a:ext>
              </a:extLst>
            </xdr:cNvPr>
            <xdr:cNvSpPr/>
          </xdr:nvSpPr>
          <xdr:spPr>
            <a:xfrm>
              <a:off x="7134225" y="7181850"/>
              <a:ext cx="4533900" cy="2838451"/>
            </a:xfrm>
            <a:prstGeom prst="roundRect">
              <a:avLst>
                <a:gd name="adj" fmla="val 6904"/>
              </a:avLst>
            </a:prstGeom>
            <a:solidFill>
              <a:srgbClr val="99EB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0" name="Chart 89">
              <a:extLst>
                <a:ext uri="{FF2B5EF4-FFF2-40B4-BE49-F238E27FC236}">
                  <a16:creationId xmlns:a16="http://schemas.microsoft.com/office/drawing/2014/main" id="{0E742FC1-1077-4AA5-9099-BB79A4309CD8}"/>
                </a:ext>
              </a:extLst>
            </xdr:cNvPr>
            <xdr:cNvGraphicFramePr>
              <a:graphicFrameLocks/>
            </xdr:cNvGraphicFramePr>
          </xdr:nvGraphicFramePr>
          <xdr:xfrm>
            <a:off x="7210424" y="7528530"/>
            <a:ext cx="4410075" cy="2509962"/>
          </xdr:xfrm>
          <a:graphic>
            <a:graphicData uri="http://schemas.openxmlformats.org/drawingml/2006/chart">
              <c:chart xmlns:c="http://schemas.openxmlformats.org/drawingml/2006/chart" xmlns:r="http://schemas.openxmlformats.org/officeDocument/2006/relationships" r:id="rId9"/>
            </a:graphicData>
          </a:graphic>
        </xdr:graphicFrame>
      </xdr:grpSp>
      <xdr:sp macro="" textlink="">
        <xdr:nvSpPr>
          <xdr:cNvPr id="107" name="TextBox 106">
            <a:extLst>
              <a:ext uri="{FF2B5EF4-FFF2-40B4-BE49-F238E27FC236}">
                <a16:creationId xmlns:a16="http://schemas.microsoft.com/office/drawing/2014/main" id="{7EBAE855-A478-CA2D-6385-6E11E765BA01}"/>
              </a:ext>
            </a:extLst>
          </xdr:cNvPr>
          <xdr:cNvSpPr txBox="1"/>
        </xdr:nvSpPr>
        <xdr:spPr>
          <a:xfrm>
            <a:off x="3228975" y="5200650"/>
            <a:ext cx="2316532"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125C4F"/>
                </a:solidFill>
                <a:latin typeface="Segoe UI Black" panose="020B0A02040204020203" pitchFamily="34" charset="0"/>
                <a:ea typeface="Segoe UI Black" panose="020B0A02040204020203" pitchFamily="34" charset="0"/>
              </a:rPr>
              <a:t>Quality</a:t>
            </a:r>
            <a:r>
              <a:rPr lang="en-US" sz="1600" b="1" baseline="0">
                <a:solidFill>
                  <a:srgbClr val="125C4F"/>
                </a:solidFill>
                <a:latin typeface="Segoe UI Black" panose="020B0A02040204020203" pitchFamily="34" charset="0"/>
                <a:ea typeface="Segoe UI Black" panose="020B0A02040204020203" pitchFamily="34" charset="0"/>
              </a:rPr>
              <a:t> Classification</a:t>
            </a:r>
            <a:endParaRPr lang="en-US" sz="1600" b="1">
              <a:solidFill>
                <a:srgbClr val="125C4F"/>
              </a:solidFill>
              <a:latin typeface="Segoe UI Black" panose="020B0A02040204020203" pitchFamily="34" charset="0"/>
              <a:ea typeface="Segoe UI Black" panose="020B0A02040204020203" pitchFamily="34" charset="0"/>
            </a:endParaRPr>
          </a:p>
        </xdr:txBody>
      </xdr:sp>
    </xdr:grpSp>
    <xdr:clientData/>
  </xdr:twoCellAnchor>
  <xdr:twoCellAnchor editAs="oneCell">
    <xdr:from>
      <xdr:col>27</xdr:col>
      <xdr:colOff>590550</xdr:colOff>
      <xdr:row>0</xdr:row>
      <xdr:rowOff>9525</xdr:rowOff>
    </xdr:from>
    <xdr:to>
      <xdr:col>29</xdr:col>
      <xdr:colOff>285750</xdr:colOff>
      <xdr:row>5</xdr:row>
      <xdr:rowOff>19050</xdr:rowOff>
    </xdr:to>
    <xdr:pic>
      <xdr:nvPicPr>
        <xdr:cNvPr id="121" name="Graphic 120" descr="Chevron arrows">
          <a:hlinkClick xmlns:r="http://schemas.openxmlformats.org/officeDocument/2006/relationships" r:id="rId10"/>
          <a:extLst>
            <a:ext uri="{FF2B5EF4-FFF2-40B4-BE49-F238E27FC236}">
              <a16:creationId xmlns:a16="http://schemas.microsoft.com/office/drawing/2014/main" id="{66C51079-BEA9-4381-8FAE-7C1DB19B87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049750" y="9525"/>
          <a:ext cx="914400" cy="914400"/>
        </a:xfrm>
        <a:prstGeom prst="rect">
          <a:avLst/>
        </a:prstGeom>
      </xdr:spPr>
    </xdr:pic>
    <xdr:clientData/>
  </xdr:twoCellAnchor>
  <xdr:twoCellAnchor>
    <xdr:from>
      <xdr:col>23</xdr:col>
      <xdr:colOff>142875</xdr:colOff>
      <xdr:row>4</xdr:row>
      <xdr:rowOff>137273</xdr:rowOff>
    </xdr:from>
    <xdr:to>
      <xdr:col>26</xdr:col>
      <xdr:colOff>325755</xdr:colOff>
      <xdr:row>12</xdr:row>
      <xdr:rowOff>61073</xdr:rowOff>
    </xdr:to>
    <xdr:grpSp>
      <xdr:nvGrpSpPr>
        <xdr:cNvPr id="16" name="Group 15">
          <a:extLst>
            <a:ext uri="{FF2B5EF4-FFF2-40B4-BE49-F238E27FC236}">
              <a16:creationId xmlns:a16="http://schemas.microsoft.com/office/drawing/2014/main" id="{A907DAA8-5548-F768-949D-00F23E91E968}"/>
            </a:ext>
          </a:extLst>
        </xdr:cNvPr>
        <xdr:cNvGrpSpPr/>
      </xdr:nvGrpSpPr>
      <xdr:grpSpPr>
        <a:xfrm>
          <a:off x="13768271" y="880688"/>
          <a:ext cx="1960106" cy="1410629"/>
          <a:chOff x="13782675" y="838200"/>
          <a:chExt cx="2286000" cy="1561172"/>
        </a:xfrm>
      </xdr:grpSpPr>
      <xdr:sp macro="" textlink="Pivot!F16">
        <xdr:nvSpPr>
          <xdr:cNvPr id="12" name="Rectangle: Rounded Corners 11">
            <a:extLst>
              <a:ext uri="{FF2B5EF4-FFF2-40B4-BE49-F238E27FC236}">
                <a16:creationId xmlns:a16="http://schemas.microsoft.com/office/drawing/2014/main" id="{D55A1156-3AD8-4F90-827F-4D247933F156}"/>
              </a:ext>
            </a:extLst>
          </xdr:cNvPr>
          <xdr:cNvSpPr/>
        </xdr:nvSpPr>
        <xdr:spPr>
          <a:xfrm>
            <a:off x="13782675" y="838200"/>
            <a:ext cx="2286000" cy="1561172"/>
          </a:xfrm>
          <a:prstGeom prst="roundRect">
            <a:avLst>
              <a:gd name="adj" fmla="val 8065"/>
            </a:avLst>
          </a:prstGeom>
          <a:solidFill>
            <a:srgbClr val="1F9C8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63BFFD-CF14-4155-99E7-6E188814BEA5}"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6,57</a:t>
            </a:fld>
            <a:r>
              <a:rPr lang="tr-TR" sz="2400" b="0" i="0" u="none" strike="noStrike">
                <a:solidFill>
                  <a:schemeClr val="bg1"/>
                </a:solidFill>
                <a:latin typeface="Segoe UI Black" panose="020B0A02040204020203" pitchFamily="34" charset="0"/>
                <a:ea typeface="Segoe UI Black" panose="020B0A02040204020203" pitchFamily="34" charset="0"/>
                <a:cs typeface="Calibri"/>
              </a:rPr>
              <a:t>%</a:t>
            </a:r>
            <a:endParaRPr lang="en-US" sz="11500" b="1">
              <a:solidFill>
                <a:schemeClr val="bg1"/>
              </a:solidFill>
              <a:latin typeface="Segoe UI Black" panose="020B0A02040204020203" pitchFamily="34" charset="0"/>
              <a:ea typeface="Segoe UI Black" panose="020B0A02040204020203" pitchFamily="34" charset="0"/>
            </a:endParaRPr>
          </a:p>
        </xdr:txBody>
      </xdr:sp>
      <xdr:sp macro="" textlink="">
        <xdr:nvSpPr>
          <xdr:cNvPr id="13" name="Rectangle: Top Corners Rounded 12">
            <a:extLst>
              <a:ext uri="{FF2B5EF4-FFF2-40B4-BE49-F238E27FC236}">
                <a16:creationId xmlns:a16="http://schemas.microsoft.com/office/drawing/2014/main" id="{61FE3EF3-26AB-4DB4-AEA9-DB79202BB963}"/>
              </a:ext>
            </a:extLst>
          </xdr:cNvPr>
          <xdr:cNvSpPr/>
        </xdr:nvSpPr>
        <xdr:spPr>
          <a:xfrm rot="10800000">
            <a:off x="13782675" y="1759292"/>
            <a:ext cx="2286000" cy="640080"/>
          </a:xfrm>
          <a:prstGeom prst="round2SameRect">
            <a:avLst/>
          </a:prstGeom>
          <a:solidFill>
            <a:srgbClr val="125C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23</xdr:col>
      <xdr:colOff>152400</xdr:colOff>
      <xdr:row>10</xdr:row>
      <xdr:rowOff>42023</xdr:rowOff>
    </xdr:from>
    <xdr:to>
      <xdr:col>25</xdr:col>
      <xdr:colOff>334436</xdr:colOff>
      <xdr:row>11</xdr:row>
      <xdr:rowOff>120416</xdr:rowOff>
    </xdr:to>
    <xdr:sp macro="" textlink="Pivot!A3">
      <xdr:nvSpPr>
        <xdr:cNvPr id="18" name="TextBox 17">
          <a:extLst>
            <a:ext uri="{FF2B5EF4-FFF2-40B4-BE49-F238E27FC236}">
              <a16:creationId xmlns:a16="http://schemas.microsoft.com/office/drawing/2014/main" id="{0B43CB7D-0402-4F8D-94C2-A8EB95145D45}"/>
            </a:ext>
          </a:extLst>
        </xdr:cNvPr>
        <xdr:cNvSpPr txBox="1"/>
      </xdr:nvSpPr>
      <xdr:spPr>
        <a:xfrm>
          <a:off x="14173200" y="1851773"/>
          <a:ext cx="1401236" cy="259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tr-TR" sz="1200" b="1">
              <a:solidFill>
                <a:schemeClr val="bg1"/>
              </a:solidFill>
              <a:latin typeface="Segoe UI Black" panose="020B0A02040204020203" pitchFamily="34" charset="0"/>
              <a:ea typeface="Segoe UI Black" panose="020B0A02040204020203" pitchFamily="34" charset="0"/>
            </a:rPr>
            <a:t>Error Rate</a:t>
          </a:r>
          <a:endParaRPr lang="en-US" sz="12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10</xdr:col>
      <xdr:colOff>73024</xdr:colOff>
      <xdr:row>13</xdr:row>
      <xdr:rowOff>106318</xdr:rowOff>
    </xdr:from>
    <xdr:to>
      <xdr:col>16</xdr:col>
      <xdr:colOff>169453</xdr:colOff>
      <xdr:row>27</xdr:row>
      <xdr:rowOff>50318</xdr:rowOff>
    </xdr:to>
    <xdr:grpSp>
      <xdr:nvGrpSpPr>
        <xdr:cNvPr id="24" name="Group 23">
          <a:extLst>
            <a:ext uri="{FF2B5EF4-FFF2-40B4-BE49-F238E27FC236}">
              <a16:creationId xmlns:a16="http://schemas.microsoft.com/office/drawing/2014/main" id="{7180ADF7-8548-969D-8D3E-B7FA2C34E753}"/>
            </a:ext>
          </a:extLst>
        </xdr:cNvPr>
        <xdr:cNvGrpSpPr/>
      </xdr:nvGrpSpPr>
      <xdr:grpSpPr>
        <a:xfrm>
          <a:off x="5997109" y="2522416"/>
          <a:ext cx="3650881" cy="2545951"/>
          <a:chOff x="6894739" y="2614204"/>
          <a:chExt cx="3577318" cy="2317295"/>
        </a:xfrm>
      </xdr:grpSpPr>
      <xdr:grpSp>
        <xdr:nvGrpSpPr>
          <xdr:cNvPr id="38" name="Group 37">
            <a:extLst>
              <a:ext uri="{FF2B5EF4-FFF2-40B4-BE49-F238E27FC236}">
                <a16:creationId xmlns:a16="http://schemas.microsoft.com/office/drawing/2014/main" id="{B9D85E94-9928-6393-D9F3-E4BD483C5040}"/>
              </a:ext>
            </a:extLst>
          </xdr:cNvPr>
          <xdr:cNvGrpSpPr/>
        </xdr:nvGrpSpPr>
        <xdr:grpSpPr>
          <a:xfrm>
            <a:off x="6894739" y="2614204"/>
            <a:ext cx="3577318" cy="2317295"/>
            <a:chOff x="6877050" y="2390775"/>
            <a:chExt cx="3495675" cy="2666999"/>
          </a:xfrm>
        </xdr:grpSpPr>
        <xdr:sp macro="" textlink="">
          <xdr:nvSpPr>
            <xdr:cNvPr id="36" name="Rectangle: Rounded Corners 35">
              <a:extLst>
                <a:ext uri="{FF2B5EF4-FFF2-40B4-BE49-F238E27FC236}">
                  <a16:creationId xmlns:a16="http://schemas.microsoft.com/office/drawing/2014/main" id="{EBCDD25D-EDBC-5375-FD14-21B08E599A01}"/>
                </a:ext>
              </a:extLst>
            </xdr:cNvPr>
            <xdr:cNvSpPr/>
          </xdr:nvSpPr>
          <xdr:spPr>
            <a:xfrm>
              <a:off x="6877050" y="2390775"/>
              <a:ext cx="3495675" cy="2628900"/>
            </a:xfrm>
            <a:prstGeom prst="roundRect">
              <a:avLst>
                <a:gd name="adj" fmla="val 8334"/>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33EB975D-22E4-46AE-9F24-F9AB9EB1514C}"/>
                </a:ext>
              </a:extLst>
            </xdr:cNvPr>
            <xdr:cNvGraphicFramePr>
              <a:graphicFrameLocks/>
            </xdr:cNvGraphicFramePr>
          </xdr:nvGraphicFramePr>
          <xdr:xfrm>
            <a:off x="6943725" y="2909625"/>
            <a:ext cx="3409950" cy="2148149"/>
          </xdr:xfrm>
          <a:graphic>
            <a:graphicData uri="http://schemas.openxmlformats.org/drawingml/2006/chart">
              <c:chart xmlns:c="http://schemas.openxmlformats.org/drawingml/2006/chart" xmlns:r="http://schemas.openxmlformats.org/officeDocument/2006/relationships" r:id="rId13"/>
            </a:graphicData>
          </a:graphic>
        </xdr:graphicFrame>
      </xdr:grpSp>
      <xdr:sp macro="" textlink="">
        <xdr:nvSpPr>
          <xdr:cNvPr id="39" name="TextBox 38">
            <a:extLst>
              <a:ext uri="{FF2B5EF4-FFF2-40B4-BE49-F238E27FC236}">
                <a16:creationId xmlns:a16="http://schemas.microsoft.com/office/drawing/2014/main" id="{EFE5B44A-7DAD-4504-9E54-752D4DE83106}"/>
              </a:ext>
            </a:extLst>
          </xdr:cNvPr>
          <xdr:cNvSpPr txBox="1"/>
        </xdr:nvSpPr>
        <xdr:spPr>
          <a:xfrm>
            <a:off x="8051784" y="2652304"/>
            <a:ext cx="1263228" cy="286839"/>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none" rtlCol="0" anchor="t">
            <a:noAutofit/>
          </a:bodyPr>
          <a:lstStyle/>
          <a:p>
            <a:pPr algn="ctr"/>
            <a:r>
              <a:rPr lang="tr-TR" sz="1400" b="1">
                <a:solidFill>
                  <a:srgbClr val="125C4F"/>
                </a:solidFill>
                <a:latin typeface="Segoe UI Black" panose="020B0A02040204020203" pitchFamily="34" charset="0"/>
                <a:ea typeface="Segoe UI Black" panose="020B0A02040204020203" pitchFamily="34" charset="0"/>
              </a:rPr>
              <a:t>Total Cost($)</a:t>
            </a:r>
            <a:endParaRPr lang="en-US" sz="1400" b="1">
              <a:solidFill>
                <a:srgbClr val="125C4F"/>
              </a:solidFill>
              <a:latin typeface="Segoe UI Black" panose="020B0A02040204020203" pitchFamily="34" charset="0"/>
              <a:ea typeface="Segoe UI Black" panose="020B0A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28</xdr:col>
      <xdr:colOff>411480</xdr:colOff>
      <xdr:row>4</xdr:row>
      <xdr:rowOff>108585</xdr:rowOff>
    </xdr:to>
    <xdr:sp macro="" textlink="">
      <xdr:nvSpPr>
        <xdr:cNvPr id="2" name="Rectangle 16">
          <a:extLst>
            <a:ext uri="{FF2B5EF4-FFF2-40B4-BE49-F238E27FC236}">
              <a16:creationId xmlns:a16="http://schemas.microsoft.com/office/drawing/2014/main" id="{30301302-0272-4808-AB4B-4B5EB2C8C725}"/>
            </a:ext>
          </a:extLst>
        </xdr:cNvPr>
        <xdr:cNvSpPr/>
      </xdr:nvSpPr>
      <xdr:spPr>
        <a:xfrm>
          <a:off x="0" y="9525"/>
          <a:ext cx="18013680" cy="822960"/>
        </a:xfrm>
        <a:prstGeom prst="rect">
          <a:avLst/>
        </a:prstGeom>
        <a:solidFill>
          <a:srgbClr val="125C4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3200" b="1">
              <a:solidFill>
                <a:srgbClr val="E9FBF8"/>
              </a:solidFill>
              <a:latin typeface="Segoe UI Black" panose="020B0A02040204020203" pitchFamily="34" charset="0"/>
              <a:ea typeface="Segoe UI Black" panose="020B0A02040204020203" pitchFamily="34" charset="0"/>
            </a:rPr>
            <a:t>QUALITY</a:t>
          </a:r>
          <a:r>
            <a:rPr lang="tr-TR" sz="3200" b="1" baseline="0">
              <a:solidFill>
                <a:srgbClr val="E9FBF8"/>
              </a:solidFill>
              <a:latin typeface="Segoe UI Black" panose="020B0A02040204020203" pitchFamily="34" charset="0"/>
              <a:ea typeface="Segoe UI Black" panose="020B0A02040204020203" pitchFamily="34" charset="0"/>
            </a:rPr>
            <a:t> CONTROL ERROR ANALYSIS</a:t>
          </a:r>
          <a:endParaRPr lang="en-US" sz="3200" b="1">
            <a:solidFill>
              <a:srgbClr val="E9FBF8"/>
            </a:solidFill>
            <a:latin typeface="Segoe UI Black" panose="020B0A02040204020203" pitchFamily="34" charset="0"/>
            <a:ea typeface="Segoe UI Black" panose="020B0A02040204020203" pitchFamily="34" charset="0"/>
          </a:endParaRPr>
        </a:p>
      </xdr:txBody>
    </xdr:sp>
    <xdr:clientData/>
  </xdr:twoCellAnchor>
  <xdr:twoCellAnchor>
    <xdr:from>
      <xdr:col>3</xdr:col>
      <xdr:colOff>111488</xdr:colOff>
      <xdr:row>6</xdr:row>
      <xdr:rowOff>21389</xdr:rowOff>
    </xdr:from>
    <xdr:to>
      <xdr:col>14</xdr:col>
      <xdr:colOff>98731</xdr:colOff>
      <xdr:row>44</xdr:row>
      <xdr:rowOff>170680</xdr:rowOff>
    </xdr:to>
    <xdr:sp macro="" textlink="">
      <xdr:nvSpPr>
        <xdr:cNvPr id="4" name="Rectangle: Rounded Corners 69">
          <a:extLst>
            <a:ext uri="{FF2B5EF4-FFF2-40B4-BE49-F238E27FC236}">
              <a16:creationId xmlns:a16="http://schemas.microsoft.com/office/drawing/2014/main" id="{14AC0576-7D0D-1115-BCB1-8BB78C69D940}"/>
            </a:ext>
          </a:extLst>
        </xdr:cNvPr>
        <xdr:cNvSpPr/>
      </xdr:nvSpPr>
      <xdr:spPr>
        <a:xfrm>
          <a:off x="1916225" y="1124284"/>
          <a:ext cx="6604611" cy="7134291"/>
        </a:xfrm>
        <a:prstGeom prst="roundRect">
          <a:avLst>
            <a:gd name="adj" fmla="val 3782"/>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298373</xdr:colOff>
      <xdr:row>5</xdr:row>
      <xdr:rowOff>131973</xdr:rowOff>
    </xdr:from>
    <xdr:to>
      <xdr:col>25</xdr:col>
      <xdr:colOff>468178</xdr:colOff>
      <xdr:row>23</xdr:row>
      <xdr:rowOff>109022</xdr:rowOff>
    </xdr:to>
    <xdr:grpSp>
      <xdr:nvGrpSpPr>
        <xdr:cNvPr id="21" name="Grup 20">
          <a:extLst>
            <a:ext uri="{FF2B5EF4-FFF2-40B4-BE49-F238E27FC236}">
              <a16:creationId xmlns:a16="http://schemas.microsoft.com/office/drawing/2014/main" id="{37BEB5F6-C1F4-ED40-25FF-56F96AD1DED6}"/>
            </a:ext>
          </a:extLst>
        </xdr:cNvPr>
        <xdr:cNvGrpSpPr/>
      </xdr:nvGrpSpPr>
      <xdr:grpSpPr>
        <a:xfrm>
          <a:off x="11228311" y="1084473"/>
          <a:ext cx="4420336" cy="3406049"/>
          <a:chOff x="11216024" y="1082797"/>
          <a:chExt cx="5831727" cy="4002518"/>
        </a:xfrm>
      </xdr:grpSpPr>
      <xdr:sp macro="" textlink="">
        <xdr:nvSpPr>
          <xdr:cNvPr id="10" name="Rectangle: Rounded Corners 101">
            <a:extLst>
              <a:ext uri="{FF2B5EF4-FFF2-40B4-BE49-F238E27FC236}">
                <a16:creationId xmlns:a16="http://schemas.microsoft.com/office/drawing/2014/main" id="{2AB7F411-EAD1-D92A-E659-087F39CCBDD4}"/>
              </a:ext>
            </a:extLst>
          </xdr:cNvPr>
          <xdr:cNvSpPr/>
        </xdr:nvSpPr>
        <xdr:spPr>
          <a:xfrm>
            <a:off x="11235205" y="1082797"/>
            <a:ext cx="5800603" cy="4002518"/>
          </a:xfrm>
          <a:prstGeom prst="roundRect">
            <a:avLst>
              <a:gd name="adj" fmla="val 8415"/>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11" name="Chart 97">
            <a:extLst>
              <a:ext uri="{FF2B5EF4-FFF2-40B4-BE49-F238E27FC236}">
                <a16:creationId xmlns:a16="http://schemas.microsoft.com/office/drawing/2014/main" id="{75E38299-EBE0-975C-A54A-FFB3DDFD16A0}"/>
              </a:ext>
            </a:extLst>
          </xdr:cNvPr>
          <xdr:cNvGraphicFramePr>
            <a:graphicFrameLocks/>
          </xdr:cNvGraphicFramePr>
        </xdr:nvGraphicFramePr>
        <xdr:xfrm>
          <a:off x="11216024" y="1292687"/>
          <a:ext cx="5831727" cy="369667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19050</xdr:colOff>
      <xdr:row>20</xdr:row>
      <xdr:rowOff>162912</xdr:rowOff>
    </xdr:from>
    <xdr:to>
      <xdr:col>2</xdr:col>
      <xdr:colOff>610557</xdr:colOff>
      <xdr:row>30</xdr:row>
      <xdr:rowOff>9526</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FC5D6C8A-116A-482C-9DDE-28D50AA5907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050" y="3782412"/>
              <a:ext cx="1848807" cy="1656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137020</xdr:rowOff>
    </xdr:from>
    <xdr:to>
      <xdr:col>2</xdr:col>
      <xdr:colOff>587485</xdr:colOff>
      <xdr:row>37</xdr:row>
      <xdr:rowOff>28575</xdr:rowOff>
    </xdr:to>
    <mc:AlternateContent xmlns:mc="http://schemas.openxmlformats.org/markup-compatibility/2006" xmlns:a14="http://schemas.microsoft.com/office/drawing/2010/main">
      <mc:Choice Requires="a14">
        <xdr:graphicFrame macro="">
          <xdr:nvGraphicFramePr>
            <xdr:cNvPr id="16" name="ProductionLine 1">
              <a:extLst>
                <a:ext uri="{FF2B5EF4-FFF2-40B4-BE49-F238E27FC236}">
                  <a16:creationId xmlns:a16="http://schemas.microsoft.com/office/drawing/2014/main" id="{D2E4C81E-BD7A-4155-935F-E324B74A64E4}"/>
                </a:ext>
              </a:extLst>
            </xdr:cNvPr>
            <xdr:cNvGraphicFramePr/>
          </xdr:nvGraphicFramePr>
          <xdr:xfrm>
            <a:off x="0" y="0"/>
            <a:ext cx="0" cy="0"/>
          </xdr:xfrm>
          <a:graphic>
            <a:graphicData uri="http://schemas.microsoft.com/office/drawing/2010/slicer">
              <sle:slicer xmlns:sle="http://schemas.microsoft.com/office/drawing/2010/slicer" name="ProductionLine 1"/>
            </a:graphicData>
          </a:graphic>
        </xdr:graphicFrame>
      </mc:Choice>
      <mc:Fallback xmlns="">
        <xdr:sp macro="" textlink="">
          <xdr:nvSpPr>
            <xdr:cNvPr id="0" name=""/>
            <xdr:cNvSpPr>
              <a:spLocks noTextEdit="1"/>
            </xdr:cNvSpPr>
          </xdr:nvSpPr>
          <xdr:spPr>
            <a:xfrm>
              <a:off x="0" y="5566270"/>
              <a:ext cx="1844785" cy="115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493183</xdr:colOff>
      <xdr:row>4</xdr:row>
      <xdr:rowOff>140053</xdr:rowOff>
    </xdr:from>
    <xdr:to>
      <xdr:col>28</xdr:col>
      <xdr:colOff>427466</xdr:colOff>
      <xdr:row>17</xdr:row>
      <xdr:rowOff>76200</xdr:rowOff>
    </xdr:to>
    <mc:AlternateContent xmlns:mc="http://schemas.openxmlformats.org/markup-compatibility/2006">
      <mc:Choice xmlns:a14="http://schemas.microsoft.com/office/drawing/2010/main" Requires="a14">
        <xdr:graphicFrame macro="">
          <xdr:nvGraphicFramePr>
            <xdr:cNvPr id="18" name="ProductCode 1">
              <a:extLst>
                <a:ext uri="{FF2B5EF4-FFF2-40B4-BE49-F238E27FC236}">
                  <a16:creationId xmlns:a16="http://schemas.microsoft.com/office/drawing/2014/main" id="{11E4B720-3519-4195-AB77-9B7739429903}"/>
                </a:ext>
              </a:extLst>
            </xdr:cNvPr>
            <xdr:cNvGraphicFramePr/>
          </xdr:nvGraphicFramePr>
          <xdr:xfrm>
            <a:off x="0" y="0"/>
            <a:ext cx="0" cy="0"/>
          </xdr:xfrm>
          <a:graphic>
            <a:graphicData uri="http://schemas.microsoft.com/office/drawing/2010/slicer">
              <sle:slicer xmlns:sle="http://schemas.microsoft.com/office/drawing/2010/slicer" name="ProductCode 1"/>
            </a:graphicData>
          </a:graphic>
        </xdr:graphicFrame>
      </mc:Choice>
      <mc:Fallback>
        <xdr:sp macro="" textlink="">
          <xdr:nvSpPr>
            <xdr:cNvPr id="0" name=""/>
            <xdr:cNvSpPr>
              <a:spLocks noTextEdit="1"/>
            </xdr:cNvSpPr>
          </xdr:nvSpPr>
          <xdr:spPr>
            <a:xfrm>
              <a:off x="15673652" y="902053"/>
              <a:ext cx="1755939" cy="2412647"/>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25</xdr:col>
      <xdr:colOff>466724</xdr:colOff>
      <xdr:row>26</xdr:row>
      <xdr:rowOff>121495</xdr:rowOff>
    </xdr:from>
    <xdr:to>
      <xdr:col>28</xdr:col>
      <xdr:colOff>417195</xdr:colOff>
      <xdr:row>37</xdr:row>
      <xdr:rowOff>85725</xdr:rowOff>
    </xdr:to>
    <mc:AlternateContent xmlns:mc="http://schemas.openxmlformats.org/markup-compatibility/2006" xmlns:a14="http://schemas.microsoft.com/office/drawing/2010/main">
      <mc:Choice Requires="a14">
        <xdr:graphicFrame macro="">
          <xdr:nvGraphicFramePr>
            <xdr:cNvPr id="19" name="Months (ProductionDate) 1">
              <a:extLst>
                <a:ext uri="{FF2B5EF4-FFF2-40B4-BE49-F238E27FC236}">
                  <a16:creationId xmlns:a16="http://schemas.microsoft.com/office/drawing/2014/main" id="{8C1874E3-866A-4E40-816F-ABF2832ACEE6}"/>
                </a:ext>
              </a:extLst>
            </xdr:cNvPr>
            <xdr:cNvGraphicFramePr/>
          </xdr:nvGraphicFramePr>
          <xdr:xfrm>
            <a:off x="0" y="0"/>
            <a:ext cx="0" cy="0"/>
          </xdr:xfrm>
          <a:graphic>
            <a:graphicData uri="http://schemas.microsoft.com/office/drawing/2010/slicer">
              <sle:slicer xmlns:sle="http://schemas.microsoft.com/office/drawing/2010/slicer" name="Months (ProductionDate) 1"/>
            </a:graphicData>
          </a:graphic>
        </xdr:graphicFrame>
      </mc:Choice>
      <mc:Fallback xmlns="">
        <xdr:sp macro="" textlink="">
          <xdr:nvSpPr>
            <xdr:cNvPr id="0" name=""/>
            <xdr:cNvSpPr>
              <a:spLocks noTextEdit="1"/>
            </xdr:cNvSpPr>
          </xdr:nvSpPr>
          <xdr:spPr>
            <a:xfrm>
              <a:off x="16182974" y="4826845"/>
              <a:ext cx="1836421" cy="1954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465313</xdr:colOff>
      <xdr:row>18</xdr:row>
      <xdr:rowOff>10583</xdr:rowOff>
    </xdr:from>
    <xdr:to>
      <xdr:col>28</xdr:col>
      <xdr:colOff>430741</xdr:colOff>
      <xdr:row>25</xdr:row>
      <xdr:rowOff>173919</xdr:rowOff>
    </xdr:to>
    <mc:AlternateContent xmlns:mc="http://schemas.openxmlformats.org/markup-compatibility/2006" xmlns:a14="http://schemas.microsoft.com/office/drawing/2010/main">
      <mc:Choice Requires="a14">
        <xdr:graphicFrame macro="">
          <xdr:nvGraphicFramePr>
            <xdr:cNvPr id="9" name="ErrorType 1">
              <a:extLst>
                <a:ext uri="{FF2B5EF4-FFF2-40B4-BE49-F238E27FC236}">
                  <a16:creationId xmlns:a16="http://schemas.microsoft.com/office/drawing/2014/main" id="{0580520C-E75C-49C8-A1DB-ACC49B7F31F9}"/>
                </a:ext>
              </a:extLst>
            </xdr:cNvPr>
            <xdr:cNvGraphicFramePr/>
          </xdr:nvGraphicFramePr>
          <xdr:xfrm>
            <a:off x="0" y="0"/>
            <a:ext cx="0" cy="0"/>
          </xdr:xfrm>
          <a:graphic>
            <a:graphicData uri="http://schemas.microsoft.com/office/drawing/2010/slicer">
              <sle:slicer xmlns:sle="http://schemas.microsoft.com/office/drawing/2010/slicer" name="ErrorType 1"/>
            </a:graphicData>
          </a:graphic>
        </xdr:graphicFrame>
      </mc:Choice>
      <mc:Fallback xmlns="">
        <xdr:sp macro="" textlink="">
          <xdr:nvSpPr>
            <xdr:cNvPr id="0" name=""/>
            <xdr:cNvSpPr>
              <a:spLocks noTextEdit="1"/>
            </xdr:cNvSpPr>
          </xdr:nvSpPr>
          <xdr:spPr>
            <a:xfrm>
              <a:off x="16181563" y="3268133"/>
              <a:ext cx="1851378" cy="1430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37</xdr:row>
      <xdr:rowOff>171450</xdr:rowOff>
    </xdr:from>
    <xdr:to>
      <xdr:col>2</xdr:col>
      <xdr:colOff>600075</xdr:colOff>
      <xdr:row>44</xdr:row>
      <xdr:rowOff>143087</xdr:rowOff>
    </xdr:to>
    <mc:AlternateContent xmlns:mc="http://schemas.openxmlformats.org/markup-compatibility/2006" xmlns:a14="http://schemas.microsoft.com/office/drawing/2010/main">
      <mc:Choice Requires="a14">
        <xdr:graphicFrame macro="">
          <xdr:nvGraphicFramePr>
            <xdr:cNvPr id="12" name="Shift 2">
              <a:extLst>
                <a:ext uri="{FF2B5EF4-FFF2-40B4-BE49-F238E27FC236}">
                  <a16:creationId xmlns:a16="http://schemas.microsoft.com/office/drawing/2014/main" id="{96598701-346B-405E-BDEB-78E261C7A59C}"/>
                </a:ext>
              </a:extLst>
            </xdr:cNvPr>
            <xdr:cNvGraphicFramePr/>
          </xdr:nvGraphicFramePr>
          <xdr:xfrm>
            <a:off x="0" y="0"/>
            <a:ext cx="0" cy="0"/>
          </xdr:xfrm>
          <a:graphic>
            <a:graphicData uri="http://schemas.microsoft.com/office/drawing/2010/slicer">
              <sle:slicer xmlns:sle="http://schemas.microsoft.com/office/drawing/2010/slicer" name="Shift 2"/>
            </a:graphicData>
          </a:graphic>
        </xdr:graphicFrame>
      </mc:Choice>
      <mc:Fallback xmlns="">
        <xdr:sp macro="" textlink="">
          <xdr:nvSpPr>
            <xdr:cNvPr id="0" name=""/>
            <xdr:cNvSpPr>
              <a:spLocks noTextEdit="1"/>
            </xdr:cNvSpPr>
          </xdr:nvSpPr>
          <xdr:spPr>
            <a:xfrm>
              <a:off x="9525" y="6867525"/>
              <a:ext cx="1847850" cy="1238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142875</xdr:rowOff>
    </xdr:from>
    <xdr:to>
      <xdr:col>2</xdr:col>
      <xdr:colOff>600056</xdr:colOff>
      <xdr:row>20</xdr:row>
      <xdr:rowOff>57150</xdr:rowOff>
    </xdr:to>
    <mc:AlternateContent xmlns:mc="http://schemas.openxmlformats.org/markup-compatibility/2006" xmlns:a14="http://schemas.microsoft.com/office/drawing/2010/main">
      <mc:Choice Requires="a14">
        <xdr:graphicFrame macro="">
          <xdr:nvGraphicFramePr>
            <xdr:cNvPr id="23" name="MachineCode 2">
              <a:extLst>
                <a:ext uri="{FF2B5EF4-FFF2-40B4-BE49-F238E27FC236}">
                  <a16:creationId xmlns:a16="http://schemas.microsoft.com/office/drawing/2014/main" id="{0387CA9C-65A0-42DA-933B-3831DBDAB43B}"/>
                </a:ext>
              </a:extLst>
            </xdr:cNvPr>
            <xdr:cNvGraphicFramePr/>
          </xdr:nvGraphicFramePr>
          <xdr:xfrm>
            <a:off x="0" y="0"/>
            <a:ext cx="0" cy="0"/>
          </xdr:xfrm>
          <a:graphic>
            <a:graphicData uri="http://schemas.microsoft.com/office/drawing/2010/slicer">
              <sle:slicer xmlns:sle="http://schemas.microsoft.com/office/drawing/2010/slicer" name="MachineCode 2"/>
            </a:graphicData>
          </a:graphic>
        </xdr:graphicFrame>
      </mc:Choice>
      <mc:Fallback xmlns="">
        <xdr:sp macro="" textlink="">
          <xdr:nvSpPr>
            <xdr:cNvPr id="0" name=""/>
            <xdr:cNvSpPr>
              <a:spLocks noTextEdit="1"/>
            </xdr:cNvSpPr>
          </xdr:nvSpPr>
          <xdr:spPr>
            <a:xfrm>
              <a:off x="0" y="866775"/>
              <a:ext cx="1857356"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462707</xdr:colOff>
      <xdr:row>8</xdr:row>
      <xdr:rowOff>150449</xdr:rowOff>
    </xdr:from>
    <xdr:to>
      <xdr:col>20</xdr:col>
      <xdr:colOff>53132</xdr:colOff>
      <xdr:row>25</xdr:row>
      <xdr:rowOff>131399</xdr:rowOff>
    </xdr:to>
    <xdr:grpSp>
      <xdr:nvGrpSpPr>
        <xdr:cNvPr id="29" name="Group 28">
          <a:extLst>
            <a:ext uri="{FF2B5EF4-FFF2-40B4-BE49-F238E27FC236}">
              <a16:creationId xmlns:a16="http://schemas.microsoft.com/office/drawing/2014/main" id="{5B8C525F-DC81-BAFF-6E1E-18F917D9A211}"/>
            </a:ext>
          </a:extLst>
        </xdr:cNvPr>
        <xdr:cNvGrpSpPr>
          <a:grpSpLocks noChangeAspect="1"/>
        </xdr:cNvGrpSpPr>
      </xdr:nvGrpSpPr>
      <xdr:grpSpPr>
        <a:xfrm>
          <a:off x="7749332" y="1674449"/>
          <a:ext cx="4448175" cy="3219450"/>
          <a:chOff x="8162925" y="1352550"/>
          <a:chExt cx="4619625" cy="3057525"/>
        </a:xfrm>
      </xdr:grpSpPr>
      <xdr:grpSp>
        <xdr:nvGrpSpPr>
          <xdr:cNvPr id="27" name="Group 26">
            <a:extLst>
              <a:ext uri="{FF2B5EF4-FFF2-40B4-BE49-F238E27FC236}">
                <a16:creationId xmlns:a16="http://schemas.microsoft.com/office/drawing/2014/main" id="{A388A440-20F4-F76D-5A0B-5C354DD89EA2}"/>
              </a:ext>
            </a:extLst>
          </xdr:cNvPr>
          <xdr:cNvGrpSpPr/>
        </xdr:nvGrpSpPr>
        <xdr:grpSpPr>
          <a:xfrm>
            <a:off x="8162925" y="1666875"/>
            <a:ext cx="4619625" cy="2743200"/>
            <a:chOff x="7096125" y="8172450"/>
            <a:chExt cx="4619625" cy="2743200"/>
          </a:xfrm>
        </xdr:grpSpPr>
        <xdr:graphicFrame macro="">
          <xdr:nvGraphicFramePr>
            <xdr:cNvPr id="25" name="Chart 24">
              <a:extLst>
                <a:ext uri="{FF2B5EF4-FFF2-40B4-BE49-F238E27FC236}">
                  <a16:creationId xmlns:a16="http://schemas.microsoft.com/office/drawing/2014/main" id="{5D7ED26D-95D4-D1B5-8774-3DF2E71025C8}"/>
                </a:ext>
              </a:extLst>
            </xdr:cNvPr>
            <xdr:cNvGraphicFramePr/>
          </xdr:nvGraphicFramePr>
          <xdr:xfrm>
            <a:off x="7096125" y="817245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6" name="Chart 25">
              <a:extLst>
                <a:ext uri="{FF2B5EF4-FFF2-40B4-BE49-F238E27FC236}">
                  <a16:creationId xmlns:a16="http://schemas.microsoft.com/office/drawing/2014/main" id="{5C400F4F-D929-AA0D-5975-CBF26394CB5D}"/>
                </a:ext>
              </a:extLst>
            </xdr:cNvPr>
            <xdr:cNvGraphicFramePr/>
          </xdr:nvGraphicFramePr>
          <xdr:xfrm>
            <a:off x="7334250" y="8443912"/>
            <a:ext cx="4381500" cy="2452688"/>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28" name="TextBox 27">
            <a:extLst>
              <a:ext uri="{FF2B5EF4-FFF2-40B4-BE49-F238E27FC236}">
                <a16:creationId xmlns:a16="http://schemas.microsoft.com/office/drawing/2014/main" id="{2B7A3B37-38F1-9AAC-FD12-9CBA38AF8D60}"/>
              </a:ext>
            </a:extLst>
          </xdr:cNvPr>
          <xdr:cNvSpPr txBox="1"/>
        </xdr:nvSpPr>
        <xdr:spPr>
          <a:xfrm>
            <a:off x="9848850" y="1352550"/>
            <a:ext cx="114185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100" b="1">
                <a:latin typeface="Segoe UI Black" panose="020B0A02040204020203" pitchFamily="34" charset="0"/>
                <a:ea typeface="Segoe UI Black" panose="020B0A02040204020203" pitchFamily="34" charset="0"/>
              </a:rPr>
              <a:t>Error</a:t>
            </a:r>
            <a:r>
              <a:rPr lang="tr-TR" sz="1100" b="1" baseline="0">
                <a:latin typeface="Segoe UI Black" panose="020B0A02040204020203" pitchFamily="34" charset="0"/>
                <a:ea typeface="Segoe UI Black" panose="020B0A02040204020203" pitchFamily="34" charset="0"/>
              </a:rPr>
              <a:t> Severity</a:t>
            </a:r>
            <a:endParaRPr lang="en-US" sz="1100" b="1">
              <a:latin typeface="Segoe UI Black" panose="020B0A02040204020203" pitchFamily="34" charset="0"/>
              <a:ea typeface="Segoe UI Black" panose="020B0A02040204020203" pitchFamily="34" charset="0"/>
            </a:endParaRPr>
          </a:p>
        </xdr:txBody>
      </xdr:sp>
    </xdr:grpSp>
    <xdr:clientData/>
  </xdr:twoCellAnchor>
  <xdr:twoCellAnchor editAs="oneCell">
    <xdr:from>
      <xdr:col>0</xdr:col>
      <xdr:colOff>0</xdr:colOff>
      <xdr:row>0</xdr:row>
      <xdr:rowOff>0</xdr:rowOff>
    </xdr:from>
    <xdr:to>
      <xdr:col>1</xdr:col>
      <xdr:colOff>285750</xdr:colOff>
      <xdr:row>5</xdr:row>
      <xdr:rowOff>9525</xdr:rowOff>
    </xdr:to>
    <xdr:pic>
      <xdr:nvPicPr>
        <xdr:cNvPr id="39" name="Graphic 38" descr="Chevron arrows RTL">
          <a:hlinkClick xmlns:r="http://schemas.openxmlformats.org/officeDocument/2006/relationships" r:id="rId4"/>
          <a:extLst>
            <a:ext uri="{FF2B5EF4-FFF2-40B4-BE49-F238E27FC236}">
              <a16:creationId xmlns:a16="http://schemas.microsoft.com/office/drawing/2014/main" id="{BCD1F724-7373-20C8-E54B-3C4C063630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914400" cy="914400"/>
        </a:xfrm>
        <a:prstGeom prst="rect">
          <a:avLst/>
        </a:prstGeom>
      </xdr:spPr>
    </xdr:pic>
    <xdr:clientData/>
  </xdr:twoCellAnchor>
  <xdr:twoCellAnchor editAs="oneCell">
    <xdr:from>
      <xdr:col>25</xdr:col>
      <xdr:colOff>465364</xdr:colOff>
      <xdr:row>37</xdr:row>
      <xdr:rowOff>144235</xdr:rowOff>
    </xdr:from>
    <xdr:to>
      <xdr:col>28</xdr:col>
      <xdr:colOff>438150</xdr:colOff>
      <xdr:row>44</xdr:row>
      <xdr:rowOff>50890</xdr:rowOff>
    </xdr:to>
    <mc:AlternateContent xmlns:mc="http://schemas.openxmlformats.org/markup-compatibility/2006" xmlns:a14="http://schemas.microsoft.com/office/drawing/2010/main">
      <mc:Choice Requires="a14">
        <xdr:graphicFrame macro="">
          <xdr:nvGraphicFramePr>
            <xdr:cNvPr id="73" name="QualityInspector">
              <a:extLst>
                <a:ext uri="{FF2B5EF4-FFF2-40B4-BE49-F238E27FC236}">
                  <a16:creationId xmlns:a16="http://schemas.microsoft.com/office/drawing/2014/main" id="{3E2F8EFD-3821-4CB2-B6B0-CCEFD00A7D06}"/>
                </a:ext>
              </a:extLst>
            </xdr:cNvPr>
            <xdr:cNvGraphicFramePr/>
          </xdr:nvGraphicFramePr>
          <xdr:xfrm>
            <a:off x="0" y="0"/>
            <a:ext cx="0" cy="0"/>
          </xdr:xfrm>
          <a:graphic>
            <a:graphicData uri="http://schemas.microsoft.com/office/drawing/2010/slicer">
              <sle:slicer xmlns:sle="http://schemas.microsoft.com/office/drawing/2010/slicer" name="QualityInspector"/>
            </a:graphicData>
          </a:graphic>
        </xdr:graphicFrame>
      </mc:Choice>
      <mc:Fallback xmlns="">
        <xdr:sp macro="" textlink="">
          <xdr:nvSpPr>
            <xdr:cNvPr id="0" name=""/>
            <xdr:cNvSpPr>
              <a:spLocks noTextEdit="1"/>
            </xdr:cNvSpPr>
          </xdr:nvSpPr>
          <xdr:spPr>
            <a:xfrm>
              <a:off x="16181614" y="6840310"/>
              <a:ext cx="1858736"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397397</xdr:colOff>
      <xdr:row>23</xdr:row>
      <xdr:rowOff>146538</xdr:rowOff>
    </xdr:from>
    <xdr:to>
      <xdr:col>25</xdr:col>
      <xdr:colOff>341558</xdr:colOff>
      <xdr:row>45</xdr:row>
      <xdr:rowOff>52578</xdr:rowOff>
    </xdr:to>
    <xdr:sp macro="" textlink="">
      <xdr:nvSpPr>
        <xdr:cNvPr id="20" name="Rectangle: Rounded Corners 101">
          <a:extLst>
            <a:ext uri="{FF2B5EF4-FFF2-40B4-BE49-F238E27FC236}">
              <a16:creationId xmlns:a16="http://schemas.microsoft.com/office/drawing/2014/main" id="{B87E33C1-D891-4C5E-A2AB-4E5B87A248CD}"/>
            </a:ext>
          </a:extLst>
        </xdr:cNvPr>
        <xdr:cNvSpPr/>
      </xdr:nvSpPr>
      <xdr:spPr>
        <a:xfrm>
          <a:off x="8819502" y="4374301"/>
          <a:ext cx="6561530" cy="3949988"/>
        </a:xfrm>
        <a:prstGeom prst="roundRect">
          <a:avLst>
            <a:gd name="adj" fmla="val 7032"/>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tr-TR" sz="1600" b="1" baseline="0">
              <a:solidFill>
                <a:schemeClr val="accent2">
                  <a:lumMod val="50000"/>
                </a:schemeClr>
              </a:solidFill>
              <a:latin typeface="Segoe UI Black" panose="020B0A02040204020203" pitchFamily="34" charset="0"/>
              <a:ea typeface="Segoe UI Black" panose="020B0A02040204020203" pitchFamily="34" charset="0"/>
            </a:rPr>
            <a:t>Notes Given According to Error Types</a:t>
          </a:r>
          <a:endParaRPr lang="en-US" sz="1600" b="1">
            <a:solidFill>
              <a:schemeClr val="accent2">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363792</xdr:colOff>
      <xdr:row>29</xdr:row>
      <xdr:rowOff>125820</xdr:rowOff>
    </xdr:from>
    <xdr:to>
      <xdr:col>16</xdr:col>
      <xdr:colOff>473369</xdr:colOff>
      <xdr:row>32</xdr:row>
      <xdr:rowOff>131757</xdr:rowOff>
    </xdr:to>
    <xdr:sp macro="" textlink="Pivot!DH5">
      <xdr:nvSpPr>
        <xdr:cNvPr id="74" name="TextBox 73">
          <a:extLst>
            <a:ext uri="{FF2B5EF4-FFF2-40B4-BE49-F238E27FC236}">
              <a16:creationId xmlns:a16="http://schemas.microsoft.com/office/drawing/2014/main" id="{FAD990BD-CED6-0A21-4AA0-490712826240}"/>
            </a:ext>
          </a:extLst>
        </xdr:cNvPr>
        <xdr:cNvSpPr txBox="1"/>
      </xdr:nvSpPr>
      <xdr:spPr>
        <a:xfrm>
          <a:off x="8785897" y="5456478"/>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5107E5-BB94-4712-A2AC-861926B646C1}"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Eksik Parça</a:t>
          </a:fld>
          <a:endParaRPr lang="en-US" sz="1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369529</xdr:colOff>
      <xdr:row>32</xdr:row>
      <xdr:rowOff>51167</xdr:rowOff>
    </xdr:from>
    <xdr:to>
      <xdr:col>16</xdr:col>
      <xdr:colOff>479106</xdr:colOff>
      <xdr:row>35</xdr:row>
      <xdr:rowOff>57103</xdr:rowOff>
    </xdr:to>
    <xdr:sp macro="" textlink="Pivot!DH6">
      <xdr:nvSpPr>
        <xdr:cNvPr id="75" name="TextBox 74">
          <a:extLst>
            <a:ext uri="{FF2B5EF4-FFF2-40B4-BE49-F238E27FC236}">
              <a16:creationId xmlns:a16="http://schemas.microsoft.com/office/drawing/2014/main" id="{6C86C8EC-12A4-4E7D-81CC-B70E084B9E12}"/>
            </a:ext>
          </a:extLst>
        </xdr:cNvPr>
        <xdr:cNvSpPr txBox="1"/>
      </xdr:nvSpPr>
      <xdr:spPr>
        <a:xfrm>
          <a:off x="8791634" y="5933272"/>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2B5FAE-C8B7-4CDE-AD52-8FA1CB7476E0}"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Kaynak Hatası</a:t>
          </a:fld>
          <a:endParaRPr lang="en-US" sz="1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375266</xdr:colOff>
      <xdr:row>34</xdr:row>
      <xdr:rowOff>160328</xdr:rowOff>
    </xdr:from>
    <xdr:to>
      <xdr:col>16</xdr:col>
      <xdr:colOff>484843</xdr:colOff>
      <xdr:row>37</xdr:row>
      <xdr:rowOff>166265</xdr:rowOff>
    </xdr:to>
    <xdr:sp macro="" textlink="Pivot!DH7">
      <xdr:nvSpPr>
        <xdr:cNvPr id="76" name="TextBox 75">
          <a:extLst>
            <a:ext uri="{FF2B5EF4-FFF2-40B4-BE49-F238E27FC236}">
              <a16:creationId xmlns:a16="http://schemas.microsoft.com/office/drawing/2014/main" id="{B93FC27E-436A-4666-8CB1-E2EF76E99BAB}"/>
            </a:ext>
          </a:extLst>
        </xdr:cNvPr>
        <xdr:cNvSpPr txBox="1"/>
      </xdr:nvSpPr>
      <xdr:spPr>
        <a:xfrm>
          <a:off x="8797371" y="6410065"/>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0C045A-C58C-4E9A-8E90-307C530A2E24}"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Ölçü Hatası</a:t>
          </a:fld>
          <a:endParaRPr lang="en-US" sz="1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381002</xdr:colOff>
      <xdr:row>37</xdr:row>
      <xdr:rowOff>85675</xdr:rowOff>
    </xdr:from>
    <xdr:to>
      <xdr:col>16</xdr:col>
      <xdr:colOff>490579</xdr:colOff>
      <xdr:row>40</xdr:row>
      <xdr:rowOff>91611</xdr:rowOff>
    </xdr:to>
    <xdr:sp macro="" textlink="Pivot!DH8">
      <xdr:nvSpPr>
        <xdr:cNvPr id="77" name="TextBox 76">
          <a:extLst>
            <a:ext uri="{FF2B5EF4-FFF2-40B4-BE49-F238E27FC236}">
              <a16:creationId xmlns:a16="http://schemas.microsoft.com/office/drawing/2014/main" id="{ED7BDC6E-B8CD-4327-8727-5FBFFD916AB6}"/>
            </a:ext>
          </a:extLst>
        </xdr:cNvPr>
        <xdr:cNvSpPr txBox="1"/>
      </xdr:nvSpPr>
      <xdr:spPr>
        <a:xfrm>
          <a:off x="8803107" y="6886859"/>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591765-B058-44A4-AB7A-DDAAA7551F19}"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Renk Uyumsuzluğu</a:t>
          </a:fld>
          <a:endParaRPr lang="en-US" sz="1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386739</xdr:colOff>
      <xdr:row>40</xdr:row>
      <xdr:rowOff>11021</xdr:rowOff>
    </xdr:from>
    <xdr:to>
      <xdr:col>16</xdr:col>
      <xdr:colOff>496316</xdr:colOff>
      <xdr:row>43</xdr:row>
      <xdr:rowOff>16958</xdr:rowOff>
    </xdr:to>
    <xdr:sp macro="" textlink="Pivot!DH9">
      <xdr:nvSpPr>
        <xdr:cNvPr id="78" name="TextBox 77">
          <a:extLst>
            <a:ext uri="{FF2B5EF4-FFF2-40B4-BE49-F238E27FC236}">
              <a16:creationId xmlns:a16="http://schemas.microsoft.com/office/drawing/2014/main" id="{4863A605-7B22-40CA-8E9C-F6D9173341EA}"/>
            </a:ext>
          </a:extLst>
        </xdr:cNvPr>
        <xdr:cNvSpPr txBox="1"/>
      </xdr:nvSpPr>
      <xdr:spPr>
        <a:xfrm>
          <a:off x="8808844" y="7363653"/>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C94D01-3174-441B-BD25-919DD6007C60}"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Yüzey Çizik</a:t>
          </a:fld>
          <a:endParaRPr lang="en-US" sz="1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392477</xdr:colOff>
      <xdr:row>42</xdr:row>
      <xdr:rowOff>120184</xdr:rowOff>
    </xdr:from>
    <xdr:to>
      <xdr:col>16</xdr:col>
      <xdr:colOff>502054</xdr:colOff>
      <xdr:row>45</xdr:row>
      <xdr:rowOff>126120</xdr:rowOff>
    </xdr:to>
    <xdr:sp macro="" textlink="Pivot!DH10">
      <xdr:nvSpPr>
        <xdr:cNvPr id="131" name="TextBox 130">
          <a:extLst>
            <a:ext uri="{FF2B5EF4-FFF2-40B4-BE49-F238E27FC236}">
              <a16:creationId xmlns:a16="http://schemas.microsoft.com/office/drawing/2014/main" id="{EA6F380D-1D17-4DAA-93B3-5ABB898E009C}"/>
            </a:ext>
          </a:extLst>
        </xdr:cNvPr>
        <xdr:cNvSpPr txBox="1"/>
      </xdr:nvSpPr>
      <xdr:spPr>
        <a:xfrm>
          <a:off x="8814582" y="7840447"/>
          <a:ext cx="1312735" cy="55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2C865-7537-4765-A25C-27AA314321D7}"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t>Genel Toplam</a:t>
          </a:fld>
          <a:endParaRPr lang="en-US" sz="16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141346</xdr:colOff>
      <xdr:row>26</xdr:row>
      <xdr:rowOff>43985</xdr:rowOff>
    </xdr:from>
    <xdr:to>
      <xdr:col>25</xdr:col>
      <xdr:colOff>367086</xdr:colOff>
      <xdr:row>29</xdr:row>
      <xdr:rowOff>77040</xdr:rowOff>
    </xdr:to>
    <xdr:grpSp>
      <xdr:nvGrpSpPr>
        <xdr:cNvPr id="37" name="Group 36">
          <a:extLst>
            <a:ext uri="{FF2B5EF4-FFF2-40B4-BE49-F238E27FC236}">
              <a16:creationId xmlns:a16="http://schemas.microsoft.com/office/drawing/2014/main" id="{B71744E6-6BBF-9002-34D6-290B19244EF5}"/>
            </a:ext>
          </a:extLst>
        </xdr:cNvPr>
        <xdr:cNvGrpSpPr/>
      </xdr:nvGrpSpPr>
      <xdr:grpSpPr>
        <a:xfrm>
          <a:off x="9856846" y="4996985"/>
          <a:ext cx="5690709" cy="604555"/>
          <a:chOff x="10221542" y="4373856"/>
          <a:chExt cx="5892856" cy="575332"/>
        </a:xfrm>
      </xdr:grpSpPr>
      <xdr:sp macro="" textlink="Pivot!DI4">
        <xdr:nvSpPr>
          <xdr:cNvPr id="83" name="TextBox 82">
            <a:extLst>
              <a:ext uri="{FF2B5EF4-FFF2-40B4-BE49-F238E27FC236}">
                <a16:creationId xmlns:a16="http://schemas.microsoft.com/office/drawing/2014/main" id="{C658CD79-0E24-493A-8F40-C95BDD0A2E83}"/>
              </a:ext>
            </a:extLst>
          </xdr:cNvPr>
          <xdr:cNvSpPr txBox="1"/>
        </xdr:nvSpPr>
        <xdr:spPr>
          <a:xfrm>
            <a:off x="10221542" y="4373856"/>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3F48454-9BA4-4B56-B05C-6D2FFED8B830}"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lgn="ctr"/>
              <a:t>Eğitim önerildi</a:t>
            </a:fld>
            <a:endParaRPr lang="en-US" sz="1200">
              <a:solidFill>
                <a:schemeClr val="bg1"/>
              </a:solidFill>
              <a:latin typeface="Segoe UI Black" panose="020B0A02040204020203" pitchFamily="34" charset="0"/>
              <a:ea typeface="Segoe UI Black" panose="020B0A02040204020203" pitchFamily="34" charset="0"/>
            </a:endParaRPr>
          </a:p>
        </xdr:txBody>
      </xdr:sp>
      <xdr:sp macro="" textlink="Pivot!DJ4">
        <xdr:nvSpPr>
          <xdr:cNvPr id="85" name="TextBox 84">
            <a:extLst>
              <a:ext uri="{FF2B5EF4-FFF2-40B4-BE49-F238E27FC236}">
                <a16:creationId xmlns:a16="http://schemas.microsoft.com/office/drawing/2014/main" id="{104F6BD5-F9E2-40F5-B113-F2D5E792D435}"/>
              </a:ext>
            </a:extLst>
          </xdr:cNvPr>
          <xdr:cNvSpPr txBox="1"/>
        </xdr:nvSpPr>
        <xdr:spPr>
          <a:xfrm>
            <a:off x="11160209" y="4373856"/>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A6C5BFC-049A-46BB-AA00-A6F11E1884B1}"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lgn="ctr"/>
              <a:t>Kontrol tekrarlandı</a:t>
            </a:fld>
            <a:endParaRPr lang="en-US" sz="1200">
              <a:solidFill>
                <a:schemeClr val="bg1"/>
              </a:solidFill>
              <a:latin typeface="Segoe UI Black" panose="020B0A02040204020203" pitchFamily="34" charset="0"/>
              <a:ea typeface="Segoe UI Black" panose="020B0A02040204020203" pitchFamily="34" charset="0"/>
            </a:endParaRPr>
          </a:p>
        </xdr:txBody>
      </xdr:sp>
      <xdr:sp macro="" textlink="Pivot!DK4">
        <xdr:nvSpPr>
          <xdr:cNvPr id="86" name="TextBox 85">
            <a:extLst>
              <a:ext uri="{FF2B5EF4-FFF2-40B4-BE49-F238E27FC236}">
                <a16:creationId xmlns:a16="http://schemas.microsoft.com/office/drawing/2014/main" id="{18EEBA54-4D32-465C-B5C8-C6C85D6B5910}"/>
              </a:ext>
            </a:extLst>
          </xdr:cNvPr>
          <xdr:cNvSpPr txBox="1"/>
        </xdr:nvSpPr>
        <xdr:spPr>
          <a:xfrm>
            <a:off x="12146502" y="4373856"/>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4CDFA89-E37C-4451-9CE6-E6D3BE98B9F3}"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lgn="ctr"/>
              <a:t>Kritik hata</a:t>
            </a:fld>
            <a:endParaRPr lang="en-US" sz="1200">
              <a:solidFill>
                <a:schemeClr val="bg1"/>
              </a:solidFill>
              <a:latin typeface="Segoe UI Black" panose="020B0A02040204020203" pitchFamily="34" charset="0"/>
              <a:ea typeface="Segoe UI Black" panose="020B0A02040204020203" pitchFamily="34" charset="0"/>
            </a:endParaRPr>
          </a:p>
        </xdr:txBody>
      </xdr:sp>
      <xdr:sp macro="" textlink="Pivot!DL4">
        <xdr:nvSpPr>
          <xdr:cNvPr id="87" name="TextBox 86">
            <a:extLst>
              <a:ext uri="{FF2B5EF4-FFF2-40B4-BE49-F238E27FC236}">
                <a16:creationId xmlns:a16="http://schemas.microsoft.com/office/drawing/2014/main" id="{5BC016F2-AF04-4A3C-BF29-562B6B725953}"/>
              </a:ext>
            </a:extLst>
          </xdr:cNvPr>
          <xdr:cNvSpPr txBox="1"/>
        </xdr:nvSpPr>
        <xdr:spPr>
          <a:xfrm>
            <a:off x="13132794" y="4373856"/>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AF24A10-568A-4793-8CDE-090E588DF2E9}"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lgn="ctr"/>
              <a:t>Makine ayarı değiştirildi</a:t>
            </a:fld>
            <a:endParaRPr lang="en-US" sz="1200">
              <a:solidFill>
                <a:schemeClr val="bg1"/>
              </a:solidFill>
              <a:latin typeface="Segoe UI Black" panose="020B0A02040204020203" pitchFamily="34" charset="0"/>
              <a:ea typeface="Segoe UI Black" panose="020B0A02040204020203" pitchFamily="34" charset="0"/>
            </a:endParaRPr>
          </a:p>
        </xdr:txBody>
      </xdr:sp>
      <xdr:sp macro="" textlink="Pivot!DM4">
        <xdr:nvSpPr>
          <xdr:cNvPr id="88" name="TextBox 87">
            <a:extLst>
              <a:ext uri="{FF2B5EF4-FFF2-40B4-BE49-F238E27FC236}">
                <a16:creationId xmlns:a16="http://schemas.microsoft.com/office/drawing/2014/main" id="{442A6F0F-7090-4B88-A874-CA04E692B7A3}"/>
              </a:ext>
            </a:extLst>
          </xdr:cNvPr>
          <xdr:cNvSpPr txBox="1"/>
        </xdr:nvSpPr>
        <xdr:spPr>
          <a:xfrm>
            <a:off x="14119087" y="4373856"/>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560616F-4905-44A4-A8C1-0839639C9FD3}"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lgn="ctr"/>
              <a:t>Rutin kontrol</a:t>
            </a:fld>
            <a:endParaRPr lang="en-US" sz="1200">
              <a:solidFill>
                <a:schemeClr val="bg1"/>
              </a:solidFill>
              <a:latin typeface="Segoe UI Black" panose="020B0A02040204020203" pitchFamily="34" charset="0"/>
              <a:ea typeface="Segoe UI Black" panose="020B0A02040204020203" pitchFamily="34" charset="0"/>
            </a:endParaRPr>
          </a:p>
        </xdr:txBody>
      </xdr:sp>
      <xdr:sp macro="" textlink="Pivot!DN4">
        <xdr:nvSpPr>
          <xdr:cNvPr id="132" name="TextBox 131">
            <a:extLst>
              <a:ext uri="{FF2B5EF4-FFF2-40B4-BE49-F238E27FC236}">
                <a16:creationId xmlns:a16="http://schemas.microsoft.com/office/drawing/2014/main" id="{4D9235C7-4676-4319-8152-03B9B1697346}"/>
              </a:ext>
            </a:extLst>
          </xdr:cNvPr>
          <xdr:cNvSpPr txBox="1"/>
        </xdr:nvSpPr>
        <xdr:spPr>
          <a:xfrm>
            <a:off x="15108558" y="4400548"/>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BF30040-F709-4A50-AE37-B138F72C23AE}" type="TxLink">
              <a:rPr lang="en-US" sz="1100" b="0" i="0" u="none" strike="noStrike">
                <a:solidFill>
                  <a:schemeClr val="bg1"/>
                </a:solidFill>
                <a:latin typeface="Segoe UI Black" panose="020B0A02040204020203" pitchFamily="34" charset="0"/>
                <a:ea typeface="Segoe UI Black" panose="020B0A02040204020203" pitchFamily="34" charset="0"/>
                <a:cs typeface="Calibri"/>
              </a:rPr>
              <a:pPr/>
              <a:t>Genel Toplam</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16</xdr:col>
      <xdr:colOff>356663</xdr:colOff>
      <xdr:row>29</xdr:row>
      <xdr:rowOff>86104</xdr:rowOff>
    </xdr:from>
    <xdr:to>
      <xdr:col>17</xdr:col>
      <xdr:colOff>365690</xdr:colOff>
      <xdr:row>45</xdr:row>
      <xdr:rowOff>139431</xdr:rowOff>
    </xdr:to>
    <xdr:grpSp>
      <xdr:nvGrpSpPr>
        <xdr:cNvPr id="31" name="Group 30">
          <a:extLst>
            <a:ext uri="{FF2B5EF4-FFF2-40B4-BE49-F238E27FC236}">
              <a16:creationId xmlns:a16="http://schemas.microsoft.com/office/drawing/2014/main" id="{E7D143C5-F6B1-3F76-042B-0F268E924927}"/>
            </a:ext>
          </a:extLst>
        </xdr:cNvPr>
        <xdr:cNvGrpSpPr/>
      </xdr:nvGrpSpPr>
      <xdr:grpSpPr>
        <a:xfrm>
          <a:off x="10072163" y="5610604"/>
          <a:ext cx="616246" cy="3101327"/>
          <a:chOff x="10446514" y="4958110"/>
          <a:chExt cx="637987" cy="2947405"/>
        </a:xfrm>
      </xdr:grpSpPr>
      <xdr:grpSp>
        <xdr:nvGrpSpPr>
          <xdr:cNvPr id="99" name="Group 98">
            <a:extLst>
              <a:ext uri="{FF2B5EF4-FFF2-40B4-BE49-F238E27FC236}">
                <a16:creationId xmlns:a16="http://schemas.microsoft.com/office/drawing/2014/main" id="{E12BFDFB-41A4-2E7D-2FB1-4C30EDF59B43}"/>
              </a:ext>
            </a:extLst>
          </xdr:cNvPr>
          <xdr:cNvGrpSpPr/>
        </xdr:nvGrpSpPr>
        <xdr:grpSpPr>
          <a:xfrm>
            <a:off x="10463621" y="4958110"/>
            <a:ext cx="620880" cy="2536744"/>
            <a:chOff x="10377487" y="4905375"/>
            <a:chExt cx="731520" cy="2520315"/>
          </a:xfrm>
        </xdr:grpSpPr>
        <xdr:sp macro="" textlink="Pivot!DI5">
          <xdr:nvSpPr>
            <xdr:cNvPr id="94" name="TextBox 93">
              <a:extLst>
                <a:ext uri="{FF2B5EF4-FFF2-40B4-BE49-F238E27FC236}">
                  <a16:creationId xmlns:a16="http://schemas.microsoft.com/office/drawing/2014/main" id="{85B344C5-317C-4D90-BFDA-82190688AFA7}"/>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49E4B9-AB4C-4978-A0BF-9782AD586BE1}"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42</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I6">
          <xdr:nvSpPr>
            <xdr:cNvPr id="95" name="TextBox 94">
              <a:extLst>
                <a:ext uri="{FF2B5EF4-FFF2-40B4-BE49-F238E27FC236}">
                  <a16:creationId xmlns:a16="http://schemas.microsoft.com/office/drawing/2014/main" id="{FA7B3A14-5B0F-4987-9F32-818BC3715196}"/>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81B276-F64B-44C9-AA8A-96FCF183CFF5}"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41</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I7">
          <xdr:nvSpPr>
            <xdr:cNvPr id="96" name="TextBox 95">
              <a:extLst>
                <a:ext uri="{FF2B5EF4-FFF2-40B4-BE49-F238E27FC236}">
                  <a16:creationId xmlns:a16="http://schemas.microsoft.com/office/drawing/2014/main" id="{4FED6989-2ABE-415D-A8BC-6D96334AFF21}"/>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32410-5167-4720-9F23-C29B793F8491}"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25</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I8">
          <xdr:nvSpPr>
            <xdr:cNvPr id="97" name="TextBox 96">
              <a:extLst>
                <a:ext uri="{FF2B5EF4-FFF2-40B4-BE49-F238E27FC236}">
                  <a16:creationId xmlns:a16="http://schemas.microsoft.com/office/drawing/2014/main" id="{22A17C49-DD00-4604-A877-A1E46D4B1286}"/>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249829-9ABB-47A5-BB40-0F4652C85B3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32</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I9">
          <xdr:nvSpPr>
            <xdr:cNvPr id="98" name="TextBox 97">
              <a:extLst>
                <a:ext uri="{FF2B5EF4-FFF2-40B4-BE49-F238E27FC236}">
                  <a16:creationId xmlns:a16="http://schemas.microsoft.com/office/drawing/2014/main" id="{22F4B62F-1F37-45AB-AE3C-6EC8A58F44C6}"/>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23172E-DAE4-4801-BC3B-E4186B8CC33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43</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I10">
        <xdr:nvSpPr>
          <xdr:cNvPr id="139" name="TextBox 138">
            <a:extLst>
              <a:ext uri="{FF2B5EF4-FFF2-40B4-BE49-F238E27FC236}">
                <a16:creationId xmlns:a16="http://schemas.microsoft.com/office/drawing/2014/main" id="{ACD3ED21-0A52-4474-86A9-4E1FCB1B514B}"/>
              </a:ext>
            </a:extLst>
          </xdr:cNvPr>
          <xdr:cNvSpPr txBox="1"/>
        </xdr:nvSpPr>
        <xdr:spPr>
          <a:xfrm>
            <a:off x="10446514" y="7353299"/>
            <a:ext cx="620880"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068EA1-C406-407C-8DC2-4806952200C8}"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183</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18</xdr:col>
      <xdr:colOff>10727</xdr:colOff>
      <xdr:row>29</xdr:row>
      <xdr:rowOff>86104</xdr:rowOff>
    </xdr:from>
    <xdr:to>
      <xdr:col>19</xdr:col>
      <xdr:colOff>47515</xdr:colOff>
      <xdr:row>45</xdr:row>
      <xdr:rowOff>139431</xdr:rowOff>
    </xdr:to>
    <xdr:grpSp>
      <xdr:nvGrpSpPr>
        <xdr:cNvPr id="32" name="Group 31">
          <a:extLst>
            <a:ext uri="{FF2B5EF4-FFF2-40B4-BE49-F238E27FC236}">
              <a16:creationId xmlns:a16="http://schemas.microsoft.com/office/drawing/2014/main" id="{DBC42242-08D7-F48F-D1A4-DD2F85EC70F7}"/>
            </a:ext>
          </a:extLst>
        </xdr:cNvPr>
        <xdr:cNvGrpSpPr/>
      </xdr:nvGrpSpPr>
      <xdr:grpSpPr>
        <a:xfrm>
          <a:off x="10940665" y="5610604"/>
          <a:ext cx="644006" cy="3101327"/>
          <a:chOff x="11400189" y="4958110"/>
          <a:chExt cx="666993" cy="2947405"/>
        </a:xfrm>
      </xdr:grpSpPr>
      <xdr:grpSp>
        <xdr:nvGrpSpPr>
          <xdr:cNvPr id="100" name="Group 99">
            <a:extLst>
              <a:ext uri="{FF2B5EF4-FFF2-40B4-BE49-F238E27FC236}">
                <a16:creationId xmlns:a16="http://schemas.microsoft.com/office/drawing/2014/main" id="{B8B7D705-B64E-4CD4-86D5-CC32E415BB3E}"/>
              </a:ext>
            </a:extLst>
          </xdr:cNvPr>
          <xdr:cNvGrpSpPr/>
        </xdr:nvGrpSpPr>
        <xdr:grpSpPr>
          <a:xfrm>
            <a:off x="11446302" y="4958110"/>
            <a:ext cx="620880" cy="2536744"/>
            <a:chOff x="10377487" y="4905375"/>
            <a:chExt cx="731520" cy="2520315"/>
          </a:xfrm>
        </xdr:grpSpPr>
        <xdr:sp macro="" textlink="Pivot!DJ5">
          <xdr:nvSpPr>
            <xdr:cNvPr id="101" name="TextBox 100">
              <a:extLst>
                <a:ext uri="{FF2B5EF4-FFF2-40B4-BE49-F238E27FC236}">
                  <a16:creationId xmlns:a16="http://schemas.microsoft.com/office/drawing/2014/main" id="{9C1A6AC7-2180-6E96-9E98-EBFC985A41B4}"/>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8FC3C2-B313-4B0B-9353-4FD8446D7C56}"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41</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J6">
          <xdr:nvSpPr>
            <xdr:cNvPr id="102" name="TextBox 101">
              <a:extLst>
                <a:ext uri="{FF2B5EF4-FFF2-40B4-BE49-F238E27FC236}">
                  <a16:creationId xmlns:a16="http://schemas.microsoft.com/office/drawing/2014/main" id="{60D2F524-F0A9-18BD-969C-16AC61B06750}"/>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0574DA-6C22-488E-A395-CD1B1D74CD8A}"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46</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J7">
          <xdr:nvSpPr>
            <xdr:cNvPr id="103" name="TextBox 102">
              <a:extLst>
                <a:ext uri="{FF2B5EF4-FFF2-40B4-BE49-F238E27FC236}">
                  <a16:creationId xmlns:a16="http://schemas.microsoft.com/office/drawing/2014/main" id="{B53BCD85-A1C5-91A7-2CA0-A7C28872B21D}"/>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D1031A-EDFB-486A-A888-6953A305BA23}"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39</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J8">
          <xdr:nvSpPr>
            <xdr:cNvPr id="104" name="TextBox 103">
              <a:extLst>
                <a:ext uri="{FF2B5EF4-FFF2-40B4-BE49-F238E27FC236}">
                  <a16:creationId xmlns:a16="http://schemas.microsoft.com/office/drawing/2014/main" id="{F3BA50D0-0B26-A849-65DD-AA1526961307}"/>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929565-C26D-4F72-9DBD-3FE61AF7BCC4}"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47</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J9">
          <xdr:nvSpPr>
            <xdr:cNvPr id="105" name="TextBox 104">
              <a:extLst>
                <a:ext uri="{FF2B5EF4-FFF2-40B4-BE49-F238E27FC236}">
                  <a16:creationId xmlns:a16="http://schemas.microsoft.com/office/drawing/2014/main" id="{05439517-47F8-E616-B934-907CBD104D2E}"/>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2EEDB2-0B18-4C66-B5EA-BD3F21007552}"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45</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J10">
        <xdr:nvSpPr>
          <xdr:cNvPr id="141" name="TextBox 140">
            <a:extLst>
              <a:ext uri="{FF2B5EF4-FFF2-40B4-BE49-F238E27FC236}">
                <a16:creationId xmlns:a16="http://schemas.microsoft.com/office/drawing/2014/main" id="{7D6C80B9-8E7F-4DCB-9A8C-15FF33FDF9AB}"/>
              </a:ext>
            </a:extLst>
          </xdr:cNvPr>
          <xdr:cNvSpPr txBox="1"/>
        </xdr:nvSpPr>
        <xdr:spPr>
          <a:xfrm>
            <a:off x="11400189" y="7353299"/>
            <a:ext cx="620880"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16B4D-CCFD-424E-A0D8-C793C99B9082}"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218</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19</xdr:col>
      <xdr:colOff>294131</xdr:colOff>
      <xdr:row>29</xdr:row>
      <xdr:rowOff>86104</xdr:rowOff>
    </xdr:from>
    <xdr:to>
      <xdr:col>20</xdr:col>
      <xdr:colOff>340860</xdr:colOff>
      <xdr:row>45</xdr:row>
      <xdr:rowOff>139431</xdr:rowOff>
    </xdr:to>
    <xdr:grpSp>
      <xdr:nvGrpSpPr>
        <xdr:cNvPr id="33" name="Group 32">
          <a:extLst>
            <a:ext uri="{FF2B5EF4-FFF2-40B4-BE49-F238E27FC236}">
              <a16:creationId xmlns:a16="http://schemas.microsoft.com/office/drawing/2014/main" id="{3C240AFF-713B-A69E-EB73-8B6D0B6123CD}"/>
            </a:ext>
          </a:extLst>
        </xdr:cNvPr>
        <xdr:cNvGrpSpPr/>
      </xdr:nvGrpSpPr>
      <xdr:grpSpPr>
        <a:xfrm>
          <a:off x="11831287" y="5610604"/>
          <a:ext cx="653948" cy="3101327"/>
          <a:chOff x="12353863" y="4958110"/>
          <a:chExt cx="677379" cy="2947405"/>
        </a:xfrm>
      </xdr:grpSpPr>
      <xdr:grpSp>
        <xdr:nvGrpSpPr>
          <xdr:cNvPr id="106" name="Group 105">
            <a:extLst>
              <a:ext uri="{FF2B5EF4-FFF2-40B4-BE49-F238E27FC236}">
                <a16:creationId xmlns:a16="http://schemas.microsoft.com/office/drawing/2014/main" id="{7B30AACE-89A8-407E-8F4C-F28811417923}"/>
              </a:ext>
            </a:extLst>
          </xdr:cNvPr>
          <xdr:cNvGrpSpPr/>
        </xdr:nvGrpSpPr>
        <xdr:grpSpPr>
          <a:xfrm>
            <a:off x="12410362" y="4958110"/>
            <a:ext cx="620880" cy="2536744"/>
            <a:chOff x="10377487" y="4905375"/>
            <a:chExt cx="731520" cy="2520315"/>
          </a:xfrm>
        </xdr:grpSpPr>
        <xdr:sp macro="" textlink="Pivot!DK5">
          <xdr:nvSpPr>
            <xdr:cNvPr id="107" name="TextBox 106">
              <a:extLst>
                <a:ext uri="{FF2B5EF4-FFF2-40B4-BE49-F238E27FC236}">
                  <a16:creationId xmlns:a16="http://schemas.microsoft.com/office/drawing/2014/main" id="{39E62DAB-999A-2173-C0AF-B27C852A098B}"/>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968337-4C9B-4362-AF08-9E9A80E7631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43</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K6">
          <xdr:nvSpPr>
            <xdr:cNvPr id="108" name="TextBox 107">
              <a:extLst>
                <a:ext uri="{FF2B5EF4-FFF2-40B4-BE49-F238E27FC236}">
                  <a16:creationId xmlns:a16="http://schemas.microsoft.com/office/drawing/2014/main" id="{A89DEFE1-C607-9D78-6AE7-6CFD466E89C8}"/>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984206-B2E8-4FCB-8FAE-B9C8A1E7574C}"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44</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K7">
          <xdr:nvSpPr>
            <xdr:cNvPr id="109" name="TextBox 108">
              <a:extLst>
                <a:ext uri="{FF2B5EF4-FFF2-40B4-BE49-F238E27FC236}">
                  <a16:creationId xmlns:a16="http://schemas.microsoft.com/office/drawing/2014/main" id="{6358297A-CE2E-621C-1161-01E2813C189B}"/>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956894-8C17-4AF7-8EBA-C0879B6F494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32</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K8">
          <xdr:nvSpPr>
            <xdr:cNvPr id="110" name="TextBox 109">
              <a:extLst>
                <a:ext uri="{FF2B5EF4-FFF2-40B4-BE49-F238E27FC236}">
                  <a16:creationId xmlns:a16="http://schemas.microsoft.com/office/drawing/2014/main" id="{DCFFB202-4094-30D7-6861-59560C26C8C5}"/>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B104E5-6C9F-4D88-AEA7-D145402499F8}"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36</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K9">
          <xdr:nvSpPr>
            <xdr:cNvPr id="111" name="TextBox 110">
              <a:extLst>
                <a:ext uri="{FF2B5EF4-FFF2-40B4-BE49-F238E27FC236}">
                  <a16:creationId xmlns:a16="http://schemas.microsoft.com/office/drawing/2014/main" id="{77F43A24-43F4-13B2-39BB-2F88733CD8CA}"/>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D3BD0-8CAB-4524-9C2F-533C1E1C2F91}"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40</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K10">
        <xdr:nvSpPr>
          <xdr:cNvPr id="142" name="TextBox 141">
            <a:extLst>
              <a:ext uri="{FF2B5EF4-FFF2-40B4-BE49-F238E27FC236}">
                <a16:creationId xmlns:a16="http://schemas.microsoft.com/office/drawing/2014/main" id="{232EECD4-1065-40FA-8138-4A43ED51AC55}"/>
              </a:ext>
            </a:extLst>
          </xdr:cNvPr>
          <xdr:cNvSpPr txBox="1"/>
        </xdr:nvSpPr>
        <xdr:spPr>
          <a:xfrm>
            <a:off x="12353863" y="7353299"/>
            <a:ext cx="620880"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210490-D79A-41C5-93FF-3FD8B7B87545}"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195</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20</xdr:col>
      <xdr:colOff>587475</xdr:colOff>
      <xdr:row>29</xdr:row>
      <xdr:rowOff>86104</xdr:rowOff>
    </xdr:from>
    <xdr:to>
      <xdr:col>22</xdr:col>
      <xdr:colOff>42565</xdr:colOff>
      <xdr:row>45</xdr:row>
      <xdr:rowOff>139431</xdr:rowOff>
    </xdr:to>
    <xdr:grpSp>
      <xdr:nvGrpSpPr>
        <xdr:cNvPr id="34" name="Group 33">
          <a:extLst>
            <a:ext uri="{FF2B5EF4-FFF2-40B4-BE49-F238E27FC236}">
              <a16:creationId xmlns:a16="http://schemas.microsoft.com/office/drawing/2014/main" id="{3258E929-396D-97BD-12C6-D0DA9C3D8070}"/>
            </a:ext>
          </a:extLst>
        </xdr:cNvPr>
        <xdr:cNvGrpSpPr/>
      </xdr:nvGrpSpPr>
      <xdr:grpSpPr>
        <a:xfrm>
          <a:off x="12731850" y="5610604"/>
          <a:ext cx="669528" cy="3101327"/>
          <a:chOff x="13307538" y="4958110"/>
          <a:chExt cx="687765" cy="2947405"/>
        </a:xfrm>
      </xdr:grpSpPr>
      <xdr:grpSp>
        <xdr:nvGrpSpPr>
          <xdr:cNvPr id="112" name="Group 111">
            <a:extLst>
              <a:ext uri="{FF2B5EF4-FFF2-40B4-BE49-F238E27FC236}">
                <a16:creationId xmlns:a16="http://schemas.microsoft.com/office/drawing/2014/main" id="{B84AF089-4C2C-41A6-96ED-ACB99315E884}"/>
              </a:ext>
            </a:extLst>
          </xdr:cNvPr>
          <xdr:cNvGrpSpPr/>
        </xdr:nvGrpSpPr>
        <xdr:grpSpPr>
          <a:xfrm>
            <a:off x="13374423" y="4958110"/>
            <a:ext cx="620880" cy="2536744"/>
            <a:chOff x="10377487" y="4905375"/>
            <a:chExt cx="731520" cy="2520315"/>
          </a:xfrm>
        </xdr:grpSpPr>
        <xdr:sp macro="" textlink="Pivot!DL5">
          <xdr:nvSpPr>
            <xdr:cNvPr id="113" name="TextBox 112">
              <a:extLst>
                <a:ext uri="{FF2B5EF4-FFF2-40B4-BE49-F238E27FC236}">
                  <a16:creationId xmlns:a16="http://schemas.microsoft.com/office/drawing/2014/main" id="{701CDEBB-779C-1761-0124-19462DCA9291}"/>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E3BC84-E2C2-45AA-A775-8231CEE282F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39</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L6">
          <xdr:nvSpPr>
            <xdr:cNvPr id="114" name="TextBox 113">
              <a:extLst>
                <a:ext uri="{FF2B5EF4-FFF2-40B4-BE49-F238E27FC236}">
                  <a16:creationId xmlns:a16="http://schemas.microsoft.com/office/drawing/2014/main" id="{D638113C-A178-BBEB-0047-66F1B0FAA6D0}"/>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C6DA5D-F452-4FCB-B3BF-CADB74C48D78}"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33</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L7">
          <xdr:nvSpPr>
            <xdr:cNvPr id="115" name="TextBox 114">
              <a:extLst>
                <a:ext uri="{FF2B5EF4-FFF2-40B4-BE49-F238E27FC236}">
                  <a16:creationId xmlns:a16="http://schemas.microsoft.com/office/drawing/2014/main" id="{94C44CA1-8B88-D318-5A7E-B1A2A552A031}"/>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63060-2917-4B9A-9DF7-6410D8C6191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48</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L8">
          <xdr:nvSpPr>
            <xdr:cNvPr id="116" name="TextBox 115">
              <a:extLst>
                <a:ext uri="{FF2B5EF4-FFF2-40B4-BE49-F238E27FC236}">
                  <a16:creationId xmlns:a16="http://schemas.microsoft.com/office/drawing/2014/main" id="{11FDE998-91BF-EE87-5B91-5E92005AC8F9}"/>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19354F-6A27-4832-B99F-CCBCF229995F}"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42</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L9">
          <xdr:nvSpPr>
            <xdr:cNvPr id="117" name="TextBox 116">
              <a:extLst>
                <a:ext uri="{FF2B5EF4-FFF2-40B4-BE49-F238E27FC236}">
                  <a16:creationId xmlns:a16="http://schemas.microsoft.com/office/drawing/2014/main" id="{8C3ABA2C-0362-F660-785B-DE1ADE1599A3}"/>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6D235-0B89-42FA-BDD5-26CD20524C43}"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43</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L10">
        <xdr:nvSpPr>
          <xdr:cNvPr id="143" name="TextBox 142">
            <a:extLst>
              <a:ext uri="{FF2B5EF4-FFF2-40B4-BE49-F238E27FC236}">
                <a16:creationId xmlns:a16="http://schemas.microsoft.com/office/drawing/2014/main" id="{71EB3996-2A24-449D-BF1F-CDF208DD18B4}"/>
              </a:ext>
            </a:extLst>
          </xdr:cNvPr>
          <xdr:cNvSpPr txBox="1"/>
        </xdr:nvSpPr>
        <xdr:spPr>
          <a:xfrm>
            <a:off x="13307538" y="7353299"/>
            <a:ext cx="620880"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1B920B-7C13-4D53-911F-FE8C39AA5742}"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205</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22</xdr:col>
      <xdr:colOff>289180</xdr:colOff>
      <xdr:row>29</xdr:row>
      <xdr:rowOff>86104</xdr:rowOff>
    </xdr:from>
    <xdr:to>
      <xdr:col>23</xdr:col>
      <xdr:colOff>364702</xdr:colOff>
      <xdr:row>45</xdr:row>
      <xdr:rowOff>139431</xdr:rowOff>
    </xdr:to>
    <xdr:grpSp>
      <xdr:nvGrpSpPr>
        <xdr:cNvPr id="35" name="Group 34">
          <a:extLst>
            <a:ext uri="{FF2B5EF4-FFF2-40B4-BE49-F238E27FC236}">
              <a16:creationId xmlns:a16="http://schemas.microsoft.com/office/drawing/2014/main" id="{10F4ECA3-0262-9841-DC39-5F646ED1B710}"/>
            </a:ext>
          </a:extLst>
        </xdr:cNvPr>
        <xdr:cNvGrpSpPr/>
      </xdr:nvGrpSpPr>
      <xdr:grpSpPr>
        <a:xfrm>
          <a:off x="13647993" y="5610604"/>
          <a:ext cx="682740" cy="3101327"/>
          <a:chOff x="14261212" y="4958110"/>
          <a:chExt cx="707463" cy="2947405"/>
        </a:xfrm>
      </xdr:grpSpPr>
      <xdr:grpSp>
        <xdr:nvGrpSpPr>
          <xdr:cNvPr id="118" name="Group 117">
            <a:extLst>
              <a:ext uri="{FF2B5EF4-FFF2-40B4-BE49-F238E27FC236}">
                <a16:creationId xmlns:a16="http://schemas.microsoft.com/office/drawing/2014/main" id="{A5108884-6F50-4776-9E80-1E92BE38C41E}"/>
              </a:ext>
            </a:extLst>
          </xdr:cNvPr>
          <xdr:cNvGrpSpPr/>
        </xdr:nvGrpSpPr>
        <xdr:grpSpPr>
          <a:xfrm>
            <a:off x="14347795" y="4958110"/>
            <a:ext cx="620880" cy="2536744"/>
            <a:chOff x="10377487" y="4905375"/>
            <a:chExt cx="731520" cy="2520315"/>
          </a:xfrm>
        </xdr:grpSpPr>
        <xdr:sp macro="" textlink="Pivot!DM5">
          <xdr:nvSpPr>
            <xdr:cNvPr id="119" name="TextBox 118">
              <a:extLst>
                <a:ext uri="{FF2B5EF4-FFF2-40B4-BE49-F238E27FC236}">
                  <a16:creationId xmlns:a16="http://schemas.microsoft.com/office/drawing/2014/main" id="{7AA37434-AC6C-421A-512B-C720076DDE17}"/>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472AE8-AA3E-4B0D-AD79-0A5976000008}"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37</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M6">
          <xdr:nvSpPr>
            <xdr:cNvPr id="120" name="TextBox 119">
              <a:extLst>
                <a:ext uri="{FF2B5EF4-FFF2-40B4-BE49-F238E27FC236}">
                  <a16:creationId xmlns:a16="http://schemas.microsoft.com/office/drawing/2014/main" id="{20A4F311-A876-86FA-F532-087C7AA7222E}"/>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5C5AFF-EE4F-41A2-9B36-E241657DDA39}"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43</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M7">
          <xdr:nvSpPr>
            <xdr:cNvPr id="121" name="TextBox 120">
              <a:extLst>
                <a:ext uri="{FF2B5EF4-FFF2-40B4-BE49-F238E27FC236}">
                  <a16:creationId xmlns:a16="http://schemas.microsoft.com/office/drawing/2014/main" id="{D6201793-F5D4-367D-7E73-2ECC3AC2ADEF}"/>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CBD6A5-66F9-4D50-BE9E-AAE21DA15C79}"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39</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M8">
          <xdr:nvSpPr>
            <xdr:cNvPr id="122" name="TextBox 121">
              <a:extLst>
                <a:ext uri="{FF2B5EF4-FFF2-40B4-BE49-F238E27FC236}">
                  <a16:creationId xmlns:a16="http://schemas.microsoft.com/office/drawing/2014/main" id="{59692C0C-4480-43B6-7979-DEEE78516361}"/>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F6BAF-D795-4FF0-971F-5C94FB34E439}"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39</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M9">
          <xdr:nvSpPr>
            <xdr:cNvPr id="123" name="TextBox 122">
              <a:extLst>
                <a:ext uri="{FF2B5EF4-FFF2-40B4-BE49-F238E27FC236}">
                  <a16:creationId xmlns:a16="http://schemas.microsoft.com/office/drawing/2014/main" id="{5E07A000-6DFC-54E2-746B-EC34E40C6947}"/>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B5EBDE-B5F2-435C-9265-6BB2B840901E}"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41</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M10">
        <xdr:nvSpPr>
          <xdr:cNvPr id="144" name="TextBox 143">
            <a:extLst>
              <a:ext uri="{FF2B5EF4-FFF2-40B4-BE49-F238E27FC236}">
                <a16:creationId xmlns:a16="http://schemas.microsoft.com/office/drawing/2014/main" id="{BF61E2F5-40A6-414E-8E1D-27FAA78DAEA6}"/>
              </a:ext>
            </a:extLst>
          </xdr:cNvPr>
          <xdr:cNvSpPr txBox="1"/>
        </xdr:nvSpPr>
        <xdr:spPr>
          <a:xfrm>
            <a:off x="14261212" y="7353299"/>
            <a:ext cx="620880"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CECBC2-230F-40F6-9939-1CBBEA32A8FE}"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199</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24</xdr:col>
      <xdr:colOff>9736</xdr:colOff>
      <xdr:row>29</xdr:row>
      <xdr:rowOff>71234</xdr:rowOff>
    </xdr:from>
    <xdr:to>
      <xdr:col>25</xdr:col>
      <xdr:colOff>126504</xdr:colOff>
      <xdr:row>45</xdr:row>
      <xdr:rowOff>139431</xdr:rowOff>
    </xdr:to>
    <xdr:grpSp>
      <xdr:nvGrpSpPr>
        <xdr:cNvPr id="36" name="Group 35">
          <a:extLst>
            <a:ext uri="{FF2B5EF4-FFF2-40B4-BE49-F238E27FC236}">
              <a16:creationId xmlns:a16="http://schemas.microsoft.com/office/drawing/2014/main" id="{590F676A-8416-64F6-CF07-93237EAC61AD}"/>
            </a:ext>
          </a:extLst>
        </xdr:cNvPr>
        <xdr:cNvGrpSpPr/>
      </xdr:nvGrpSpPr>
      <xdr:grpSpPr>
        <a:xfrm>
          <a:off x="14582986" y="5595734"/>
          <a:ext cx="723987" cy="3116197"/>
          <a:chOff x="15112469" y="4943474"/>
          <a:chExt cx="750559" cy="2962041"/>
        </a:xfrm>
      </xdr:grpSpPr>
      <xdr:grpSp>
        <xdr:nvGrpSpPr>
          <xdr:cNvPr id="133" name="Group 132">
            <a:extLst>
              <a:ext uri="{FF2B5EF4-FFF2-40B4-BE49-F238E27FC236}">
                <a16:creationId xmlns:a16="http://schemas.microsoft.com/office/drawing/2014/main" id="{E17670D5-E130-484F-A51C-2D0ECCEF60BB}"/>
              </a:ext>
            </a:extLst>
          </xdr:cNvPr>
          <xdr:cNvGrpSpPr/>
        </xdr:nvGrpSpPr>
        <xdr:grpSpPr>
          <a:xfrm>
            <a:off x="15242148" y="4943474"/>
            <a:ext cx="620880" cy="2536744"/>
            <a:chOff x="10377487" y="4905375"/>
            <a:chExt cx="731520" cy="2520315"/>
          </a:xfrm>
        </xdr:grpSpPr>
        <xdr:sp macro="" textlink="Pivot!DN5">
          <xdr:nvSpPr>
            <xdr:cNvPr id="134" name="TextBox 133">
              <a:extLst>
                <a:ext uri="{FF2B5EF4-FFF2-40B4-BE49-F238E27FC236}">
                  <a16:creationId xmlns:a16="http://schemas.microsoft.com/office/drawing/2014/main" id="{9A9D5C1B-4EB5-D6A5-3210-153D8B53EB7D}"/>
                </a:ext>
              </a:extLst>
            </xdr:cNvPr>
            <xdr:cNvSpPr txBox="1"/>
          </xdr:nvSpPr>
          <xdr:spPr>
            <a:xfrm>
              <a:off x="10377487" y="4905375"/>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44DDF2-FF12-41BA-9A66-5E9A3FB586DA}"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202</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N6">
          <xdr:nvSpPr>
            <xdr:cNvPr id="135" name="TextBox 134">
              <a:extLst>
                <a:ext uri="{FF2B5EF4-FFF2-40B4-BE49-F238E27FC236}">
                  <a16:creationId xmlns:a16="http://schemas.microsoft.com/office/drawing/2014/main" id="{C85A5DF5-5DA9-8D90-B818-96FEB1B92513}"/>
                </a:ext>
              </a:extLst>
            </xdr:cNvPr>
            <xdr:cNvSpPr txBox="1"/>
          </xdr:nvSpPr>
          <xdr:spPr>
            <a:xfrm>
              <a:off x="10377487" y="5398294"/>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B653F7-B3F2-43B6-84E0-20AED70986FE}"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207</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N7">
          <xdr:nvSpPr>
            <xdr:cNvPr id="136" name="TextBox 135">
              <a:extLst>
                <a:ext uri="{FF2B5EF4-FFF2-40B4-BE49-F238E27FC236}">
                  <a16:creationId xmlns:a16="http://schemas.microsoft.com/office/drawing/2014/main" id="{C5CDEF13-5449-F61B-C537-90DBB0106102}"/>
                </a:ext>
              </a:extLst>
            </xdr:cNvPr>
            <xdr:cNvSpPr txBox="1"/>
          </xdr:nvSpPr>
          <xdr:spPr>
            <a:xfrm>
              <a:off x="10377487" y="5891213"/>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9DE5D9-892A-4FE7-9611-DC58D7FF413E}"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183</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N8">
          <xdr:nvSpPr>
            <xdr:cNvPr id="137" name="TextBox 136">
              <a:extLst>
                <a:ext uri="{FF2B5EF4-FFF2-40B4-BE49-F238E27FC236}">
                  <a16:creationId xmlns:a16="http://schemas.microsoft.com/office/drawing/2014/main" id="{589FE53E-BE94-AAAB-D697-A2116E8C68A5}"/>
                </a:ext>
              </a:extLst>
            </xdr:cNvPr>
            <xdr:cNvSpPr txBox="1"/>
          </xdr:nvSpPr>
          <xdr:spPr>
            <a:xfrm>
              <a:off x="10377487" y="6384132"/>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9C3412-D12F-4A65-BFBB-35918D632763}"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196</a:t>
              </a:fld>
              <a:endParaRPr lang="en-US" sz="1400">
                <a:solidFill>
                  <a:schemeClr val="bg1"/>
                </a:solidFill>
                <a:latin typeface="Segoe UI Black" panose="020B0A02040204020203" pitchFamily="34" charset="0"/>
                <a:ea typeface="Segoe UI Black" panose="020B0A02040204020203" pitchFamily="34" charset="0"/>
              </a:endParaRPr>
            </a:p>
          </xdr:txBody>
        </xdr:sp>
        <xdr:sp macro="" textlink="Pivot!DN9">
          <xdr:nvSpPr>
            <xdr:cNvPr id="138" name="TextBox 137">
              <a:extLst>
                <a:ext uri="{FF2B5EF4-FFF2-40B4-BE49-F238E27FC236}">
                  <a16:creationId xmlns:a16="http://schemas.microsoft.com/office/drawing/2014/main" id="{94B19279-92BA-9075-AA86-E7EA7807C60C}"/>
                </a:ext>
              </a:extLst>
            </xdr:cNvPr>
            <xdr:cNvSpPr txBox="1"/>
          </xdr:nvSpPr>
          <xdr:spPr>
            <a:xfrm>
              <a:off x="10377487" y="6877050"/>
              <a:ext cx="7315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35E148-84DD-4FDB-9D7B-EB7A36A54576}"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212</a:t>
              </a:fld>
              <a:endParaRPr lang="en-US" sz="1400">
                <a:solidFill>
                  <a:schemeClr val="bg1"/>
                </a:solidFill>
                <a:latin typeface="Segoe UI Black" panose="020B0A02040204020203" pitchFamily="34" charset="0"/>
                <a:ea typeface="Segoe UI Black" panose="020B0A02040204020203" pitchFamily="34" charset="0"/>
              </a:endParaRPr>
            </a:p>
          </xdr:txBody>
        </xdr:sp>
      </xdr:grpSp>
      <xdr:sp macro="" textlink="Pivot!DN10">
        <xdr:nvSpPr>
          <xdr:cNvPr id="145" name="TextBox 144">
            <a:extLst>
              <a:ext uri="{FF2B5EF4-FFF2-40B4-BE49-F238E27FC236}">
                <a16:creationId xmlns:a16="http://schemas.microsoft.com/office/drawing/2014/main" id="{34886CDA-B3D3-416F-BBF2-FABFDB112E2E}"/>
              </a:ext>
            </a:extLst>
          </xdr:cNvPr>
          <xdr:cNvSpPr txBox="1"/>
        </xdr:nvSpPr>
        <xdr:spPr>
          <a:xfrm>
            <a:off x="15112469" y="7353299"/>
            <a:ext cx="750559" cy="55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8B407A-961D-4CB1-8758-5572C754B5AD}" type="TxLink">
              <a:rPr lang="en-US" sz="1400" b="0" i="0" u="none" strike="noStrike">
                <a:solidFill>
                  <a:schemeClr val="bg1"/>
                </a:solidFill>
                <a:latin typeface="Segoe UI Black" panose="020B0A02040204020203" pitchFamily="34" charset="0"/>
                <a:ea typeface="Segoe UI Black" panose="020B0A02040204020203" pitchFamily="34" charset="0"/>
                <a:cs typeface="Calibri"/>
              </a:rPr>
              <a:pPr algn="ctr"/>
              <a:t>1000</a:t>
            </a:fld>
            <a:endParaRPr lang="en-US" sz="140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14</xdr:col>
      <xdr:colOff>367905</xdr:colOff>
      <xdr:row>29</xdr:row>
      <xdr:rowOff>86734</xdr:rowOff>
    </xdr:from>
    <xdr:to>
      <xdr:col>25</xdr:col>
      <xdr:colOff>387139</xdr:colOff>
      <xdr:row>29</xdr:row>
      <xdr:rowOff>90588</xdr:rowOff>
    </xdr:to>
    <xdr:cxnSp macro="">
      <xdr:nvCxnSpPr>
        <xdr:cNvPr id="91" name="Straight Connector 90">
          <a:extLst>
            <a:ext uri="{FF2B5EF4-FFF2-40B4-BE49-F238E27FC236}">
              <a16:creationId xmlns:a16="http://schemas.microsoft.com/office/drawing/2014/main" id="{2D710DC0-656F-46E6-BAC7-9D48B367FA61}"/>
            </a:ext>
          </a:extLst>
        </xdr:cNvPr>
        <xdr:cNvCxnSpPr/>
      </xdr:nvCxnSpPr>
      <xdr:spPr>
        <a:xfrm>
          <a:off x="8790010" y="5417392"/>
          <a:ext cx="6636603" cy="3854"/>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332973</xdr:colOff>
      <xdr:row>26</xdr:row>
      <xdr:rowOff>144331</xdr:rowOff>
    </xdr:from>
    <xdr:to>
      <xdr:col>16</xdr:col>
      <xdr:colOff>345412</xdr:colOff>
      <xdr:row>44</xdr:row>
      <xdr:rowOff>173012</xdr:rowOff>
    </xdr:to>
    <xdr:cxnSp macro="">
      <xdr:nvCxnSpPr>
        <xdr:cNvPr id="90" name="Straight Connector 89">
          <a:extLst>
            <a:ext uri="{FF2B5EF4-FFF2-40B4-BE49-F238E27FC236}">
              <a16:creationId xmlns:a16="http://schemas.microsoft.com/office/drawing/2014/main" id="{1F774B10-3C83-98DA-D181-EAB67052B314}"/>
            </a:ext>
          </a:extLst>
        </xdr:cNvPr>
        <xdr:cNvCxnSpPr/>
      </xdr:nvCxnSpPr>
      <xdr:spPr>
        <a:xfrm>
          <a:off x="10046380" y="5042902"/>
          <a:ext cx="12439" cy="34200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42333</xdr:colOff>
      <xdr:row>27</xdr:row>
      <xdr:rowOff>0</xdr:rowOff>
    </xdr:from>
    <xdr:to>
      <xdr:col>13</xdr:col>
      <xdr:colOff>562333</xdr:colOff>
      <xdr:row>45</xdr:row>
      <xdr:rowOff>1500</xdr:rowOff>
    </xdr:to>
    <xdr:graphicFrame macro="">
      <xdr:nvGraphicFramePr>
        <xdr:cNvPr id="13" name="Chart 12">
          <a:extLst>
            <a:ext uri="{FF2B5EF4-FFF2-40B4-BE49-F238E27FC236}">
              <a16:creationId xmlns:a16="http://schemas.microsoft.com/office/drawing/2014/main" id="{3AEAF4C5-ECFE-4C75-81A8-294C1C253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328083</xdr:colOff>
      <xdr:row>6</xdr:row>
      <xdr:rowOff>165100</xdr:rowOff>
    </xdr:from>
    <xdr:to>
      <xdr:col>8</xdr:col>
      <xdr:colOff>33083</xdr:colOff>
      <xdr:row>24</xdr:row>
      <xdr:rowOff>166600</xdr:rowOff>
    </xdr:to>
    <xdr:graphicFrame macro="">
      <xdr:nvGraphicFramePr>
        <xdr:cNvPr id="15" name="Chart 14">
          <a:extLst>
            <a:ext uri="{FF2B5EF4-FFF2-40B4-BE49-F238E27FC236}">
              <a16:creationId xmlns:a16="http://schemas.microsoft.com/office/drawing/2014/main" id="{0FA8FC47-C732-4ED5-9853-2E22E214A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202228</xdr:colOff>
      <xdr:row>7</xdr:row>
      <xdr:rowOff>10641</xdr:rowOff>
    </xdr:from>
    <xdr:to>
      <xdr:col>13</xdr:col>
      <xdr:colOff>579223</xdr:colOff>
      <xdr:row>25</xdr:row>
      <xdr:rowOff>12141</xdr:rowOff>
    </xdr:to>
    <xdr:graphicFrame macro="">
      <xdr:nvGraphicFramePr>
        <xdr:cNvPr id="17" name="Chart 16">
          <a:extLst>
            <a:ext uri="{FF2B5EF4-FFF2-40B4-BE49-F238E27FC236}">
              <a16:creationId xmlns:a16="http://schemas.microsoft.com/office/drawing/2014/main" id="{A70993F9-214C-4709-823B-7C00755AA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232834</xdr:colOff>
      <xdr:row>27</xdr:row>
      <xdr:rowOff>0</xdr:rowOff>
    </xdr:from>
    <xdr:to>
      <xdr:col>8</xdr:col>
      <xdr:colOff>297834</xdr:colOff>
      <xdr:row>45</xdr:row>
      <xdr:rowOff>1500</xdr:rowOff>
    </xdr:to>
    <xdr:graphicFrame macro="">
      <xdr:nvGraphicFramePr>
        <xdr:cNvPr id="22" name="Chart 21">
          <a:extLst>
            <a:ext uri="{FF2B5EF4-FFF2-40B4-BE49-F238E27FC236}">
              <a16:creationId xmlns:a16="http://schemas.microsoft.com/office/drawing/2014/main" id="{B06D4F97-CB59-452D-8530-DC482B1F3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479137</xdr:colOff>
      <xdr:row>26</xdr:row>
      <xdr:rowOff>150091</xdr:rowOff>
    </xdr:from>
    <xdr:to>
      <xdr:col>16</xdr:col>
      <xdr:colOff>323772</xdr:colOff>
      <xdr:row>29</xdr:row>
      <xdr:rowOff>72409</xdr:rowOff>
    </xdr:to>
    <xdr:cxnSp macro="">
      <xdr:nvCxnSpPr>
        <xdr:cNvPr id="24" name="Düz Bağlayıcı 23">
          <a:extLst>
            <a:ext uri="{FF2B5EF4-FFF2-40B4-BE49-F238E27FC236}">
              <a16:creationId xmlns:a16="http://schemas.microsoft.com/office/drawing/2014/main" id="{EC3E252F-059E-EB7F-F5EE-194DF8A52BB9}"/>
            </a:ext>
          </a:extLst>
        </xdr:cNvPr>
        <xdr:cNvCxnSpPr/>
      </xdr:nvCxnSpPr>
      <xdr:spPr>
        <a:xfrm flipH="1" flipV="1">
          <a:off x="9045864" y="5103091"/>
          <a:ext cx="1068453" cy="493818"/>
        </a:xfrm>
        <a:prstGeom prst="line">
          <a:avLst/>
        </a:prstGeom>
        <a:ln>
          <a:solidFill>
            <a:schemeClr val="bg1"/>
          </a:solidFill>
        </a:ln>
      </xdr:spPr>
      <xdr:style>
        <a:lnRef idx="2">
          <a:schemeClr val="accent2"/>
        </a:lnRef>
        <a:fillRef idx="0">
          <a:schemeClr val="accent2"/>
        </a:fillRef>
        <a:effectRef idx="1">
          <a:schemeClr val="accent2"/>
        </a:effectRef>
        <a:fontRef idx="minor">
          <a:schemeClr val="tx1"/>
        </a:fontRef>
      </xdr:style>
    </xdr:cxnSp>
    <xdr:clientData/>
  </xdr:twoCellAnchor>
  <xdr:oneCellAnchor>
    <xdr:from>
      <xdr:col>14</xdr:col>
      <xdr:colOff>369454</xdr:colOff>
      <xdr:row>27</xdr:row>
      <xdr:rowOff>63501</xdr:rowOff>
    </xdr:from>
    <xdr:ext cx="577273" cy="404085"/>
    <xdr:sp macro="" textlink="">
      <xdr:nvSpPr>
        <xdr:cNvPr id="38" name="Metin kutusu 37">
          <a:extLst>
            <a:ext uri="{FF2B5EF4-FFF2-40B4-BE49-F238E27FC236}">
              <a16:creationId xmlns:a16="http://schemas.microsoft.com/office/drawing/2014/main" id="{AD365D17-C6F2-C04C-BE8D-172CC03AEE2A}"/>
            </a:ext>
          </a:extLst>
        </xdr:cNvPr>
        <xdr:cNvSpPr txBox="1"/>
      </xdr:nvSpPr>
      <xdr:spPr>
        <a:xfrm>
          <a:off x="8936181" y="5207001"/>
          <a:ext cx="577273" cy="404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r-TR" sz="900" b="0" i="0">
              <a:solidFill>
                <a:schemeClr val="bg1"/>
              </a:solidFill>
              <a:latin typeface="Segoe UI Black" panose="020B0A02040204020203" pitchFamily="34" charset="0"/>
              <a:ea typeface="Segoe UI Black" panose="020B0A02040204020203" pitchFamily="34" charset="0"/>
            </a:rPr>
            <a:t>error</a:t>
          </a:r>
          <a:r>
            <a:rPr lang="tr-TR" sz="900" b="0" i="0" baseline="0">
              <a:solidFill>
                <a:schemeClr val="bg1"/>
              </a:solidFill>
              <a:latin typeface="Segoe UI Black" panose="020B0A02040204020203" pitchFamily="34" charset="0"/>
              <a:ea typeface="Segoe UI Black" panose="020B0A02040204020203" pitchFamily="34" charset="0"/>
            </a:rPr>
            <a:t> types</a:t>
          </a:r>
          <a:endParaRPr lang="en-US" sz="900" b="0" i="0">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15</xdr:col>
      <xdr:colOff>346364</xdr:colOff>
      <xdr:row>26</xdr:row>
      <xdr:rowOff>155863</xdr:rowOff>
    </xdr:from>
    <xdr:ext cx="533479" cy="265522"/>
    <xdr:sp macro="" textlink="">
      <xdr:nvSpPr>
        <xdr:cNvPr id="40" name="Metin kutusu 39">
          <a:extLst>
            <a:ext uri="{FF2B5EF4-FFF2-40B4-BE49-F238E27FC236}">
              <a16:creationId xmlns:a16="http://schemas.microsoft.com/office/drawing/2014/main" id="{B4F5FE1B-8E72-1B52-154A-E70389A6C2BD}"/>
            </a:ext>
          </a:extLst>
        </xdr:cNvPr>
        <xdr:cNvSpPr txBox="1"/>
      </xdr:nvSpPr>
      <xdr:spPr>
        <a:xfrm>
          <a:off x="9525000" y="5108863"/>
          <a:ext cx="533479" cy="265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000">
              <a:solidFill>
                <a:schemeClr val="bg1"/>
              </a:solidFill>
              <a:latin typeface="Segoe UI Black" panose="020B0A02040204020203" pitchFamily="34" charset="0"/>
              <a:ea typeface="Segoe UI Black" panose="020B0A02040204020203" pitchFamily="34" charset="0"/>
            </a:rPr>
            <a:t>notes</a:t>
          </a:r>
          <a:endParaRPr lang="en-US" sz="1000">
            <a:solidFill>
              <a:schemeClr val="bg1"/>
            </a:solidFill>
            <a:latin typeface="Segoe UI Black" panose="020B0A02040204020203" pitchFamily="34" charset="0"/>
            <a:ea typeface="Segoe UI Black" panose="020B0A02040204020203" pitchFamily="34" charset="0"/>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0.48125</cdr:x>
      <cdr:y>0.42882</cdr:y>
    </cdr:from>
    <cdr:to>
      <cdr:x>0.53125</cdr:x>
      <cdr:y>0.50868</cdr:y>
    </cdr:to>
    <cdr:sp macro="" textlink="">
      <cdr:nvSpPr>
        <cdr:cNvPr id="2" name="Oval 1">
          <a:extLst xmlns:a="http://schemas.openxmlformats.org/drawingml/2006/main">
            <a:ext uri="{FF2B5EF4-FFF2-40B4-BE49-F238E27FC236}">
              <a16:creationId xmlns:a16="http://schemas.microsoft.com/office/drawing/2014/main" id="{85D8B373-0736-8CDB-52B1-D3B5C9AE39F4}"/>
            </a:ext>
          </a:extLst>
        </cdr:cNvPr>
        <cdr:cNvSpPr/>
      </cdr:nvSpPr>
      <cdr:spPr>
        <a:xfrm xmlns:a="http://schemas.openxmlformats.org/drawingml/2006/main">
          <a:off x="2200290" y="1176345"/>
          <a:ext cx="228600" cy="219072"/>
        </a:xfrm>
        <a:prstGeom xmlns:a="http://schemas.openxmlformats.org/drawingml/2006/main" prst="ellipse">
          <a:avLst/>
        </a:prstGeom>
        <a:solidFill xmlns:a="http://schemas.openxmlformats.org/drawingml/2006/main">
          <a:schemeClr val="tx1">
            <a:lumMod val="95000"/>
            <a:lumOff val="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xdr:wsDr xmlns:xdr="http://schemas.openxmlformats.org/drawingml/2006/spreadsheetDrawing" xmlns:a="http://schemas.openxmlformats.org/drawingml/2006/main">
  <xdr:twoCellAnchor>
    <xdr:from>
      <xdr:col>72</xdr:col>
      <xdr:colOff>403860</xdr:colOff>
      <xdr:row>93</xdr:row>
      <xdr:rowOff>124142</xdr:rowOff>
    </xdr:from>
    <xdr:to>
      <xdr:col>78</xdr:col>
      <xdr:colOff>495300</xdr:colOff>
      <xdr:row>120</xdr:row>
      <xdr:rowOff>45720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6A0D129-E731-9F83-E790-20C1E6B84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660885" y="18069242"/>
              <a:ext cx="4625340" cy="5065078"/>
            </a:xfrm>
            <a:prstGeom prst="rect">
              <a:avLst/>
            </a:prstGeom>
            <a:solidFill>
              <a:prstClr val="white"/>
            </a:solidFill>
            <a:ln w="1">
              <a:solidFill>
                <a:prstClr val="green"/>
              </a:solidFill>
            </a:ln>
          </xdr:spPr>
          <xdr:txBody>
            <a:bodyPr vertOverflow="clip" horzOverflow="clip"/>
            <a:lstStyle/>
            <a:p>
              <a:r>
                <a:rPr lang="en-US" sz="1100"/>
                <a:t>Bu grafik, Excel sürümünüzde kullanılamaz.
Bu şekli düzenlemek veya bu çalışma kitabını farklı bir dosya biçiminde kaydetmek grafiğin kalıcı olarak bozulmasına neden olur.</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il  zehra yaşar" refreshedDate="46025.006470370368" createdVersion="8" refreshedVersion="8" minRefreshableVersion="3" recordCount="1000" xr:uid="{E2C9E082-51E5-4B1A-9013-E17DAB4CA6FE}">
  <cacheSource type="worksheet">
    <worksheetSource name="Table2"/>
  </cacheSource>
  <cacheFields count="33">
    <cacheField name="ProductionDate" numFmtId="164">
      <sharedItems containsSemiMixedTypes="0" containsNonDate="0" containsDate="1" containsString="0" minDate="2024-01-01T00:00:00" maxDate="2024-10-28T00:00:00" count="290">
        <d v="2024-02-09T00:00:00"/>
        <d v="2024-02-08T00:00:00"/>
        <d v="2024-01-10T00:00:00"/>
        <d v="2024-09-16T00:00:00"/>
        <d v="2024-01-16T00:00:00"/>
        <d v="2024-10-24T00:00:00"/>
        <d v="2024-10-23T00:00:00"/>
        <d v="2024-07-26T00:00:00"/>
        <d v="2024-04-18T00:00:00"/>
        <d v="2024-01-19T00:00:00"/>
        <d v="2024-10-09T00:00:00"/>
        <d v="2024-05-13T00:00:00"/>
        <d v="2024-10-05T00:00:00"/>
        <d v="2024-10-03T00:00:00"/>
        <d v="2024-08-29T00:00:00"/>
        <d v="2024-03-17T00:00:00"/>
        <d v="2024-07-06T00:00:00"/>
        <d v="2024-07-19T00:00:00"/>
        <d v="2024-04-24T00:00:00"/>
        <d v="2024-05-28T00:00:00"/>
        <d v="2024-03-09T00:00:00"/>
        <d v="2024-08-25T00:00:00"/>
        <d v="2024-09-13T00:00:00"/>
        <d v="2024-09-18T00:00:00"/>
        <d v="2024-02-16T00:00:00"/>
        <d v="2024-07-22T00:00:00"/>
        <d v="2024-07-05T00:00:00"/>
        <d v="2024-09-14T00:00:00"/>
        <d v="2024-01-06T00:00:00"/>
        <d v="2024-05-02T00:00:00"/>
        <d v="2024-03-25T00:00:00"/>
        <d v="2024-09-20T00:00:00"/>
        <d v="2024-03-12T00:00:00"/>
        <d v="2024-08-16T00:00:00"/>
        <d v="2024-03-22T00:00:00"/>
        <d v="2024-04-01T00:00:00"/>
        <d v="2024-10-16T00:00:00"/>
        <d v="2024-03-15T00:00:00"/>
        <d v="2024-09-04T00:00:00"/>
        <d v="2024-07-02T00:00:00"/>
        <d v="2024-01-21T00:00:00"/>
        <d v="2024-04-22T00:00:00"/>
        <d v="2024-09-06T00:00:00"/>
        <d v="2024-04-28T00:00:00"/>
        <d v="2024-02-02T00:00:00"/>
        <d v="2024-05-15T00:00:00"/>
        <d v="2024-07-08T00:00:00"/>
        <d v="2024-04-29T00:00:00"/>
        <d v="2024-01-22T00:00:00"/>
        <d v="2024-04-15T00:00:00"/>
        <d v="2024-09-22T00:00:00"/>
        <d v="2024-07-03T00:00:00"/>
        <d v="2024-07-17T00:00:00"/>
        <d v="2024-08-28T00:00:00"/>
        <d v="2024-08-20T00:00:00"/>
        <d v="2024-01-24T00:00:00"/>
        <d v="2024-06-14T00:00:00"/>
        <d v="2024-02-22T00:00:00"/>
        <d v="2024-09-23T00:00:00"/>
        <d v="2024-05-20T00:00:00"/>
        <d v="2024-05-14T00:00:00"/>
        <d v="2024-10-18T00:00:00"/>
        <d v="2024-03-30T00:00:00"/>
        <d v="2024-07-11T00:00:00"/>
        <d v="2024-07-12T00:00:00"/>
        <d v="2024-10-27T00:00:00"/>
        <d v="2024-09-21T00:00:00"/>
        <d v="2024-05-08T00:00:00"/>
        <d v="2024-06-29T00:00:00"/>
        <d v="2024-06-25T00:00:00"/>
        <d v="2024-09-03T00:00:00"/>
        <d v="2024-01-04T00:00:00"/>
        <d v="2024-08-13T00:00:00"/>
        <d v="2024-04-27T00:00:00"/>
        <d v="2024-05-23T00:00:00"/>
        <d v="2024-04-05T00:00:00"/>
        <d v="2024-03-21T00:00:00"/>
        <d v="2024-07-04T00:00:00"/>
        <d v="2024-03-01T00:00:00"/>
        <d v="2024-07-31T00:00:00"/>
        <d v="2024-06-18T00:00:00"/>
        <d v="2024-02-28T00:00:00"/>
        <d v="2024-09-02T00:00:00"/>
        <d v="2024-04-17T00:00:00"/>
        <d v="2024-03-23T00:00:00"/>
        <d v="2024-07-29T00:00:00"/>
        <d v="2024-01-12T00:00:00"/>
        <d v="2024-05-04T00:00:00"/>
        <d v="2024-01-23T00:00:00"/>
        <d v="2024-03-06T00:00:00"/>
        <d v="2024-10-20T00:00:00"/>
        <d v="2024-09-19T00:00:00"/>
        <d v="2024-03-16T00:00:00"/>
        <d v="2024-01-29T00:00:00"/>
        <d v="2024-03-26T00:00:00"/>
        <d v="2024-05-12T00:00:00"/>
        <d v="2024-04-02T00:00:00"/>
        <d v="2024-10-15T00:00:00"/>
        <d v="2024-05-25T00:00:00"/>
        <d v="2024-02-13T00:00:00"/>
        <d v="2024-04-20T00:00:00"/>
        <d v="2024-08-17T00:00:00"/>
        <d v="2024-03-28T00:00:00"/>
        <d v="2024-03-14T00:00:00"/>
        <d v="2024-10-25T00:00:00"/>
        <d v="2024-04-03T00:00:00"/>
        <d v="2024-06-24T00:00:00"/>
        <d v="2024-02-05T00:00:00"/>
        <d v="2024-07-16T00:00:00"/>
        <d v="2024-03-08T00:00:00"/>
        <d v="2024-02-25T00:00:00"/>
        <d v="2024-01-09T00:00:00"/>
        <d v="2024-04-13T00:00:00"/>
        <d v="2024-09-24T00:00:00"/>
        <d v="2024-09-15T00:00:00"/>
        <d v="2024-08-02T00:00:00"/>
        <d v="2024-02-19T00:00:00"/>
        <d v="2024-03-31T00:00:00"/>
        <d v="2024-08-31T00:00:00"/>
        <d v="2024-01-20T00:00:00"/>
        <d v="2024-09-29T00:00:00"/>
        <d v="2024-02-17T00:00:00"/>
        <d v="2024-03-07T00:00:00"/>
        <d v="2024-01-01T00:00:00"/>
        <d v="2024-08-08T00:00:00"/>
        <d v="2024-08-03T00:00:00"/>
        <d v="2024-09-28T00:00:00"/>
        <d v="2024-08-07T00:00:00"/>
        <d v="2024-07-14T00:00:00"/>
        <d v="2024-06-28T00:00:00"/>
        <d v="2024-10-21T00:00:00"/>
        <d v="2024-02-20T00:00:00"/>
        <d v="2024-08-05T00:00:00"/>
        <d v="2024-05-10T00:00:00"/>
        <d v="2024-09-01T00:00:00"/>
        <d v="2024-02-12T00:00:00"/>
        <d v="2024-07-28T00:00:00"/>
        <d v="2024-05-11T00:00:00"/>
        <d v="2024-04-06T00:00:00"/>
        <d v="2024-01-03T00:00:00"/>
        <d v="2024-10-22T00:00:00"/>
        <d v="2024-06-10T00:00:00"/>
        <d v="2024-02-24T00:00:00"/>
        <d v="2024-03-20T00:00:00"/>
        <d v="2024-08-06T00:00:00"/>
        <d v="2024-10-26T00:00:00"/>
        <d v="2024-05-09T00:00:00"/>
        <d v="2024-10-01T00:00:00"/>
        <d v="2024-08-04T00:00:00"/>
        <d v="2024-05-21T00:00:00"/>
        <d v="2024-04-14T00:00:00"/>
        <d v="2024-07-30T00:00:00"/>
        <d v="2024-10-12T00:00:00"/>
        <d v="2024-10-13T00:00:00"/>
        <d v="2024-10-11T00:00:00"/>
        <d v="2024-06-06T00:00:00"/>
        <d v="2024-03-11T00:00:00"/>
        <d v="2024-02-21T00:00:00"/>
        <d v="2024-04-19T00:00:00"/>
        <d v="2024-09-17T00:00:00"/>
        <d v="2024-07-24T00:00:00"/>
        <d v="2024-06-22T00:00:00"/>
        <d v="2024-10-08T00:00:00"/>
        <d v="2024-01-27T00:00:00"/>
        <d v="2024-07-18T00:00:00"/>
        <d v="2024-08-10T00:00:00"/>
        <d v="2024-02-15T00:00:00"/>
        <d v="2024-04-23T00:00:00"/>
        <d v="2024-02-10T00:00:00"/>
        <d v="2024-07-15T00:00:00"/>
        <d v="2024-05-26T00:00:00"/>
        <d v="2024-01-30T00:00:00"/>
        <d v="2024-09-10T00:00:00"/>
        <d v="2024-08-12T00:00:00"/>
        <d v="2024-04-09T00:00:00"/>
        <d v="2024-01-18T00:00:00"/>
        <d v="2024-03-27T00:00:00"/>
        <d v="2024-02-14T00:00:00"/>
        <d v="2024-07-23T00:00:00"/>
        <d v="2024-07-21T00:00:00"/>
        <d v="2024-04-12T00:00:00"/>
        <d v="2024-01-08T00:00:00"/>
        <d v="2024-06-27T00:00:00"/>
        <d v="2024-06-26T00:00:00"/>
        <d v="2024-04-25T00:00:00"/>
        <d v="2024-07-25T00:00:00"/>
        <d v="2024-07-27T00:00:00"/>
        <d v="2024-02-07T00:00:00"/>
        <d v="2024-05-30T00:00:00"/>
        <d v="2024-06-23T00:00:00"/>
        <d v="2024-02-29T00:00:00"/>
        <d v="2024-10-02T00:00:00"/>
        <d v="2024-08-14T00:00:00"/>
        <d v="2024-08-22T00:00:00"/>
        <d v="2024-08-23T00:00:00"/>
        <d v="2024-01-15T00:00:00"/>
        <d v="2024-02-04T00:00:00"/>
        <d v="2024-01-05T00:00:00"/>
        <d v="2024-05-07T00:00:00"/>
        <d v="2024-05-27T00:00:00"/>
        <d v="2024-10-10T00:00:00"/>
        <d v="2024-06-09T00:00:00"/>
        <d v="2024-06-30T00:00:00"/>
        <d v="2024-04-21T00:00:00"/>
        <d v="2024-05-17T00:00:00"/>
        <d v="2024-04-07T00:00:00"/>
        <d v="2024-09-12T00:00:00"/>
        <d v="2024-04-30T00:00:00"/>
        <d v="2024-05-03T00:00:00"/>
        <d v="2024-07-01T00:00:00"/>
        <d v="2024-03-02T00:00:00"/>
        <d v="2024-09-09T00:00:00"/>
        <d v="2024-10-04T00:00:00"/>
        <d v="2024-07-09T00:00:00"/>
        <d v="2024-09-08T00:00:00"/>
        <d v="2024-01-28T00:00:00"/>
        <d v="2024-09-26T00:00:00"/>
        <d v="2024-01-17T00:00:00"/>
        <d v="2024-07-20T00:00:00"/>
        <d v="2024-01-07T00:00:00"/>
        <d v="2024-07-13T00:00:00"/>
        <d v="2024-06-15T00:00:00"/>
        <d v="2024-10-07T00:00:00"/>
        <d v="2024-05-01T00:00:00"/>
        <d v="2024-04-04T00:00:00"/>
        <d v="2024-08-18T00:00:00"/>
        <d v="2024-10-19T00:00:00"/>
        <d v="2024-05-18T00:00:00"/>
        <d v="2024-08-09T00:00:00"/>
        <d v="2024-04-10T00:00:00"/>
        <d v="2024-08-30T00:00:00"/>
        <d v="2024-09-30T00:00:00"/>
        <d v="2024-06-02T00:00:00"/>
        <d v="2024-10-14T00:00:00"/>
        <d v="2024-10-17T00:00:00"/>
        <d v="2024-01-25T00:00:00"/>
        <d v="2024-03-24T00:00:00"/>
        <d v="2024-01-31T00:00:00"/>
        <d v="2024-06-20T00:00:00"/>
        <d v="2024-01-11T00:00:00"/>
        <d v="2024-03-03T00:00:00"/>
        <d v="2024-04-11T00:00:00"/>
        <d v="2024-06-21T00:00:00"/>
        <d v="2024-02-06T00:00:00"/>
        <d v="2024-04-26T00:00:00"/>
        <d v="2024-06-11T00:00:00"/>
        <d v="2024-05-29T00:00:00"/>
        <d v="2024-05-16T00:00:00"/>
        <d v="2024-08-15T00:00:00"/>
        <d v="2024-03-05T00:00:00"/>
        <d v="2024-02-18T00:00:00"/>
        <d v="2024-01-14T00:00:00"/>
        <d v="2024-09-25T00:00:00"/>
        <d v="2024-02-23T00:00:00"/>
        <d v="2024-06-07T00:00:00"/>
        <d v="2024-05-06T00:00:00"/>
        <d v="2024-08-27T00:00:00"/>
        <d v="2024-05-19T00:00:00"/>
        <d v="2024-03-10T00:00:00"/>
        <d v="2024-08-21T00:00:00"/>
        <d v="2024-06-04T00:00:00"/>
        <d v="2024-07-10T00:00:00"/>
        <d v="2024-08-11T00:00:00"/>
        <d v="2024-02-26T00:00:00"/>
        <d v="2024-08-19T00:00:00"/>
        <d v="2024-06-13T00:00:00"/>
        <d v="2024-03-18T00:00:00"/>
        <d v="2024-01-26T00:00:00"/>
        <d v="2024-05-24T00:00:00"/>
        <d v="2024-06-08T00:00:00"/>
        <d v="2024-02-11T00:00:00"/>
        <d v="2024-04-08T00:00:00"/>
        <d v="2024-04-16T00:00:00"/>
        <d v="2024-06-01T00:00:00"/>
        <d v="2024-02-27T00:00:00"/>
        <d v="2024-03-19T00:00:00"/>
        <d v="2024-09-05T00:00:00"/>
        <d v="2024-09-07T00:00:00"/>
        <d v="2024-05-31T00:00:00"/>
        <d v="2024-09-11T00:00:00"/>
        <d v="2024-02-01T00:00:00"/>
        <d v="2024-07-07T00:00:00"/>
        <d v="2024-09-27T00:00:00"/>
        <d v="2024-10-06T00:00:00"/>
        <d v="2024-06-03T00:00:00"/>
        <d v="2024-03-29T00:00:00"/>
        <d v="2024-08-01T00:00:00"/>
        <d v="2024-06-05T00:00:00"/>
        <d v="2024-06-12T00:00:00"/>
        <d v="2024-06-16T00:00:00"/>
      </sharedItems>
      <fieldGroup par="32"/>
    </cacheField>
    <cacheField name="Department" numFmtId="0">
      <sharedItems count="6">
        <s v="Paketleme"/>
        <s v="CNC"/>
        <s v="Kaynak"/>
        <s v="Boya"/>
        <s v="Pres"/>
        <s v="Montaj"/>
      </sharedItems>
    </cacheField>
    <cacheField name="Shift" numFmtId="0">
      <sharedItems containsSemiMixedTypes="0" containsString="0" containsNumber="1" containsInteger="1" minValue="1" maxValue="3" count="3">
        <n v="2"/>
        <n v="1"/>
        <n v="3"/>
      </sharedItems>
    </cacheField>
    <cacheField name="MachineCode" numFmtId="0">
      <sharedItems count="20">
        <s v="MK-010"/>
        <s v="MK-014"/>
        <s v="MK-011"/>
        <s v="MK-018"/>
        <s v="MK-012"/>
        <s v="MK-013"/>
        <s v="MK-019"/>
        <s v="MK-004"/>
        <s v="MK-008"/>
        <s v="MK-006"/>
        <s v="MK-005"/>
        <s v="MK-009"/>
        <s v="MK-003"/>
        <s v="MK-015"/>
        <s v="MK-001"/>
        <s v="MK-007"/>
        <s v="MK-017"/>
        <s v="MK-020"/>
        <s v="MK-002"/>
        <s v="MK-016"/>
      </sharedItems>
    </cacheField>
    <cacheField name="ProductionLine" numFmtId="0">
      <sharedItems count="5">
        <s v="Hat D"/>
        <s v="Hat C"/>
        <s v="Hat E"/>
        <s v="Hat A"/>
        <s v="Hat B"/>
      </sharedItems>
    </cacheField>
    <cacheField name="ProductCode" numFmtId="0">
      <sharedItems count="20">
        <s v="UR-1014"/>
        <s v="UR-1002"/>
        <s v="UR-1004"/>
        <s v="UR-1000"/>
        <s v="UR-1007"/>
        <s v="UR-1003"/>
        <s v="UR-1001"/>
        <s v="UR-1009"/>
        <s v="UR-1016"/>
        <s v="UR-1019"/>
        <s v="UR-1012"/>
        <s v="UR-1008"/>
        <s v="UR-1005"/>
        <s v="UR-1006"/>
        <s v="UR-1018"/>
        <s v="UR-1011"/>
        <s v="UR-1017"/>
        <s v="UR-1015"/>
        <s v="UR-1013"/>
        <s v="UR-1010"/>
      </sharedItems>
    </cacheField>
    <cacheField name="ErrorType" numFmtId="0">
      <sharedItems count="5">
        <s v="Ölçü Hatası"/>
        <s v="Yüzey Çizik"/>
        <s v="Renk Uyumsuzluğu"/>
        <s v="Kaynak Hatası"/>
        <s v="Eksik Parça"/>
      </sharedItems>
    </cacheField>
    <cacheField name="ErrorDescription" numFmtId="0">
      <sharedItems count="5">
        <s v="Renk farkı"/>
        <s v="Kaynak atlaması"/>
        <s v="Tolerans dışı ölçüm"/>
        <s v="Yüzey deformasyonu"/>
        <s v="Eksik vida"/>
      </sharedItems>
    </cacheField>
    <cacheField name="ErrorSeverity (1–5)" numFmtId="0">
      <sharedItems containsSemiMixedTypes="0" containsString="0" containsNumber="1" containsInteger="1" minValue="1" maxValue="5"/>
    </cacheField>
    <cacheField name="ErrorProbability (%)" numFmtId="0">
      <sharedItems containsSemiMixedTypes="0" containsString="0" containsNumber="1" minValue="1" maxValue="19.989999999999998"/>
    </cacheField>
    <cacheField name="ErrorFrequency (units/day)" numFmtId="0">
      <sharedItems containsSemiMixedTypes="0" containsString="0" containsNumber="1" containsInteger="1" minValue="1" maxValue="9"/>
    </cacheField>
    <cacheField name="ErrorCost (TL/unit)" numFmtId="0">
      <sharedItems containsSemiMixedTypes="0" containsString="0" containsNumber="1" minValue="50.11" maxValue="498.21"/>
    </cacheField>
    <cacheField name="CorrectionTime (minutes)" numFmtId="0">
      <sharedItems containsSemiMixedTypes="0" containsString="0" containsNumber="1" containsInteger="1" minValue="5" maxValue="89"/>
    </cacheField>
    <cacheField name="QualityInspector" numFmtId="0">
      <sharedItems count="6">
        <s v="Ece"/>
        <s v="Mehmet"/>
        <s v="Ahmet"/>
        <s v="Zeynep"/>
        <s v="Ayşe"/>
        <s v="Burak"/>
      </sharedItems>
    </cacheField>
    <cacheField name="DefectiveUnits" numFmtId="0">
      <sharedItems containsSemiMixedTypes="0" containsString="0" containsNumber="1" containsInteger="1" minValue="1" maxValue="49"/>
    </cacheField>
    <cacheField name="TotalProduction" numFmtId="0">
      <sharedItems containsSemiMixedTypes="0" containsString="0" containsNumber="1" containsInteger="1" minValue="100" maxValue="999"/>
    </cacheField>
    <cacheField name="shownote" numFmtId="0">
      <sharedItems/>
    </cacheField>
    <cacheField name="Notes" numFmtId="0">
      <sharedItems count="5">
        <s v="Kontrol tekrarlandı"/>
        <s v="Kritik hata"/>
        <s v="Makine ayarı değiştirildi"/>
        <s v="Eğitim önerildi"/>
        <s v="Rutin kontrol"/>
      </sharedItems>
    </cacheField>
    <cacheField name="ErrorRate (%)" numFmtId="2">
      <sharedItems containsSemiMixedTypes="0" containsString="0" containsNumber="1" minValue="0.1" maxValue="43.56"/>
    </cacheField>
    <cacheField name="QualityScore (0–100)" numFmtId="0">
      <sharedItems containsSemiMixedTypes="0" containsString="0" containsNumber="1" minValue="11.88" maxValue="98.78"/>
    </cacheField>
    <cacheField name="KPI – AverageCorrectionCost (TL)" numFmtId="0">
      <sharedItems containsSemiMixedTypes="0" containsString="0" containsNumber="1" minValue="6.78" maxValue="706.78"/>
    </cacheField>
    <cacheField name="risk score" numFmtId="0">
      <sharedItems containsSemiMixedTypes="0" containsString="0" containsNumber="1" minValue="1.49" maxValue="872.55000000000007"/>
    </cacheField>
    <cacheField name="Total Cost" numFmtId="0">
      <sharedItems containsSemiMixedTypes="0" containsString="0" containsNumber="1" minValue="64.319999999999993" maxValue="1200.8900000000001"/>
    </cacheField>
    <cacheField name="quality classes" numFmtId="0">
      <sharedItems count="3">
        <s v="Mid Quality"/>
        <s v="Low Quality"/>
        <s v="High Quality"/>
      </sharedItems>
    </cacheField>
    <cacheField name="distribution" numFmtId="0">
      <sharedItems/>
    </cacheField>
    <cacheField name="bins" numFmtId="0">
      <sharedItems containsString="0" containsBlank="1" containsNumber="1" containsInteger="1" minValue="0" maxValue="20" count="12">
        <n v="0"/>
        <n v="2"/>
        <n v="4"/>
        <n v="6"/>
        <n v="8"/>
        <n v="10"/>
        <n v="12"/>
        <n v="14"/>
        <n v="16"/>
        <n v="18"/>
        <n v="20"/>
        <m/>
      </sharedItems>
    </cacheField>
    <cacheField name="countifs" numFmtId="0">
      <sharedItems containsString="0" containsBlank="1" containsNumber="1" containsInteger="1" minValue="0" maxValue="118"/>
    </cacheField>
    <cacheField name="normdist" numFmtId="0">
      <sharedItems containsString="0" containsBlank="1" containsNumber="1" minValue="1.2441598592351144E-2" maxValue="7.2313485099237046E-2"/>
    </cacheField>
    <cacheField name="uniform" numFmtId="0">
      <sharedItems containsString="0" containsBlank="1" containsNumber="1" minValue="0.05" maxValue="0.05"/>
    </cacheField>
    <cacheField name="mean" numFmtId="0">
      <sharedItems containsString="0" containsBlank="1" containsNumber="1" minValue="10.336579999999996" maxValue="10.336579999999996"/>
    </cacheField>
    <cacheField name="stdev" numFmtId="0">
      <sharedItems containsString="0" containsBlank="1" containsNumber="1" minValue="5.5065487833669513" maxValue="5.5065487833669513"/>
    </cacheField>
    <cacheField name="Days (ProductionDate)" numFmtId="0" databaseField="0">
      <fieldGroup base="0">
        <rangePr groupBy="days" startDate="2024-01-01T00:00:00" endDate="2024-10-28T00:00:00"/>
        <groupItems count="368">
          <s v="&lt;01.01.2024"/>
          <s v="01.Oca"/>
          <s v="02.Oca"/>
          <s v="03.Oca"/>
          <s v="04.Oca"/>
          <s v="05.Oca"/>
          <s v="06.Oca"/>
          <s v="07.Oca"/>
          <s v="08.Oca"/>
          <s v="09.Oca"/>
          <s v="10.Oca"/>
          <s v="11.Oca"/>
          <s v="12.Oca"/>
          <s v="13.Oca"/>
          <s v="14.Oca"/>
          <s v="15.Oca"/>
          <s v="16.Oca"/>
          <s v="17.Oca"/>
          <s v="18.Oca"/>
          <s v="19.Oca"/>
          <s v="20.Oca"/>
          <s v="21.Oca"/>
          <s v="22.Oca"/>
          <s v="23.Oca"/>
          <s v="24.Oca"/>
          <s v="25.Oca"/>
          <s v="26.Oca"/>
          <s v="27.Oca"/>
          <s v="28.Oca"/>
          <s v="29.Oca"/>
          <s v="30.Oca"/>
          <s v="31.Oca"/>
          <s v="01.Şub"/>
          <s v="02.Şub"/>
          <s v="03.Şub"/>
          <s v="04.Şub"/>
          <s v="05.Şub"/>
          <s v="06.Şub"/>
          <s v="07.Şub"/>
          <s v="08.Şub"/>
          <s v="09.Şub"/>
          <s v="10.Şub"/>
          <s v="11.Şub"/>
          <s v="12.Şub"/>
          <s v="13.Şub"/>
          <s v="14.Şub"/>
          <s v="15.Şub"/>
          <s v="16.Şub"/>
          <s v="17.Şub"/>
          <s v="18.Şub"/>
          <s v="19.Şub"/>
          <s v="20.Şub"/>
          <s v="21.Şub"/>
          <s v="22.Şub"/>
          <s v="23.Şub"/>
          <s v="24.Şub"/>
          <s v="25.Şub"/>
          <s v="26.Şub"/>
          <s v="27.Şub"/>
          <s v="28.Şub"/>
          <s v="29.Şu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Nis"/>
          <s v="02.Nis"/>
          <s v="03.Nis"/>
          <s v="04.Nis"/>
          <s v="05.Nis"/>
          <s v="06.Nis"/>
          <s v="07.Nis"/>
          <s v="08.Nis"/>
          <s v="09.Nis"/>
          <s v="10.Nis"/>
          <s v="11.Nis"/>
          <s v="12.Nis"/>
          <s v="13.Nis"/>
          <s v="14.Nis"/>
          <s v="15.Nis"/>
          <s v="16.Nis"/>
          <s v="17.Nis"/>
          <s v="18.Nis"/>
          <s v="19.Nis"/>
          <s v="20.Nis"/>
          <s v="21.Nis"/>
          <s v="22.Nis"/>
          <s v="23.Nis"/>
          <s v="24.Nis"/>
          <s v="25.Nis"/>
          <s v="26.Nis"/>
          <s v="27.Nis"/>
          <s v="28.Nis"/>
          <s v="29.Nis"/>
          <s v="30.Nis"/>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Haz"/>
          <s v="02.Haz"/>
          <s v="03.Haz"/>
          <s v="04.Haz"/>
          <s v="05.Haz"/>
          <s v="06.Haz"/>
          <s v="07.Haz"/>
          <s v="08.Haz"/>
          <s v="09.Haz"/>
          <s v="10.Haz"/>
          <s v="11.Haz"/>
          <s v="12.Haz"/>
          <s v="13.Haz"/>
          <s v="14.Haz"/>
          <s v="15.Haz"/>
          <s v="16.Haz"/>
          <s v="17.Haz"/>
          <s v="18.Haz"/>
          <s v="19.Haz"/>
          <s v="20.Haz"/>
          <s v="21.Haz"/>
          <s v="22.Haz"/>
          <s v="23.Haz"/>
          <s v="24.Haz"/>
          <s v="25.Haz"/>
          <s v="26.Haz"/>
          <s v="27.Haz"/>
          <s v="28.Haz"/>
          <s v="29.Haz"/>
          <s v="30.Haz"/>
          <s v="01.Tem"/>
          <s v="02.Tem"/>
          <s v="03.Tem"/>
          <s v="04.Tem"/>
          <s v="05.Tem"/>
          <s v="06.Tem"/>
          <s v="07.Tem"/>
          <s v="08.Tem"/>
          <s v="09.Tem"/>
          <s v="10.Tem"/>
          <s v="11.Tem"/>
          <s v="12.Tem"/>
          <s v="13.Tem"/>
          <s v="14.Tem"/>
          <s v="15.Tem"/>
          <s v="16.Tem"/>
          <s v="17.Tem"/>
          <s v="18.Tem"/>
          <s v="19.Tem"/>
          <s v="20.Tem"/>
          <s v="21.Tem"/>
          <s v="22.Tem"/>
          <s v="23.Tem"/>
          <s v="24.Tem"/>
          <s v="25.Tem"/>
          <s v="26.Tem"/>
          <s v="27.Tem"/>
          <s v="28.Tem"/>
          <s v="29.Tem"/>
          <s v="30.Tem"/>
          <s v="31.Tem"/>
          <s v="01.Ağu"/>
          <s v="02.Ağu"/>
          <s v="03.Ağu"/>
          <s v="04.Ağu"/>
          <s v="05.Ağu"/>
          <s v="06.Ağu"/>
          <s v="07.Ağu"/>
          <s v="08.Ağu"/>
          <s v="09.Ağu"/>
          <s v="10.Ağu"/>
          <s v="11.Ağu"/>
          <s v="12.Ağu"/>
          <s v="13.Ağu"/>
          <s v="14.Ağu"/>
          <s v="15.Ağu"/>
          <s v="16.Ağu"/>
          <s v="17.Ağu"/>
          <s v="18.Ağu"/>
          <s v="19.Ağu"/>
          <s v="20.Ağu"/>
          <s v="21.Ağu"/>
          <s v="22.Ağu"/>
          <s v="23.Ağu"/>
          <s v="24.Ağu"/>
          <s v="25.Ağu"/>
          <s v="26.Ağu"/>
          <s v="27.Ağu"/>
          <s v="28.Ağu"/>
          <s v="29.Ağu"/>
          <s v="30.Ağu"/>
          <s v="31.Ağu"/>
          <s v="01.Eyl"/>
          <s v="02.Eyl"/>
          <s v="03.Eyl"/>
          <s v="04.Eyl"/>
          <s v="05.Eyl"/>
          <s v="06.Eyl"/>
          <s v="07.Eyl"/>
          <s v="08.Eyl"/>
          <s v="09.Eyl"/>
          <s v="10.Eyl"/>
          <s v="11.Eyl"/>
          <s v="12.Eyl"/>
          <s v="13.Eyl"/>
          <s v="14.Eyl"/>
          <s v="15.Eyl"/>
          <s v="16.Eyl"/>
          <s v="17.Eyl"/>
          <s v="18.Eyl"/>
          <s v="19.Eyl"/>
          <s v="20.Eyl"/>
          <s v="21.Eyl"/>
          <s v="22.Eyl"/>
          <s v="23.Eyl"/>
          <s v="24.Eyl"/>
          <s v="25.Eyl"/>
          <s v="26.Eyl"/>
          <s v="27.Eyl"/>
          <s v="28.Eyl"/>
          <s v="29.Eyl"/>
          <s v="30.Eyl"/>
          <s v="01.Eki"/>
          <s v="02.Eki"/>
          <s v="03.Eki"/>
          <s v="04.Eki"/>
          <s v="05.Eki"/>
          <s v="06.Eki"/>
          <s v="07.Eki"/>
          <s v="08.Eki"/>
          <s v="09.Eki"/>
          <s v="10.Eki"/>
          <s v="11.Eki"/>
          <s v="12.Eki"/>
          <s v="13.Eki"/>
          <s v="14.Eki"/>
          <s v="15.Eki"/>
          <s v="16.Eki"/>
          <s v="17.Eki"/>
          <s v="18.Eki"/>
          <s v="19.Eki"/>
          <s v="20.Eki"/>
          <s v="21.Eki"/>
          <s v="22.Eki"/>
          <s v="23.Eki"/>
          <s v="24.Eki"/>
          <s v="25.Eki"/>
          <s v="26.Eki"/>
          <s v="27.Eki"/>
          <s v="28.Eki"/>
          <s v="29.Eki"/>
          <s v="30.Eki"/>
          <s v="31.Eki"/>
          <s v="01.Kas"/>
          <s v="02.Kas"/>
          <s v="03.Kas"/>
          <s v="04.Kas"/>
          <s v="05.Kas"/>
          <s v="06.Kas"/>
          <s v="07.Kas"/>
          <s v="08.Kas"/>
          <s v="09.Kas"/>
          <s v="10.Kas"/>
          <s v="11.Kas"/>
          <s v="12.Kas"/>
          <s v="13.Kas"/>
          <s v="14.Kas"/>
          <s v="15.Kas"/>
          <s v="16.Kas"/>
          <s v="17.Kas"/>
          <s v="18.Kas"/>
          <s v="19.Kas"/>
          <s v="20.Kas"/>
          <s v="21.Kas"/>
          <s v="22.Kas"/>
          <s v="23.Kas"/>
          <s v="24.Kas"/>
          <s v="25.Kas"/>
          <s v="26.Kas"/>
          <s v="27.Kas"/>
          <s v="28.Kas"/>
          <s v="29.Kas"/>
          <s v="30.Kas"/>
          <s v="01.Ara"/>
          <s v="02.Ara"/>
          <s v="03.Ara"/>
          <s v="04.Ara"/>
          <s v="05.Ara"/>
          <s v="06.Ara"/>
          <s v="07.Ara"/>
          <s v="08.Ara"/>
          <s v="09.Ara"/>
          <s v="10.Ara"/>
          <s v="11.Ara"/>
          <s v="12.Ara"/>
          <s v="13.Ara"/>
          <s v="14.Ara"/>
          <s v="15.Ara"/>
          <s v="16.Ara"/>
          <s v="17.Ara"/>
          <s v="18.Ara"/>
          <s v="19.Ara"/>
          <s v="20.Ara"/>
          <s v="21.Ara"/>
          <s v="22.Ara"/>
          <s v="23.Ara"/>
          <s v="24.Ara"/>
          <s v="25.Ara"/>
          <s v="26.Ara"/>
          <s v="27.Ara"/>
          <s v="28.Ara"/>
          <s v="29.Ara"/>
          <s v="30.Ara"/>
          <s v="31.Ara"/>
          <s v="&gt;28.10.2024"/>
        </groupItems>
      </fieldGroup>
    </cacheField>
    <cacheField name="Months (ProductionDate)" numFmtId="0" databaseField="0">
      <fieldGroup base="0">
        <rangePr groupBy="months" startDate="2024-01-01T00:00:00" endDate="2024-10-28T00:00:00"/>
        <groupItems count="14">
          <s v="&lt;01.01.2024"/>
          <s v="Oca"/>
          <s v="Şub"/>
          <s v="Mar"/>
          <s v="Nis"/>
          <s v="May"/>
          <s v="Haz"/>
          <s v="Tem"/>
          <s v="Ağu"/>
          <s v="Eyl"/>
          <s v="Eki"/>
          <s v="Kas"/>
          <s v="Ara"/>
          <s v="&gt;28.10.2024"/>
        </groupItems>
      </fieldGroup>
    </cacheField>
  </cacheFields>
  <extLst>
    <ext xmlns:x14="http://schemas.microsoft.com/office/spreadsheetml/2009/9/main" uri="{725AE2AE-9491-48be-B2B4-4EB974FC3084}">
      <x14:pivotCacheDefinition pivotCacheId="554355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2"/>
    <n v="11.35"/>
    <n v="5"/>
    <n v="465.16"/>
    <n v="83"/>
    <x v="0"/>
    <n v="30"/>
    <n v="306"/>
    <s v=""/>
    <x v="0"/>
    <n v="9.8000000000000007"/>
    <n v="78.400000000000006"/>
    <n v="643.47"/>
    <n v="113.5"/>
    <n v="1108.6300000000001"/>
    <x v="0"/>
    <s v="12"/>
    <x v="0"/>
    <n v="0"/>
    <n v="1.2441598592351144E-2"/>
    <n v="0.05"/>
    <n v="10.336579999999996"/>
    <n v="5.5065487833669513"/>
  </r>
  <r>
    <x v="1"/>
    <x v="1"/>
    <x v="1"/>
    <x v="1"/>
    <x v="1"/>
    <x v="1"/>
    <x v="1"/>
    <x v="1"/>
    <n v="5"/>
    <n v="6.13"/>
    <n v="4"/>
    <n v="305.81"/>
    <n v="38"/>
    <x v="0"/>
    <n v="41"/>
    <n v="785"/>
    <s v=""/>
    <x v="1"/>
    <n v="5.22"/>
    <n v="84.56"/>
    <n v="193.68"/>
    <n v="122.6"/>
    <n v="499.49"/>
    <x v="0"/>
    <s v="8"/>
    <x v="1"/>
    <n v="55"/>
    <n v="2.3031727912103513E-2"/>
    <n v="0.05"/>
    <m/>
    <m/>
  </r>
  <r>
    <x v="2"/>
    <x v="2"/>
    <x v="0"/>
    <x v="2"/>
    <x v="2"/>
    <x v="2"/>
    <x v="2"/>
    <x v="2"/>
    <n v="3"/>
    <n v="14.35"/>
    <n v="5"/>
    <n v="213.68"/>
    <n v="74"/>
    <x v="1"/>
    <n v="38"/>
    <n v="795"/>
    <s v=""/>
    <x v="2"/>
    <n v="4.78"/>
    <n v="87.44"/>
    <n v="263.54000000000002"/>
    <n v="215.25"/>
    <n v="477.22"/>
    <x v="0"/>
    <s v="16"/>
    <x v="2"/>
    <n v="112"/>
    <n v="3.7366807952180968E-2"/>
    <n v="0.05"/>
    <m/>
    <m/>
  </r>
  <r>
    <x v="3"/>
    <x v="1"/>
    <x v="0"/>
    <x v="3"/>
    <x v="0"/>
    <x v="3"/>
    <x v="1"/>
    <x v="0"/>
    <n v="5"/>
    <n v="13.52"/>
    <n v="8"/>
    <n v="390.44"/>
    <n v="21"/>
    <x v="2"/>
    <n v="29"/>
    <n v="364"/>
    <s v=""/>
    <x v="3"/>
    <n v="7.97"/>
    <n v="79.06"/>
    <n v="136.65"/>
    <n v="540.79999999999995"/>
    <n v="527.09"/>
    <x v="0"/>
    <s v="14"/>
    <x v="3"/>
    <n v="106"/>
    <n v="5.3131811279245551E-2"/>
    <n v="0.05"/>
    <m/>
    <m/>
  </r>
  <r>
    <x v="4"/>
    <x v="1"/>
    <x v="2"/>
    <x v="4"/>
    <x v="1"/>
    <x v="1"/>
    <x v="1"/>
    <x v="3"/>
    <n v="5"/>
    <n v="19.79"/>
    <n v="4"/>
    <n v="165.81"/>
    <n v="24"/>
    <x v="3"/>
    <n v="43"/>
    <n v="857"/>
    <s v=""/>
    <x v="0"/>
    <n v="5.0199999999999996"/>
    <n v="84.96"/>
    <n v="66.319999999999993"/>
    <n v="395.79999999999995"/>
    <n v="232.13"/>
    <x v="1"/>
    <s v="20"/>
    <x v="4"/>
    <n v="110"/>
    <n v="6.6211341260927217E-2"/>
    <n v="0.05"/>
    <m/>
    <m/>
  </r>
  <r>
    <x v="5"/>
    <x v="3"/>
    <x v="0"/>
    <x v="4"/>
    <x v="3"/>
    <x v="0"/>
    <x v="3"/>
    <x v="0"/>
    <n v="1"/>
    <n v="6.04"/>
    <n v="9"/>
    <n v="362.08"/>
    <n v="77"/>
    <x v="1"/>
    <n v="39"/>
    <n v="135"/>
    <s v=""/>
    <x v="2"/>
    <n v="28.89"/>
    <n v="41.22"/>
    <n v="464.67"/>
    <n v="54.36"/>
    <n v="826.75"/>
    <x v="0"/>
    <s v="8"/>
    <x v="5"/>
    <n v="106"/>
    <n v="7.2313485099237046E-2"/>
    <n v="0.05"/>
    <m/>
    <m/>
  </r>
  <r>
    <x v="6"/>
    <x v="2"/>
    <x v="2"/>
    <x v="5"/>
    <x v="0"/>
    <x v="4"/>
    <x v="0"/>
    <x v="0"/>
    <n v="1"/>
    <n v="13.77"/>
    <n v="7"/>
    <n v="67.87"/>
    <n v="63"/>
    <x v="4"/>
    <n v="4"/>
    <n v="472"/>
    <s v=""/>
    <x v="3"/>
    <n v="0.85"/>
    <n v="97.3"/>
    <n v="71.260000000000005"/>
    <n v="96.39"/>
    <n v="139.13"/>
    <x v="0"/>
    <s v="14"/>
    <x v="6"/>
    <n v="118"/>
    <n v="6.9217409621967027E-2"/>
    <n v="0.05"/>
    <m/>
    <m/>
  </r>
  <r>
    <x v="7"/>
    <x v="2"/>
    <x v="0"/>
    <x v="5"/>
    <x v="1"/>
    <x v="5"/>
    <x v="1"/>
    <x v="2"/>
    <n v="1"/>
    <n v="1.99"/>
    <n v="7"/>
    <n v="427.73"/>
    <n v="73"/>
    <x v="3"/>
    <n v="5"/>
    <n v="587"/>
    <s v=""/>
    <x v="4"/>
    <n v="0.85"/>
    <n v="97.3"/>
    <n v="520.4"/>
    <n v="13.93"/>
    <n v="948.13"/>
    <x v="2"/>
    <s v="2"/>
    <x v="7"/>
    <n v="90"/>
    <n v="5.8065816170316614E-2"/>
    <n v="0.05"/>
    <m/>
    <m/>
  </r>
  <r>
    <x v="8"/>
    <x v="2"/>
    <x v="0"/>
    <x v="6"/>
    <x v="3"/>
    <x v="6"/>
    <x v="4"/>
    <x v="4"/>
    <n v="5"/>
    <n v="3.16"/>
    <n v="8"/>
    <n v="251.68"/>
    <n v="37"/>
    <x v="4"/>
    <n v="4"/>
    <n v="358"/>
    <s v=""/>
    <x v="2"/>
    <n v="1.1200000000000001"/>
    <n v="92.76"/>
    <n v="155.19999999999999"/>
    <n v="126.4"/>
    <n v="406.88"/>
    <x v="2"/>
    <s v="4"/>
    <x v="8"/>
    <n v="89"/>
    <n v="4.2690856703023423E-2"/>
    <n v="0.05"/>
    <m/>
    <m/>
  </r>
  <r>
    <x v="9"/>
    <x v="1"/>
    <x v="0"/>
    <x v="6"/>
    <x v="2"/>
    <x v="7"/>
    <x v="0"/>
    <x v="4"/>
    <n v="2"/>
    <n v="1.07"/>
    <n v="6"/>
    <n v="336.51"/>
    <n v="82"/>
    <x v="5"/>
    <n v="36"/>
    <n v="630"/>
    <s v=""/>
    <x v="4"/>
    <n v="5.71"/>
    <n v="86.58"/>
    <n v="459.9"/>
    <n v="12.84"/>
    <n v="796.41"/>
    <x v="2"/>
    <s v="2"/>
    <x v="9"/>
    <n v="105"/>
    <n v="2.7507957723653952E-2"/>
    <n v="0.05"/>
    <m/>
    <m/>
  </r>
  <r>
    <x v="10"/>
    <x v="0"/>
    <x v="2"/>
    <x v="1"/>
    <x v="2"/>
    <x v="5"/>
    <x v="2"/>
    <x v="4"/>
    <n v="3"/>
    <n v="19.989999999999998"/>
    <n v="8"/>
    <n v="149.56"/>
    <n v="21"/>
    <x v="4"/>
    <n v="45"/>
    <n v="122"/>
    <s v=""/>
    <x v="1"/>
    <n v="36.89"/>
    <n v="23.22"/>
    <n v="52.35"/>
    <n v="479.76"/>
    <n v="201.91"/>
    <x v="1"/>
    <s v="20"/>
    <x v="10"/>
    <n v="109"/>
    <n v="1.5534274282897638E-2"/>
    <n v="0.05"/>
    <m/>
    <m/>
  </r>
  <r>
    <x v="11"/>
    <x v="2"/>
    <x v="2"/>
    <x v="7"/>
    <x v="2"/>
    <x v="1"/>
    <x v="3"/>
    <x v="0"/>
    <n v="3"/>
    <n v="16.239999999999998"/>
    <n v="3"/>
    <n v="354.68"/>
    <n v="61"/>
    <x v="3"/>
    <n v="16"/>
    <n v="203"/>
    <s v=""/>
    <x v="4"/>
    <n v="7.88"/>
    <n v="81.239999999999995"/>
    <n v="360.59"/>
    <n v="146.16"/>
    <n v="715.27"/>
    <x v="1"/>
    <s v="18"/>
    <x v="11"/>
    <m/>
    <m/>
    <m/>
    <m/>
    <m/>
  </r>
  <r>
    <x v="12"/>
    <x v="4"/>
    <x v="1"/>
    <x v="5"/>
    <x v="2"/>
    <x v="6"/>
    <x v="2"/>
    <x v="2"/>
    <n v="2"/>
    <n v="15.95"/>
    <n v="1"/>
    <n v="397.51"/>
    <n v="87"/>
    <x v="5"/>
    <n v="25"/>
    <n v="340"/>
    <s v=""/>
    <x v="2"/>
    <n v="7.35"/>
    <n v="83.3"/>
    <n v="576.39"/>
    <n v="31.9"/>
    <n v="973.9"/>
    <x v="1"/>
    <s v="16"/>
    <x v="11"/>
    <m/>
    <m/>
    <m/>
    <m/>
    <m/>
  </r>
  <r>
    <x v="13"/>
    <x v="1"/>
    <x v="2"/>
    <x v="8"/>
    <x v="4"/>
    <x v="8"/>
    <x v="2"/>
    <x v="1"/>
    <n v="2"/>
    <n v="10.68"/>
    <n v="6"/>
    <n v="262.95"/>
    <n v="5"/>
    <x v="3"/>
    <n v="14"/>
    <n v="972"/>
    <s v=""/>
    <x v="4"/>
    <n v="1.44"/>
    <n v="95.12"/>
    <n v="21.91"/>
    <n v="128.16"/>
    <n v="284.86"/>
    <x v="0"/>
    <s v="12"/>
    <x v="11"/>
    <m/>
    <m/>
    <m/>
    <m/>
    <m/>
  </r>
  <r>
    <x v="14"/>
    <x v="3"/>
    <x v="2"/>
    <x v="6"/>
    <x v="0"/>
    <x v="9"/>
    <x v="0"/>
    <x v="0"/>
    <n v="3"/>
    <n v="6.7"/>
    <n v="1"/>
    <n v="327.98"/>
    <n v="17"/>
    <x v="0"/>
    <n v="11"/>
    <n v="815"/>
    <s v=""/>
    <x v="0"/>
    <n v="1.35"/>
    <n v="94.3"/>
    <n v="92.93"/>
    <n v="20.100000000000001"/>
    <n v="420.91"/>
    <x v="0"/>
    <s v="8"/>
    <x v="11"/>
    <m/>
    <m/>
    <m/>
    <m/>
    <m/>
  </r>
  <r>
    <x v="15"/>
    <x v="0"/>
    <x v="2"/>
    <x v="4"/>
    <x v="0"/>
    <x v="10"/>
    <x v="2"/>
    <x v="0"/>
    <n v="4"/>
    <n v="3.87"/>
    <n v="9"/>
    <n v="255.35"/>
    <n v="31"/>
    <x v="3"/>
    <n v="29"/>
    <n v="352"/>
    <s v=""/>
    <x v="2"/>
    <n v="8.24"/>
    <n v="79.52"/>
    <n v="131.93"/>
    <n v="139.32"/>
    <n v="387.28"/>
    <x v="2"/>
    <s v="4"/>
    <x v="11"/>
    <m/>
    <m/>
    <m/>
    <m/>
    <m/>
  </r>
  <r>
    <x v="16"/>
    <x v="4"/>
    <x v="2"/>
    <x v="3"/>
    <x v="4"/>
    <x v="2"/>
    <x v="1"/>
    <x v="2"/>
    <n v="1"/>
    <n v="6.41"/>
    <n v="2"/>
    <n v="452.34"/>
    <n v="74"/>
    <x v="5"/>
    <n v="34"/>
    <n v="241"/>
    <s v=""/>
    <x v="3"/>
    <n v="14.11"/>
    <n v="70.78"/>
    <n v="557.89"/>
    <n v="12.82"/>
    <n v="1010.23"/>
    <x v="0"/>
    <s v="8"/>
    <x v="11"/>
    <m/>
    <m/>
    <m/>
    <m/>
    <m/>
  </r>
  <r>
    <x v="17"/>
    <x v="4"/>
    <x v="1"/>
    <x v="9"/>
    <x v="1"/>
    <x v="11"/>
    <x v="2"/>
    <x v="3"/>
    <n v="1"/>
    <n v="8.14"/>
    <n v="2"/>
    <n v="274.04000000000002"/>
    <n v="63"/>
    <x v="4"/>
    <n v="22"/>
    <n v="913"/>
    <s v=""/>
    <x v="4"/>
    <n v="2.41"/>
    <n v="94.18"/>
    <n v="287.74"/>
    <n v="16.28"/>
    <n v="561.78"/>
    <x v="0"/>
    <s v="10"/>
    <x v="11"/>
    <m/>
    <m/>
    <m/>
    <m/>
    <m/>
  </r>
  <r>
    <x v="18"/>
    <x v="3"/>
    <x v="2"/>
    <x v="3"/>
    <x v="1"/>
    <x v="12"/>
    <x v="3"/>
    <x v="0"/>
    <n v="3"/>
    <n v="15.37"/>
    <n v="7"/>
    <n v="428.81"/>
    <n v="10"/>
    <x v="0"/>
    <n v="14"/>
    <n v="754"/>
    <s v=""/>
    <x v="0"/>
    <n v="1.86"/>
    <n v="93.28"/>
    <n v="71.47"/>
    <n v="322.77"/>
    <n v="500.28"/>
    <x v="1"/>
    <s v="16"/>
    <x v="11"/>
    <m/>
    <m/>
    <m/>
    <m/>
    <m/>
  </r>
  <r>
    <x v="19"/>
    <x v="0"/>
    <x v="0"/>
    <x v="6"/>
    <x v="2"/>
    <x v="2"/>
    <x v="3"/>
    <x v="3"/>
    <n v="2"/>
    <n v="11.25"/>
    <n v="2"/>
    <n v="410.61"/>
    <n v="27"/>
    <x v="2"/>
    <n v="24"/>
    <n v="550"/>
    <s v=""/>
    <x v="1"/>
    <n v="4.3600000000000003"/>
    <n v="89.28"/>
    <n v="184.77"/>
    <n v="45"/>
    <n v="595.38"/>
    <x v="0"/>
    <s v="12"/>
    <x v="11"/>
    <m/>
    <m/>
    <m/>
    <m/>
    <m/>
  </r>
  <r>
    <x v="20"/>
    <x v="1"/>
    <x v="0"/>
    <x v="10"/>
    <x v="3"/>
    <x v="7"/>
    <x v="4"/>
    <x v="3"/>
    <n v="4"/>
    <n v="2.4700000000000002"/>
    <n v="8"/>
    <n v="234.73"/>
    <n v="14"/>
    <x v="2"/>
    <n v="39"/>
    <n v="882"/>
    <s v=""/>
    <x v="1"/>
    <n v="4.42"/>
    <n v="87.16"/>
    <n v="54.77"/>
    <n v="79.040000000000006"/>
    <n v="289.5"/>
    <x v="2"/>
    <s v="4"/>
    <x v="11"/>
    <m/>
    <m/>
    <m/>
    <m/>
    <m/>
  </r>
  <r>
    <x v="21"/>
    <x v="5"/>
    <x v="2"/>
    <x v="11"/>
    <x v="1"/>
    <x v="4"/>
    <x v="3"/>
    <x v="4"/>
    <n v="3"/>
    <n v="1.34"/>
    <n v="6"/>
    <n v="153.54"/>
    <n v="55"/>
    <x v="2"/>
    <n v="26"/>
    <n v="406"/>
    <s v=""/>
    <x v="4"/>
    <n v="6.4"/>
    <n v="84.2"/>
    <n v="140.74"/>
    <n v="24.12"/>
    <n v="294.27999999999997"/>
    <x v="2"/>
    <s v="2"/>
    <x v="11"/>
    <m/>
    <m/>
    <m/>
    <m/>
    <m/>
  </r>
  <r>
    <x v="22"/>
    <x v="0"/>
    <x v="2"/>
    <x v="12"/>
    <x v="3"/>
    <x v="13"/>
    <x v="2"/>
    <x v="2"/>
    <n v="1"/>
    <n v="2.94"/>
    <n v="7"/>
    <n v="232.74"/>
    <n v="23"/>
    <x v="2"/>
    <n v="43"/>
    <n v="599"/>
    <s v=""/>
    <x v="1"/>
    <n v="7.18"/>
    <n v="84.64"/>
    <n v="89.22"/>
    <n v="20.58"/>
    <n v="321.96000000000004"/>
    <x v="2"/>
    <s v="4"/>
    <x v="11"/>
    <m/>
    <m/>
    <m/>
    <m/>
    <m/>
  </r>
  <r>
    <x v="23"/>
    <x v="3"/>
    <x v="0"/>
    <x v="0"/>
    <x v="0"/>
    <x v="13"/>
    <x v="3"/>
    <x v="3"/>
    <n v="5"/>
    <n v="8.8000000000000007"/>
    <n v="7"/>
    <n v="421.8"/>
    <n v="55"/>
    <x v="1"/>
    <n v="36"/>
    <n v="721"/>
    <s v=""/>
    <x v="3"/>
    <n v="4.99"/>
    <n v="85.02"/>
    <n v="386.65"/>
    <n v="308"/>
    <n v="808.45"/>
    <x v="0"/>
    <s v="10"/>
    <x v="11"/>
    <m/>
    <m/>
    <m/>
    <m/>
    <m/>
  </r>
  <r>
    <x v="24"/>
    <x v="4"/>
    <x v="0"/>
    <x v="6"/>
    <x v="3"/>
    <x v="12"/>
    <x v="0"/>
    <x v="2"/>
    <n v="2"/>
    <n v="18.73"/>
    <n v="6"/>
    <n v="152.43"/>
    <n v="72"/>
    <x v="2"/>
    <n v="39"/>
    <n v="107"/>
    <s v=""/>
    <x v="2"/>
    <n v="36.450000000000003"/>
    <n v="25.1"/>
    <n v="182.92"/>
    <n v="224.76"/>
    <n v="335.35"/>
    <x v="1"/>
    <s v="20"/>
    <x v="11"/>
    <m/>
    <m/>
    <m/>
    <m/>
    <m/>
  </r>
  <r>
    <x v="25"/>
    <x v="1"/>
    <x v="1"/>
    <x v="12"/>
    <x v="0"/>
    <x v="9"/>
    <x v="3"/>
    <x v="4"/>
    <n v="5"/>
    <n v="13.11"/>
    <n v="9"/>
    <n v="286"/>
    <n v="88"/>
    <x v="5"/>
    <n v="16"/>
    <n v="168"/>
    <s v=""/>
    <x v="0"/>
    <n v="9.52"/>
    <n v="75.959999999999994"/>
    <n v="419.47"/>
    <n v="589.94999999999993"/>
    <n v="705.47"/>
    <x v="0"/>
    <s v="14"/>
    <x v="11"/>
    <m/>
    <m/>
    <m/>
    <m/>
    <m/>
  </r>
  <r>
    <x v="26"/>
    <x v="0"/>
    <x v="0"/>
    <x v="13"/>
    <x v="4"/>
    <x v="1"/>
    <x v="1"/>
    <x v="2"/>
    <n v="3"/>
    <n v="16.23"/>
    <n v="9"/>
    <n v="412.74"/>
    <n v="87"/>
    <x v="2"/>
    <n v="38"/>
    <n v="801"/>
    <s v=""/>
    <x v="4"/>
    <n v="4.74"/>
    <n v="87.52"/>
    <n v="598.47"/>
    <n v="438.21000000000004"/>
    <n v="1011.21"/>
    <x v="1"/>
    <s v="18"/>
    <x v="11"/>
    <m/>
    <m/>
    <m/>
    <m/>
    <m/>
  </r>
  <r>
    <x v="27"/>
    <x v="5"/>
    <x v="0"/>
    <x v="14"/>
    <x v="4"/>
    <x v="14"/>
    <x v="0"/>
    <x v="0"/>
    <n v="1"/>
    <n v="9.86"/>
    <n v="7"/>
    <n v="209.06"/>
    <n v="46"/>
    <x v="3"/>
    <n v="32"/>
    <n v="790"/>
    <s v="Rutin kontrol"/>
    <x v="1"/>
    <n v="4.05"/>
    <n v="90.9"/>
    <n v="160.28"/>
    <n v="69.02"/>
    <n v="369.34000000000003"/>
    <x v="0"/>
    <s v="10"/>
    <x v="11"/>
    <m/>
    <m/>
    <m/>
    <m/>
    <m/>
  </r>
  <r>
    <x v="28"/>
    <x v="5"/>
    <x v="2"/>
    <x v="15"/>
    <x v="2"/>
    <x v="0"/>
    <x v="4"/>
    <x v="3"/>
    <n v="4"/>
    <n v="7.87"/>
    <n v="9"/>
    <n v="338.99"/>
    <n v="61"/>
    <x v="2"/>
    <n v="6"/>
    <n v="674"/>
    <s v=""/>
    <x v="2"/>
    <n v="0.89"/>
    <n v="94.22"/>
    <n v="344.64"/>
    <n v="283.32"/>
    <n v="683.63"/>
    <x v="0"/>
    <s v="8"/>
    <x v="11"/>
    <m/>
    <m/>
    <m/>
    <m/>
    <m/>
  </r>
  <r>
    <x v="29"/>
    <x v="2"/>
    <x v="0"/>
    <x v="4"/>
    <x v="1"/>
    <x v="5"/>
    <x v="1"/>
    <x v="2"/>
    <n v="5"/>
    <n v="3.06"/>
    <n v="3"/>
    <n v="160.53"/>
    <n v="72"/>
    <x v="4"/>
    <n v="34"/>
    <n v="167"/>
    <s v=""/>
    <x v="3"/>
    <n v="20.36"/>
    <n v="54.28"/>
    <n v="192.64"/>
    <n v="45.9"/>
    <n v="353.16999999999996"/>
    <x v="2"/>
    <s v="4"/>
    <x v="11"/>
    <m/>
    <m/>
    <m/>
    <m/>
    <m/>
  </r>
  <r>
    <x v="30"/>
    <x v="2"/>
    <x v="1"/>
    <x v="16"/>
    <x v="2"/>
    <x v="15"/>
    <x v="2"/>
    <x v="1"/>
    <n v="4"/>
    <n v="17.64"/>
    <n v="3"/>
    <n v="99.18"/>
    <n v="42"/>
    <x v="5"/>
    <n v="8"/>
    <n v="817"/>
    <s v=""/>
    <x v="1"/>
    <n v="0.98"/>
    <n v="94.04"/>
    <n v="69.430000000000007"/>
    <n v="211.68"/>
    <n v="168.61"/>
    <x v="1"/>
    <s v="18"/>
    <x v="11"/>
    <m/>
    <m/>
    <m/>
    <m/>
    <m/>
  </r>
  <r>
    <x v="31"/>
    <x v="3"/>
    <x v="0"/>
    <x v="17"/>
    <x v="0"/>
    <x v="12"/>
    <x v="2"/>
    <x v="2"/>
    <n v="1"/>
    <n v="15.88"/>
    <n v="1"/>
    <n v="407.47"/>
    <n v="66"/>
    <x v="5"/>
    <n v="30"/>
    <n v="507"/>
    <s v=""/>
    <x v="1"/>
    <n v="5.92"/>
    <n v="87.16"/>
    <n v="448.22"/>
    <n v="15.88"/>
    <n v="855.69"/>
    <x v="1"/>
    <s v="16"/>
    <x v="11"/>
    <m/>
    <m/>
    <m/>
    <m/>
    <m/>
  </r>
  <r>
    <x v="32"/>
    <x v="0"/>
    <x v="2"/>
    <x v="10"/>
    <x v="2"/>
    <x v="14"/>
    <x v="2"/>
    <x v="3"/>
    <n v="5"/>
    <n v="4.1900000000000004"/>
    <n v="5"/>
    <n v="94.54"/>
    <n v="11"/>
    <x v="0"/>
    <n v="27"/>
    <n v="617"/>
    <s v=""/>
    <x v="0"/>
    <n v="4.38"/>
    <n v="86.24"/>
    <n v="17.329999999999998"/>
    <n v="104.75000000000001"/>
    <n v="111.87"/>
    <x v="2"/>
    <s v="6"/>
    <x v="11"/>
    <m/>
    <m/>
    <m/>
    <m/>
    <m/>
  </r>
  <r>
    <x v="33"/>
    <x v="0"/>
    <x v="2"/>
    <x v="7"/>
    <x v="3"/>
    <x v="5"/>
    <x v="1"/>
    <x v="4"/>
    <n v="4"/>
    <n v="10.73"/>
    <n v="4"/>
    <n v="172.12"/>
    <n v="75"/>
    <x v="1"/>
    <n v="7"/>
    <n v="218"/>
    <s v=""/>
    <x v="3"/>
    <n v="3.21"/>
    <n v="89.58"/>
    <n v="215.15"/>
    <n v="171.68"/>
    <n v="387.27"/>
    <x v="0"/>
    <s v="12"/>
    <x v="11"/>
    <m/>
    <m/>
    <m/>
    <m/>
    <m/>
  </r>
  <r>
    <x v="34"/>
    <x v="4"/>
    <x v="0"/>
    <x v="4"/>
    <x v="0"/>
    <x v="0"/>
    <x v="1"/>
    <x v="4"/>
    <n v="4"/>
    <n v="10.26"/>
    <n v="2"/>
    <n v="434.8"/>
    <n v="54"/>
    <x v="3"/>
    <n v="27"/>
    <n v="924"/>
    <s v=""/>
    <x v="3"/>
    <n v="2.92"/>
    <n v="90.16"/>
    <n v="391.32"/>
    <n v="82.08"/>
    <n v="826.12"/>
    <x v="0"/>
    <s v="12"/>
    <x v="11"/>
    <m/>
    <m/>
    <m/>
    <m/>
    <m/>
  </r>
  <r>
    <x v="35"/>
    <x v="4"/>
    <x v="2"/>
    <x v="17"/>
    <x v="4"/>
    <x v="11"/>
    <x v="1"/>
    <x v="3"/>
    <n v="5"/>
    <n v="12.88"/>
    <n v="9"/>
    <n v="205.91"/>
    <n v="56"/>
    <x v="5"/>
    <n v="25"/>
    <n v="130"/>
    <s v=""/>
    <x v="4"/>
    <n v="19.23"/>
    <n v="56.54"/>
    <n v="192.18"/>
    <n v="579.6"/>
    <n v="398.09000000000003"/>
    <x v="0"/>
    <s v="14"/>
    <x v="11"/>
    <m/>
    <m/>
    <m/>
    <m/>
    <m/>
  </r>
  <r>
    <x v="36"/>
    <x v="4"/>
    <x v="1"/>
    <x v="3"/>
    <x v="1"/>
    <x v="2"/>
    <x v="0"/>
    <x v="0"/>
    <n v="1"/>
    <n v="18.98"/>
    <n v="3"/>
    <n v="487.87"/>
    <n v="30"/>
    <x v="4"/>
    <n v="46"/>
    <n v="617"/>
    <s v=""/>
    <x v="0"/>
    <n v="7.46"/>
    <n v="84.08"/>
    <n v="243.94"/>
    <n v="56.94"/>
    <n v="731.81"/>
    <x v="1"/>
    <s v="20"/>
    <x v="11"/>
    <m/>
    <m/>
    <m/>
    <m/>
    <m/>
  </r>
  <r>
    <x v="36"/>
    <x v="2"/>
    <x v="1"/>
    <x v="16"/>
    <x v="0"/>
    <x v="10"/>
    <x v="0"/>
    <x v="0"/>
    <n v="4"/>
    <n v="12.02"/>
    <n v="8"/>
    <n v="490.88"/>
    <n v="30"/>
    <x v="2"/>
    <n v="41"/>
    <n v="582"/>
    <s v=""/>
    <x v="4"/>
    <n v="7.04"/>
    <n v="81.92"/>
    <n v="245.44"/>
    <n v="384.64"/>
    <n v="736.31999999999994"/>
    <x v="0"/>
    <s v="14"/>
    <x v="11"/>
    <m/>
    <m/>
    <m/>
    <m/>
    <m/>
  </r>
  <r>
    <x v="37"/>
    <x v="0"/>
    <x v="0"/>
    <x v="6"/>
    <x v="0"/>
    <x v="16"/>
    <x v="2"/>
    <x v="4"/>
    <n v="3"/>
    <n v="11.26"/>
    <n v="6"/>
    <n v="170.72"/>
    <n v="23"/>
    <x v="5"/>
    <n v="15"/>
    <n v="306"/>
    <s v=""/>
    <x v="0"/>
    <n v="4.9000000000000004"/>
    <n v="87.2"/>
    <n v="65.44"/>
    <n v="202.68"/>
    <n v="236.16"/>
    <x v="0"/>
    <s v="12"/>
    <x v="11"/>
    <m/>
    <m/>
    <m/>
    <m/>
    <m/>
  </r>
  <r>
    <x v="38"/>
    <x v="0"/>
    <x v="0"/>
    <x v="11"/>
    <x v="3"/>
    <x v="2"/>
    <x v="3"/>
    <x v="4"/>
    <n v="5"/>
    <n v="1.96"/>
    <n v="5"/>
    <n v="68.44"/>
    <n v="13"/>
    <x v="4"/>
    <n v="25"/>
    <n v="768"/>
    <s v=""/>
    <x v="3"/>
    <n v="3.26"/>
    <n v="88.48"/>
    <n v="14.83"/>
    <n v="49"/>
    <n v="83.27"/>
    <x v="2"/>
    <s v="2"/>
    <x v="11"/>
    <m/>
    <m/>
    <m/>
    <m/>
    <m/>
  </r>
  <r>
    <x v="39"/>
    <x v="5"/>
    <x v="0"/>
    <x v="7"/>
    <x v="1"/>
    <x v="17"/>
    <x v="2"/>
    <x v="3"/>
    <n v="2"/>
    <n v="2.2000000000000002"/>
    <n v="1"/>
    <n v="367.28"/>
    <n v="65"/>
    <x v="2"/>
    <n v="22"/>
    <n v="678"/>
    <s v=""/>
    <x v="0"/>
    <n v="3.24"/>
    <n v="91.52"/>
    <n v="397.89"/>
    <n v="4.4000000000000004"/>
    <n v="765.17"/>
    <x v="2"/>
    <s v="4"/>
    <x v="11"/>
    <m/>
    <m/>
    <m/>
    <m/>
    <m/>
  </r>
  <r>
    <x v="40"/>
    <x v="2"/>
    <x v="2"/>
    <x v="18"/>
    <x v="4"/>
    <x v="14"/>
    <x v="4"/>
    <x v="0"/>
    <n v="2"/>
    <n v="4.5599999999999996"/>
    <n v="4"/>
    <n v="252.94"/>
    <n v="24"/>
    <x v="1"/>
    <n v="18"/>
    <n v="486"/>
    <s v=""/>
    <x v="0"/>
    <n v="3.7"/>
    <n v="90.6"/>
    <n v="101.18"/>
    <n v="36.479999999999997"/>
    <n v="354.12"/>
    <x v="2"/>
    <s v="6"/>
    <x v="11"/>
    <m/>
    <m/>
    <m/>
    <m/>
    <m/>
  </r>
  <r>
    <x v="41"/>
    <x v="1"/>
    <x v="1"/>
    <x v="7"/>
    <x v="0"/>
    <x v="18"/>
    <x v="0"/>
    <x v="4"/>
    <n v="1"/>
    <n v="1.62"/>
    <n v="3"/>
    <n v="95.34"/>
    <n v="54"/>
    <x v="5"/>
    <n v="12"/>
    <n v="511"/>
    <s v=""/>
    <x v="0"/>
    <n v="2.35"/>
    <n v="94.3"/>
    <n v="85.81"/>
    <n v="4.8600000000000003"/>
    <n v="181.15"/>
    <x v="2"/>
    <s v="2"/>
    <x v="11"/>
    <m/>
    <m/>
    <m/>
    <m/>
    <m/>
  </r>
  <r>
    <x v="42"/>
    <x v="2"/>
    <x v="1"/>
    <x v="18"/>
    <x v="0"/>
    <x v="17"/>
    <x v="1"/>
    <x v="0"/>
    <n v="3"/>
    <n v="15.12"/>
    <n v="1"/>
    <n v="368.39"/>
    <n v="84"/>
    <x v="5"/>
    <n v="23"/>
    <n v="941"/>
    <s v=""/>
    <x v="2"/>
    <n v="2.44"/>
    <n v="92.12"/>
    <n v="515.75"/>
    <n v="45.36"/>
    <n v="884.14"/>
    <x v="1"/>
    <s v="16"/>
    <x v="11"/>
    <m/>
    <m/>
    <m/>
    <m/>
    <m/>
  </r>
  <r>
    <x v="43"/>
    <x v="1"/>
    <x v="2"/>
    <x v="13"/>
    <x v="3"/>
    <x v="0"/>
    <x v="0"/>
    <x v="4"/>
    <n v="4"/>
    <n v="14.74"/>
    <n v="5"/>
    <n v="64.03"/>
    <n v="85"/>
    <x v="4"/>
    <n v="45"/>
    <n v="469"/>
    <s v=""/>
    <x v="2"/>
    <n v="9.59"/>
    <n v="76.819999999999993"/>
    <n v="90.71"/>
    <n v="294.8"/>
    <n v="154.74"/>
    <x v="0"/>
    <s v="16"/>
    <x v="11"/>
    <m/>
    <m/>
    <m/>
    <m/>
    <m/>
  </r>
  <r>
    <x v="44"/>
    <x v="5"/>
    <x v="1"/>
    <x v="18"/>
    <x v="2"/>
    <x v="5"/>
    <x v="1"/>
    <x v="2"/>
    <n v="2"/>
    <n v="3.59"/>
    <n v="6"/>
    <n v="441.59"/>
    <n v="26"/>
    <x v="0"/>
    <n v="39"/>
    <n v="452"/>
    <s v=""/>
    <x v="3"/>
    <n v="8.6300000000000008"/>
    <n v="80.739999999999995"/>
    <n v="191.36"/>
    <n v="43.08"/>
    <n v="632.95000000000005"/>
    <x v="2"/>
    <s v="4"/>
    <x v="11"/>
    <m/>
    <m/>
    <m/>
    <m/>
    <m/>
  </r>
  <r>
    <x v="45"/>
    <x v="3"/>
    <x v="0"/>
    <x v="7"/>
    <x v="4"/>
    <x v="13"/>
    <x v="4"/>
    <x v="1"/>
    <n v="1"/>
    <n v="16.89"/>
    <n v="2"/>
    <n v="112.39"/>
    <n v="17"/>
    <x v="3"/>
    <n v="25"/>
    <n v="435"/>
    <s v=""/>
    <x v="0"/>
    <n v="5.75"/>
    <n v="87.5"/>
    <n v="31.84"/>
    <n v="33.78"/>
    <n v="144.22999999999999"/>
    <x v="1"/>
    <s v="18"/>
    <x v="11"/>
    <m/>
    <m/>
    <m/>
    <m/>
    <m/>
  </r>
  <r>
    <x v="46"/>
    <x v="0"/>
    <x v="0"/>
    <x v="9"/>
    <x v="1"/>
    <x v="17"/>
    <x v="4"/>
    <x v="2"/>
    <n v="3"/>
    <n v="3.94"/>
    <n v="3"/>
    <n v="107.29"/>
    <n v="16"/>
    <x v="1"/>
    <n v="10"/>
    <n v="990"/>
    <s v=""/>
    <x v="3"/>
    <n v="1.01"/>
    <n v="94.98"/>
    <n v="28.61"/>
    <n v="35.46"/>
    <n v="135.9"/>
    <x v="2"/>
    <s v="4"/>
    <x v="11"/>
    <m/>
    <m/>
    <m/>
    <m/>
    <m/>
  </r>
  <r>
    <x v="47"/>
    <x v="5"/>
    <x v="0"/>
    <x v="15"/>
    <x v="0"/>
    <x v="4"/>
    <x v="0"/>
    <x v="4"/>
    <n v="3"/>
    <n v="6.72"/>
    <n v="6"/>
    <n v="129.05000000000001"/>
    <n v="14"/>
    <x v="3"/>
    <n v="30"/>
    <n v="388"/>
    <s v=""/>
    <x v="2"/>
    <n v="7.73"/>
    <n v="81.540000000000006"/>
    <n v="30.11"/>
    <n v="120.96"/>
    <n v="159.16000000000003"/>
    <x v="0"/>
    <s v="8"/>
    <x v="11"/>
    <m/>
    <m/>
    <m/>
    <m/>
    <m/>
  </r>
  <r>
    <x v="48"/>
    <x v="0"/>
    <x v="1"/>
    <x v="0"/>
    <x v="0"/>
    <x v="8"/>
    <x v="1"/>
    <x v="1"/>
    <n v="1"/>
    <n v="5.73"/>
    <n v="4"/>
    <n v="482.12"/>
    <n v="69"/>
    <x v="5"/>
    <n v="10"/>
    <n v="239"/>
    <s v=""/>
    <x v="0"/>
    <n v="4.18"/>
    <n v="90.64"/>
    <n v="554.44000000000005"/>
    <n v="22.92"/>
    <n v="1036.56"/>
    <x v="2"/>
    <s v="6"/>
    <x v="11"/>
    <m/>
    <m/>
    <m/>
    <m/>
    <m/>
  </r>
  <r>
    <x v="49"/>
    <x v="4"/>
    <x v="0"/>
    <x v="6"/>
    <x v="4"/>
    <x v="17"/>
    <x v="4"/>
    <x v="1"/>
    <n v="1"/>
    <n v="8.07"/>
    <n v="9"/>
    <n v="361.93"/>
    <n v="34"/>
    <x v="3"/>
    <n v="34"/>
    <n v="399"/>
    <s v=""/>
    <x v="4"/>
    <n v="8.52"/>
    <n v="81.96"/>
    <n v="205.09"/>
    <n v="72.63"/>
    <n v="567.02"/>
    <x v="0"/>
    <s v="10"/>
    <x v="11"/>
    <m/>
    <m/>
    <m/>
    <m/>
    <m/>
  </r>
  <r>
    <x v="50"/>
    <x v="3"/>
    <x v="2"/>
    <x v="6"/>
    <x v="2"/>
    <x v="7"/>
    <x v="2"/>
    <x v="4"/>
    <n v="4"/>
    <n v="5.84"/>
    <n v="5"/>
    <n v="410.62"/>
    <n v="12"/>
    <x v="2"/>
    <n v="46"/>
    <n v="112"/>
    <s v=""/>
    <x v="2"/>
    <n v="41.07"/>
    <n v="13.86"/>
    <n v="82.12"/>
    <n v="116.8"/>
    <n v="492.74"/>
    <x v="2"/>
    <s v="6"/>
    <x v="11"/>
    <m/>
    <m/>
    <m/>
    <m/>
    <m/>
  </r>
  <r>
    <x v="51"/>
    <x v="3"/>
    <x v="2"/>
    <x v="4"/>
    <x v="0"/>
    <x v="7"/>
    <x v="2"/>
    <x v="4"/>
    <n v="1"/>
    <n v="10.29"/>
    <n v="4"/>
    <n v="228.94"/>
    <n v="25"/>
    <x v="1"/>
    <n v="13"/>
    <n v="763"/>
    <s v=""/>
    <x v="2"/>
    <n v="1.7"/>
    <n v="95.6"/>
    <n v="95.39"/>
    <n v="41.16"/>
    <n v="324.33"/>
    <x v="0"/>
    <s v="12"/>
    <x v="11"/>
    <m/>
    <m/>
    <m/>
    <m/>
    <m/>
  </r>
  <r>
    <x v="52"/>
    <x v="5"/>
    <x v="1"/>
    <x v="12"/>
    <x v="4"/>
    <x v="6"/>
    <x v="1"/>
    <x v="0"/>
    <n v="4"/>
    <n v="8.74"/>
    <n v="2"/>
    <n v="201.34"/>
    <n v="26"/>
    <x v="3"/>
    <n v="29"/>
    <n v="527"/>
    <s v=""/>
    <x v="2"/>
    <n v="5.5"/>
    <n v="85"/>
    <n v="87.25"/>
    <n v="69.92"/>
    <n v="288.59000000000003"/>
    <x v="0"/>
    <s v="10"/>
    <x v="11"/>
    <m/>
    <m/>
    <m/>
    <m/>
    <m/>
  </r>
  <r>
    <x v="53"/>
    <x v="3"/>
    <x v="2"/>
    <x v="5"/>
    <x v="3"/>
    <x v="11"/>
    <x v="0"/>
    <x v="4"/>
    <n v="4"/>
    <n v="19.739999999999998"/>
    <n v="6"/>
    <n v="155.52000000000001"/>
    <n v="22"/>
    <x v="2"/>
    <n v="38"/>
    <n v="924"/>
    <s v=""/>
    <x v="0"/>
    <n v="4.1100000000000003"/>
    <n v="87.78"/>
    <n v="57.02"/>
    <n v="473.76"/>
    <n v="212.54000000000002"/>
    <x v="1"/>
    <s v="20"/>
    <x v="11"/>
    <m/>
    <m/>
    <m/>
    <m/>
    <m/>
  </r>
  <r>
    <x v="54"/>
    <x v="1"/>
    <x v="2"/>
    <x v="3"/>
    <x v="2"/>
    <x v="8"/>
    <x v="4"/>
    <x v="3"/>
    <n v="5"/>
    <n v="2.06"/>
    <n v="2"/>
    <n v="266.29000000000002"/>
    <n v="70"/>
    <x v="4"/>
    <n v="41"/>
    <n v="963"/>
    <s v=""/>
    <x v="1"/>
    <n v="4.26"/>
    <n v="86.48"/>
    <n v="310.67"/>
    <n v="20.6"/>
    <n v="576.96"/>
    <x v="2"/>
    <s v="4"/>
    <x v="11"/>
    <m/>
    <m/>
    <m/>
    <m/>
    <m/>
  </r>
  <r>
    <x v="55"/>
    <x v="3"/>
    <x v="1"/>
    <x v="8"/>
    <x v="1"/>
    <x v="19"/>
    <x v="0"/>
    <x v="4"/>
    <n v="3"/>
    <n v="3.7"/>
    <n v="7"/>
    <n v="298.32"/>
    <n v="52"/>
    <x v="3"/>
    <n v="45"/>
    <n v="499"/>
    <s v=""/>
    <x v="4"/>
    <n v="9.02"/>
    <n v="78.959999999999994"/>
    <n v="258.54000000000002"/>
    <n v="77.7"/>
    <n v="556.86"/>
    <x v="2"/>
    <s v="4"/>
    <x v="11"/>
    <m/>
    <m/>
    <m/>
    <m/>
    <m/>
  </r>
  <r>
    <x v="40"/>
    <x v="0"/>
    <x v="0"/>
    <x v="13"/>
    <x v="0"/>
    <x v="7"/>
    <x v="2"/>
    <x v="3"/>
    <n v="3"/>
    <n v="2"/>
    <n v="3"/>
    <n v="334.3"/>
    <n v="48"/>
    <x v="1"/>
    <n v="9"/>
    <n v="208"/>
    <s v=""/>
    <x v="4"/>
    <n v="4.33"/>
    <n v="88.34"/>
    <n v="267.44"/>
    <n v="18"/>
    <n v="601.74"/>
    <x v="2"/>
    <s v="2"/>
    <x v="11"/>
    <m/>
    <m/>
    <m/>
    <m/>
    <m/>
  </r>
  <r>
    <x v="56"/>
    <x v="0"/>
    <x v="0"/>
    <x v="14"/>
    <x v="4"/>
    <x v="8"/>
    <x v="4"/>
    <x v="4"/>
    <n v="3"/>
    <n v="12.89"/>
    <n v="9"/>
    <n v="165.7"/>
    <n v="13"/>
    <x v="2"/>
    <n v="13"/>
    <n v="584"/>
    <s v="Rutin kontrol"/>
    <x v="3"/>
    <n v="2.23"/>
    <n v="92.54"/>
    <n v="35.9"/>
    <n v="348.03000000000003"/>
    <n v="201.6"/>
    <x v="0"/>
    <s v="14"/>
    <x v="11"/>
    <m/>
    <m/>
    <m/>
    <m/>
    <m/>
  </r>
  <r>
    <x v="57"/>
    <x v="0"/>
    <x v="0"/>
    <x v="12"/>
    <x v="3"/>
    <x v="5"/>
    <x v="0"/>
    <x v="0"/>
    <n v="5"/>
    <n v="2.04"/>
    <n v="5"/>
    <n v="476.89"/>
    <n v="71"/>
    <x v="3"/>
    <n v="37"/>
    <n v="987"/>
    <s v=""/>
    <x v="0"/>
    <n v="3.75"/>
    <n v="87.5"/>
    <n v="564.32000000000005"/>
    <n v="51"/>
    <n v="1041.21"/>
    <x v="2"/>
    <s v="4"/>
    <x v="11"/>
    <m/>
    <m/>
    <m/>
    <m/>
    <m/>
  </r>
  <r>
    <x v="58"/>
    <x v="0"/>
    <x v="1"/>
    <x v="8"/>
    <x v="1"/>
    <x v="17"/>
    <x v="3"/>
    <x v="3"/>
    <n v="4"/>
    <n v="16.89"/>
    <n v="8"/>
    <n v="126.39"/>
    <n v="58"/>
    <x v="4"/>
    <n v="14"/>
    <n v="455"/>
    <s v=""/>
    <x v="2"/>
    <n v="3.08"/>
    <n v="89.84"/>
    <n v="122.18"/>
    <n v="540.48"/>
    <n v="248.57"/>
    <x v="1"/>
    <s v="18"/>
    <x v="11"/>
    <m/>
    <m/>
    <m/>
    <m/>
    <m/>
  </r>
  <r>
    <x v="59"/>
    <x v="1"/>
    <x v="2"/>
    <x v="7"/>
    <x v="4"/>
    <x v="9"/>
    <x v="1"/>
    <x v="2"/>
    <n v="4"/>
    <n v="10.73"/>
    <n v="6"/>
    <n v="484.54"/>
    <n v="30"/>
    <x v="3"/>
    <n v="37"/>
    <n v="248"/>
    <s v=""/>
    <x v="1"/>
    <n v="14.92"/>
    <n v="66.16"/>
    <n v="242.27"/>
    <n v="257.52"/>
    <n v="726.81000000000006"/>
    <x v="0"/>
    <s v="12"/>
    <x v="11"/>
    <m/>
    <m/>
    <m/>
    <m/>
    <m/>
  </r>
  <r>
    <x v="60"/>
    <x v="2"/>
    <x v="0"/>
    <x v="19"/>
    <x v="4"/>
    <x v="0"/>
    <x v="1"/>
    <x v="3"/>
    <n v="1"/>
    <n v="11.01"/>
    <n v="8"/>
    <n v="56.69"/>
    <n v="89"/>
    <x v="2"/>
    <n v="9"/>
    <n v="978"/>
    <s v=""/>
    <x v="0"/>
    <n v="0.92"/>
    <n v="97.16"/>
    <n v="84.09"/>
    <n v="88.08"/>
    <n v="140.78"/>
    <x v="0"/>
    <s v="12"/>
    <x v="11"/>
    <m/>
    <m/>
    <m/>
    <m/>
    <m/>
  </r>
  <r>
    <x v="6"/>
    <x v="4"/>
    <x v="0"/>
    <x v="0"/>
    <x v="1"/>
    <x v="2"/>
    <x v="3"/>
    <x v="0"/>
    <n v="5"/>
    <n v="11.67"/>
    <n v="3"/>
    <n v="266.51"/>
    <n v="30"/>
    <x v="3"/>
    <n v="8"/>
    <n v="815"/>
    <s v=""/>
    <x v="0"/>
    <n v="0.98"/>
    <n v="93.04"/>
    <n v="133.26"/>
    <n v="175.05"/>
    <n v="399.77"/>
    <x v="0"/>
    <s v="12"/>
    <x v="11"/>
    <m/>
    <m/>
    <m/>
    <m/>
    <m/>
  </r>
  <r>
    <x v="12"/>
    <x v="5"/>
    <x v="1"/>
    <x v="4"/>
    <x v="3"/>
    <x v="12"/>
    <x v="2"/>
    <x v="3"/>
    <n v="1"/>
    <n v="4.25"/>
    <n v="3"/>
    <n v="200.02"/>
    <n v="38"/>
    <x v="1"/>
    <n v="39"/>
    <n v="406"/>
    <s v=""/>
    <x v="1"/>
    <n v="9.61"/>
    <n v="79.78"/>
    <n v="126.68"/>
    <n v="12.75"/>
    <n v="326.70000000000005"/>
    <x v="2"/>
    <s v="6"/>
    <x v="11"/>
    <m/>
    <m/>
    <m/>
    <m/>
    <m/>
  </r>
  <r>
    <x v="61"/>
    <x v="0"/>
    <x v="0"/>
    <x v="1"/>
    <x v="3"/>
    <x v="8"/>
    <x v="4"/>
    <x v="4"/>
    <n v="5"/>
    <n v="4.76"/>
    <n v="5"/>
    <n v="252.11"/>
    <n v="12"/>
    <x v="5"/>
    <n v="40"/>
    <n v="632"/>
    <s v=""/>
    <x v="2"/>
    <n v="6.33"/>
    <n v="82.34"/>
    <n v="50.42"/>
    <n v="119"/>
    <n v="302.53000000000003"/>
    <x v="2"/>
    <s v="6"/>
    <x v="11"/>
    <m/>
    <m/>
    <m/>
    <m/>
    <m/>
  </r>
  <r>
    <x v="62"/>
    <x v="3"/>
    <x v="1"/>
    <x v="1"/>
    <x v="2"/>
    <x v="3"/>
    <x v="1"/>
    <x v="4"/>
    <n v="1"/>
    <n v="7.06"/>
    <n v="3"/>
    <n v="306.8"/>
    <n v="14"/>
    <x v="2"/>
    <n v="3"/>
    <n v="159"/>
    <s v=""/>
    <x v="0"/>
    <n v="1.89"/>
    <n v="95.22"/>
    <n v="71.59"/>
    <n v="21.18"/>
    <n v="378.39"/>
    <x v="0"/>
    <s v="8"/>
    <x v="11"/>
    <m/>
    <m/>
    <m/>
    <m/>
    <m/>
  </r>
  <r>
    <x v="63"/>
    <x v="0"/>
    <x v="2"/>
    <x v="18"/>
    <x v="0"/>
    <x v="14"/>
    <x v="3"/>
    <x v="0"/>
    <n v="2"/>
    <n v="12.28"/>
    <n v="8"/>
    <n v="246.02"/>
    <n v="52"/>
    <x v="2"/>
    <n v="47"/>
    <n v="534"/>
    <s v=""/>
    <x v="4"/>
    <n v="8.8000000000000007"/>
    <n v="80.400000000000006"/>
    <n v="213.22"/>
    <n v="196.48"/>
    <n v="459.24"/>
    <x v="0"/>
    <s v="14"/>
    <x v="11"/>
    <m/>
    <m/>
    <m/>
    <m/>
    <m/>
  </r>
  <r>
    <x v="64"/>
    <x v="3"/>
    <x v="1"/>
    <x v="10"/>
    <x v="1"/>
    <x v="5"/>
    <x v="3"/>
    <x v="1"/>
    <n v="3"/>
    <n v="4.99"/>
    <n v="8"/>
    <n v="236.68"/>
    <n v="59"/>
    <x v="2"/>
    <n v="40"/>
    <n v="120"/>
    <s v=""/>
    <x v="4"/>
    <n v="33.33"/>
    <n v="30.34"/>
    <n v="232.74"/>
    <n v="119.76"/>
    <n v="469.42"/>
    <x v="2"/>
    <s v="6"/>
    <x v="11"/>
    <m/>
    <m/>
    <m/>
    <m/>
    <m/>
  </r>
  <r>
    <x v="16"/>
    <x v="4"/>
    <x v="1"/>
    <x v="10"/>
    <x v="1"/>
    <x v="8"/>
    <x v="2"/>
    <x v="4"/>
    <n v="3"/>
    <n v="3.21"/>
    <n v="2"/>
    <n v="379.73"/>
    <n v="58"/>
    <x v="2"/>
    <n v="33"/>
    <n v="974"/>
    <s v=""/>
    <x v="1"/>
    <n v="3.39"/>
    <n v="90.22"/>
    <n v="367.07"/>
    <n v="19.259999999999998"/>
    <n v="746.8"/>
    <x v="2"/>
    <s v="4"/>
    <x v="11"/>
    <m/>
    <m/>
    <m/>
    <m/>
    <m/>
  </r>
  <r>
    <x v="65"/>
    <x v="4"/>
    <x v="1"/>
    <x v="9"/>
    <x v="1"/>
    <x v="11"/>
    <x v="2"/>
    <x v="2"/>
    <n v="4"/>
    <n v="19.43"/>
    <n v="4"/>
    <n v="358.64"/>
    <n v="82"/>
    <x v="3"/>
    <n v="32"/>
    <n v="481"/>
    <s v=""/>
    <x v="2"/>
    <n v="6.65"/>
    <n v="82.7"/>
    <n v="490.14"/>
    <n v="310.88"/>
    <n v="848.78"/>
    <x v="1"/>
    <s v="20"/>
    <x v="11"/>
    <m/>
    <m/>
    <m/>
    <m/>
    <m/>
  </r>
  <r>
    <x v="0"/>
    <x v="4"/>
    <x v="1"/>
    <x v="5"/>
    <x v="3"/>
    <x v="6"/>
    <x v="0"/>
    <x v="0"/>
    <n v="2"/>
    <n v="1.42"/>
    <n v="1"/>
    <n v="424.97"/>
    <n v="44"/>
    <x v="1"/>
    <n v="7"/>
    <n v="344"/>
    <s v=""/>
    <x v="1"/>
    <n v="2.0299999999999998"/>
    <n v="93.94"/>
    <n v="311.64"/>
    <n v="2.84"/>
    <n v="736.61"/>
    <x v="2"/>
    <s v="2"/>
    <x v="11"/>
    <m/>
    <m/>
    <m/>
    <m/>
    <m/>
  </r>
  <r>
    <x v="66"/>
    <x v="3"/>
    <x v="2"/>
    <x v="11"/>
    <x v="0"/>
    <x v="4"/>
    <x v="1"/>
    <x v="3"/>
    <n v="3"/>
    <n v="16.25"/>
    <n v="4"/>
    <n v="162.47999999999999"/>
    <n v="19"/>
    <x v="4"/>
    <n v="19"/>
    <n v="172"/>
    <s v=""/>
    <x v="0"/>
    <n v="11.05"/>
    <n v="74.900000000000006"/>
    <n v="51.45"/>
    <n v="195"/>
    <n v="213.93"/>
    <x v="1"/>
    <s v="18"/>
    <x v="11"/>
    <m/>
    <m/>
    <m/>
    <m/>
    <m/>
  </r>
  <r>
    <x v="67"/>
    <x v="0"/>
    <x v="2"/>
    <x v="13"/>
    <x v="2"/>
    <x v="0"/>
    <x v="0"/>
    <x v="3"/>
    <n v="4"/>
    <n v="15.97"/>
    <n v="4"/>
    <n v="324.29000000000002"/>
    <n v="85"/>
    <x v="1"/>
    <n v="34"/>
    <n v="548"/>
    <s v=""/>
    <x v="4"/>
    <n v="6.2"/>
    <n v="83.6"/>
    <n v="459.41"/>
    <n v="255.52"/>
    <n v="783.7"/>
    <x v="1"/>
    <s v="16"/>
    <x v="11"/>
    <m/>
    <m/>
    <m/>
    <m/>
    <m/>
  </r>
  <r>
    <x v="63"/>
    <x v="4"/>
    <x v="0"/>
    <x v="1"/>
    <x v="4"/>
    <x v="13"/>
    <x v="3"/>
    <x v="2"/>
    <n v="2"/>
    <n v="6.65"/>
    <n v="9"/>
    <n v="313.33999999999997"/>
    <n v="22"/>
    <x v="2"/>
    <n v="14"/>
    <n v="175"/>
    <s v=""/>
    <x v="3"/>
    <n v="8"/>
    <n v="82"/>
    <n v="114.89"/>
    <n v="119.7"/>
    <n v="428.22999999999996"/>
    <x v="0"/>
    <s v="8"/>
    <x v="11"/>
    <m/>
    <m/>
    <m/>
    <m/>
    <m/>
  </r>
  <r>
    <x v="18"/>
    <x v="1"/>
    <x v="2"/>
    <x v="15"/>
    <x v="4"/>
    <x v="12"/>
    <x v="4"/>
    <x v="4"/>
    <n v="3"/>
    <n v="3.58"/>
    <n v="3"/>
    <n v="216.38"/>
    <n v="27"/>
    <x v="0"/>
    <n v="47"/>
    <n v="797"/>
    <s v=""/>
    <x v="1"/>
    <n v="5.9"/>
    <n v="85.2"/>
    <n v="97.37"/>
    <n v="32.22"/>
    <n v="313.75"/>
    <x v="2"/>
    <s v="4"/>
    <x v="11"/>
    <m/>
    <m/>
    <m/>
    <m/>
    <m/>
  </r>
  <r>
    <x v="66"/>
    <x v="3"/>
    <x v="2"/>
    <x v="17"/>
    <x v="1"/>
    <x v="3"/>
    <x v="4"/>
    <x v="0"/>
    <n v="1"/>
    <n v="3.77"/>
    <n v="2"/>
    <n v="268.73"/>
    <n v="66"/>
    <x v="3"/>
    <n v="46"/>
    <n v="689"/>
    <s v=""/>
    <x v="3"/>
    <n v="6.68"/>
    <n v="85.64"/>
    <n v="295.60000000000002"/>
    <n v="7.54"/>
    <n v="564.33000000000004"/>
    <x v="2"/>
    <s v="4"/>
    <x v="11"/>
    <m/>
    <m/>
    <m/>
    <m/>
    <m/>
  </r>
  <r>
    <x v="7"/>
    <x v="3"/>
    <x v="0"/>
    <x v="18"/>
    <x v="0"/>
    <x v="0"/>
    <x v="2"/>
    <x v="2"/>
    <n v="5"/>
    <n v="14.25"/>
    <n v="9"/>
    <n v="191.2"/>
    <n v="50"/>
    <x v="0"/>
    <n v="19"/>
    <n v="489"/>
    <s v=""/>
    <x v="3"/>
    <n v="3.89"/>
    <n v="87.22"/>
    <n v="159.33000000000001"/>
    <n v="641.25"/>
    <n v="350.53"/>
    <x v="0"/>
    <s v="16"/>
    <x v="11"/>
    <m/>
    <m/>
    <m/>
    <m/>
    <m/>
  </r>
  <r>
    <x v="68"/>
    <x v="0"/>
    <x v="2"/>
    <x v="15"/>
    <x v="3"/>
    <x v="13"/>
    <x v="4"/>
    <x v="4"/>
    <n v="2"/>
    <n v="13.21"/>
    <n v="9"/>
    <n v="113.83"/>
    <n v="43"/>
    <x v="3"/>
    <n v="26"/>
    <n v="676"/>
    <s v=""/>
    <x v="4"/>
    <n v="3.85"/>
    <n v="90.3"/>
    <n v="81.58"/>
    <n v="237.78000000000003"/>
    <n v="195.41"/>
    <x v="0"/>
    <s v="14"/>
    <x v="11"/>
    <m/>
    <m/>
    <m/>
    <m/>
    <m/>
  </r>
  <r>
    <x v="69"/>
    <x v="3"/>
    <x v="1"/>
    <x v="9"/>
    <x v="0"/>
    <x v="8"/>
    <x v="4"/>
    <x v="0"/>
    <n v="4"/>
    <n v="15.87"/>
    <n v="1"/>
    <n v="146.21"/>
    <n v="19"/>
    <x v="2"/>
    <n v="17"/>
    <n v="441"/>
    <s v=""/>
    <x v="1"/>
    <n v="3.85"/>
    <n v="88.3"/>
    <n v="46.3"/>
    <n v="63.48"/>
    <n v="192.51"/>
    <x v="1"/>
    <s v="16"/>
    <x v="11"/>
    <m/>
    <m/>
    <m/>
    <m/>
    <m/>
  </r>
  <r>
    <x v="42"/>
    <x v="3"/>
    <x v="1"/>
    <x v="16"/>
    <x v="0"/>
    <x v="6"/>
    <x v="4"/>
    <x v="3"/>
    <n v="2"/>
    <n v="18.809999999999999"/>
    <n v="6"/>
    <n v="97.48"/>
    <n v="57"/>
    <x v="3"/>
    <n v="28"/>
    <n v="389"/>
    <s v=""/>
    <x v="3"/>
    <n v="7.2"/>
    <n v="83.6"/>
    <n v="92.61"/>
    <n v="225.71999999999997"/>
    <n v="190.09"/>
    <x v="1"/>
    <s v="20"/>
    <x v="11"/>
    <m/>
    <m/>
    <m/>
    <m/>
    <m/>
  </r>
  <r>
    <x v="70"/>
    <x v="4"/>
    <x v="0"/>
    <x v="18"/>
    <x v="3"/>
    <x v="11"/>
    <x v="3"/>
    <x v="0"/>
    <n v="4"/>
    <n v="14.15"/>
    <n v="8"/>
    <n v="357.38"/>
    <n v="68"/>
    <x v="2"/>
    <n v="19"/>
    <n v="667"/>
    <s v=""/>
    <x v="0"/>
    <n v="2.85"/>
    <n v="90.3"/>
    <n v="405.03"/>
    <n v="452.8"/>
    <n v="762.41"/>
    <x v="0"/>
    <s v="16"/>
    <x v="11"/>
    <m/>
    <m/>
    <m/>
    <m/>
    <m/>
  </r>
  <r>
    <x v="71"/>
    <x v="0"/>
    <x v="0"/>
    <x v="12"/>
    <x v="1"/>
    <x v="11"/>
    <x v="4"/>
    <x v="1"/>
    <n v="2"/>
    <n v="3.96"/>
    <n v="3"/>
    <n v="347.33"/>
    <n v="67"/>
    <x v="1"/>
    <n v="27"/>
    <n v="430"/>
    <s v=""/>
    <x v="2"/>
    <n v="6.28"/>
    <n v="85.44"/>
    <n v="387.85"/>
    <n v="23.759999999999998"/>
    <n v="735.18000000000006"/>
    <x v="2"/>
    <s v="4"/>
    <x v="11"/>
    <m/>
    <m/>
    <m/>
    <m/>
    <m/>
  </r>
  <r>
    <x v="22"/>
    <x v="4"/>
    <x v="0"/>
    <x v="10"/>
    <x v="0"/>
    <x v="10"/>
    <x v="4"/>
    <x v="0"/>
    <n v="4"/>
    <n v="5.63"/>
    <n v="9"/>
    <n v="477.77"/>
    <n v="84"/>
    <x v="5"/>
    <n v="48"/>
    <n v="358"/>
    <s v=""/>
    <x v="2"/>
    <n v="13.41"/>
    <n v="69.180000000000007"/>
    <n v="668.88"/>
    <n v="202.68"/>
    <n v="1146.6500000000001"/>
    <x v="2"/>
    <s v="6"/>
    <x v="11"/>
    <m/>
    <m/>
    <m/>
    <m/>
    <m/>
  </r>
  <r>
    <x v="32"/>
    <x v="4"/>
    <x v="1"/>
    <x v="10"/>
    <x v="4"/>
    <x v="12"/>
    <x v="4"/>
    <x v="1"/>
    <n v="3"/>
    <n v="17"/>
    <n v="2"/>
    <n v="378.36"/>
    <n v="20"/>
    <x v="3"/>
    <n v="19"/>
    <n v="525"/>
    <s v=""/>
    <x v="4"/>
    <n v="3.62"/>
    <n v="89.76"/>
    <n v="126.12"/>
    <n v="102"/>
    <n v="504.48"/>
    <x v="1"/>
    <s v="18"/>
    <x v="11"/>
    <m/>
    <m/>
    <m/>
    <m/>
    <m/>
  </r>
  <r>
    <x v="72"/>
    <x v="0"/>
    <x v="2"/>
    <x v="14"/>
    <x v="3"/>
    <x v="12"/>
    <x v="0"/>
    <x v="0"/>
    <n v="1"/>
    <n v="4.9800000000000004"/>
    <n v="6"/>
    <n v="73.42"/>
    <n v="74"/>
    <x v="2"/>
    <n v="33"/>
    <n v="801"/>
    <s v="Rutin kontrol"/>
    <x v="1"/>
    <n v="4.12"/>
    <n v="90.76"/>
    <n v="90.55"/>
    <n v="29.880000000000003"/>
    <n v="163.97"/>
    <x v="2"/>
    <s v="6"/>
    <x v="11"/>
    <m/>
    <m/>
    <m/>
    <m/>
    <m/>
  </r>
  <r>
    <x v="30"/>
    <x v="5"/>
    <x v="1"/>
    <x v="8"/>
    <x v="2"/>
    <x v="9"/>
    <x v="3"/>
    <x v="1"/>
    <n v="3"/>
    <n v="2.38"/>
    <n v="1"/>
    <n v="447.91"/>
    <n v="70"/>
    <x v="0"/>
    <n v="7"/>
    <n v="105"/>
    <s v=""/>
    <x v="1"/>
    <n v="6.67"/>
    <n v="83.66"/>
    <n v="522.55999999999995"/>
    <n v="7.14"/>
    <n v="970.47"/>
    <x v="2"/>
    <s v="4"/>
    <x v="11"/>
    <m/>
    <m/>
    <m/>
    <m/>
    <m/>
  </r>
  <r>
    <x v="73"/>
    <x v="4"/>
    <x v="0"/>
    <x v="4"/>
    <x v="1"/>
    <x v="9"/>
    <x v="2"/>
    <x v="3"/>
    <n v="1"/>
    <n v="14.36"/>
    <n v="7"/>
    <n v="438.2"/>
    <n v="17"/>
    <x v="2"/>
    <n v="29"/>
    <n v="105"/>
    <s v=""/>
    <x v="2"/>
    <n v="27.62"/>
    <n v="43.76"/>
    <n v="124.16"/>
    <n v="100.52"/>
    <n v="562.36"/>
    <x v="0"/>
    <s v="16"/>
    <x v="11"/>
    <m/>
    <m/>
    <m/>
    <m/>
    <m/>
  </r>
  <r>
    <x v="0"/>
    <x v="1"/>
    <x v="2"/>
    <x v="7"/>
    <x v="3"/>
    <x v="1"/>
    <x v="0"/>
    <x v="4"/>
    <n v="3"/>
    <n v="8.65"/>
    <n v="3"/>
    <n v="249.49"/>
    <n v="51"/>
    <x v="0"/>
    <n v="43"/>
    <n v="290"/>
    <s v=""/>
    <x v="0"/>
    <n v="14.83"/>
    <n v="67.34"/>
    <n v="212.07"/>
    <n v="77.850000000000009"/>
    <n v="461.56"/>
    <x v="0"/>
    <s v="10"/>
    <x v="11"/>
    <m/>
    <m/>
    <m/>
    <m/>
    <m/>
  </r>
  <r>
    <x v="31"/>
    <x v="1"/>
    <x v="2"/>
    <x v="5"/>
    <x v="2"/>
    <x v="8"/>
    <x v="1"/>
    <x v="1"/>
    <n v="3"/>
    <n v="18.48"/>
    <n v="7"/>
    <n v="313.64"/>
    <n v="13"/>
    <x v="3"/>
    <n v="5"/>
    <n v="247"/>
    <s v=""/>
    <x v="2"/>
    <n v="2.02"/>
    <n v="92.96"/>
    <n v="67.959999999999994"/>
    <n v="388.08"/>
    <n v="381.59999999999997"/>
    <x v="1"/>
    <s v="20"/>
    <x v="11"/>
    <m/>
    <m/>
    <m/>
    <m/>
    <m/>
  </r>
  <r>
    <x v="74"/>
    <x v="3"/>
    <x v="1"/>
    <x v="13"/>
    <x v="2"/>
    <x v="8"/>
    <x v="3"/>
    <x v="1"/>
    <n v="2"/>
    <n v="13.35"/>
    <n v="4"/>
    <n v="489.24"/>
    <n v="67"/>
    <x v="4"/>
    <n v="30"/>
    <n v="504"/>
    <s v=""/>
    <x v="2"/>
    <n v="5.95"/>
    <n v="86.1"/>
    <n v="546.32000000000005"/>
    <n v="106.8"/>
    <n v="1035.56"/>
    <x v="0"/>
    <s v="14"/>
    <x v="11"/>
    <m/>
    <m/>
    <m/>
    <m/>
    <m/>
  </r>
  <r>
    <x v="8"/>
    <x v="1"/>
    <x v="0"/>
    <x v="2"/>
    <x v="0"/>
    <x v="15"/>
    <x v="3"/>
    <x v="3"/>
    <n v="5"/>
    <n v="2.72"/>
    <n v="9"/>
    <n v="289.54000000000002"/>
    <n v="38"/>
    <x v="0"/>
    <n v="49"/>
    <n v="357"/>
    <s v=""/>
    <x v="1"/>
    <n v="13.73"/>
    <n v="67.540000000000006"/>
    <n v="183.38"/>
    <n v="122.4"/>
    <n v="472.92"/>
    <x v="2"/>
    <s v="4"/>
    <x v="11"/>
    <m/>
    <m/>
    <m/>
    <m/>
    <m/>
  </r>
  <r>
    <x v="15"/>
    <x v="3"/>
    <x v="1"/>
    <x v="0"/>
    <x v="0"/>
    <x v="17"/>
    <x v="1"/>
    <x v="1"/>
    <n v="4"/>
    <n v="19.010000000000002"/>
    <n v="5"/>
    <n v="457.39"/>
    <n v="85"/>
    <x v="2"/>
    <n v="43"/>
    <n v="829"/>
    <s v=""/>
    <x v="3"/>
    <n v="5.19"/>
    <n v="85.62"/>
    <n v="647.97"/>
    <n v="380.20000000000005"/>
    <n v="1105.3600000000001"/>
    <x v="1"/>
    <s v="20"/>
    <x v="11"/>
    <m/>
    <m/>
    <m/>
    <m/>
    <m/>
  </r>
  <r>
    <x v="75"/>
    <x v="5"/>
    <x v="2"/>
    <x v="12"/>
    <x v="0"/>
    <x v="0"/>
    <x v="1"/>
    <x v="2"/>
    <n v="4"/>
    <n v="5.91"/>
    <n v="3"/>
    <n v="87.37"/>
    <n v="33"/>
    <x v="3"/>
    <n v="8"/>
    <n v="578"/>
    <s v=""/>
    <x v="0"/>
    <n v="1.38"/>
    <n v="93.24"/>
    <n v="48.05"/>
    <n v="70.92"/>
    <n v="135.42000000000002"/>
    <x v="2"/>
    <s v="6"/>
    <x v="11"/>
    <m/>
    <m/>
    <m/>
    <m/>
    <m/>
  </r>
  <r>
    <x v="76"/>
    <x v="0"/>
    <x v="1"/>
    <x v="1"/>
    <x v="3"/>
    <x v="10"/>
    <x v="1"/>
    <x v="3"/>
    <n v="4"/>
    <n v="7.41"/>
    <n v="8"/>
    <n v="135.97"/>
    <n v="41"/>
    <x v="2"/>
    <n v="42"/>
    <n v="189"/>
    <s v=""/>
    <x v="1"/>
    <n v="22.22"/>
    <n v="51.56"/>
    <n v="92.91"/>
    <n v="237.12"/>
    <n v="228.88"/>
    <x v="0"/>
    <s v="8"/>
    <x v="11"/>
    <m/>
    <m/>
    <m/>
    <m/>
    <m/>
  </r>
  <r>
    <x v="77"/>
    <x v="0"/>
    <x v="1"/>
    <x v="19"/>
    <x v="3"/>
    <x v="3"/>
    <x v="2"/>
    <x v="2"/>
    <n v="1"/>
    <n v="8.64"/>
    <n v="6"/>
    <n v="248.34"/>
    <n v="47"/>
    <x v="4"/>
    <n v="12"/>
    <n v="923"/>
    <s v=""/>
    <x v="2"/>
    <n v="1.3"/>
    <n v="96.4"/>
    <n v="194.53"/>
    <n v="51.84"/>
    <n v="442.87"/>
    <x v="0"/>
    <s v="10"/>
    <x v="11"/>
    <m/>
    <m/>
    <m/>
    <m/>
    <m/>
  </r>
  <r>
    <x v="78"/>
    <x v="0"/>
    <x v="0"/>
    <x v="0"/>
    <x v="1"/>
    <x v="8"/>
    <x v="4"/>
    <x v="3"/>
    <n v="4"/>
    <n v="1.97"/>
    <n v="2"/>
    <n v="313.14"/>
    <n v="68"/>
    <x v="5"/>
    <n v="42"/>
    <n v="963"/>
    <s v=""/>
    <x v="3"/>
    <n v="4.3600000000000003"/>
    <n v="87.28"/>
    <n v="354.89"/>
    <n v="15.76"/>
    <n v="668.03"/>
    <x v="2"/>
    <s v="2"/>
    <x v="11"/>
    <m/>
    <m/>
    <m/>
    <m/>
    <m/>
  </r>
  <r>
    <x v="73"/>
    <x v="1"/>
    <x v="0"/>
    <x v="0"/>
    <x v="0"/>
    <x v="1"/>
    <x v="3"/>
    <x v="1"/>
    <n v="4"/>
    <n v="10.43"/>
    <n v="3"/>
    <n v="417.3"/>
    <n v="28"/>
    <x v="4"/>
    <n v="13"/>
    <n v="109"/>
    <s v=""/>
    <x v="0"/>
    <n v="11.93"/>
    <n v="72.14"/>
    <n v="194.74"/>
    <n v="125.16"/>
    <n v="612.04"/>
    <x v="0"/>
    <s v="12"/>
    <x v="11"/>
    <m/>
    <m/>
    <m/>
    <m/>
    <m/>
  </r>
  <r>
    <x v="79"/>
    <x v="5"/>
    <x v="2"/>
    <x v="4"/>
    <x v="2"/>
    <x v="0"/>
    <x v="4"/>
    <x v="2"/>
    <n v="2"/>
    <n v="3.34"/>
    <n v="8"/>
    <n v="494.72"/>
    <n v="75"/>
    <x v="1"/>
    <n v="26"/>
    <n v="186"/>
    <s v=""/>
    <x v="4"/>
    <n v="13.98"/>
    <n v="70.040000000000006"/>
    <n v="618.4"/>
    <n v="53.44"/>
    <n v="1113.1199999999999"/>
    <x v="2"/>
    <s v="4"/>
    <x v="11"/>
    <m/>
    <m/>
    <m/>
    <m/>
    <m/>
  </r>
  <r>
    <x v="80"/>
    <x v="1"/>
    <x v="1"/>
    <x v="11"/>
    <x v="4"/>
    <x v="5"/>
    <x v="4"/>
    <x v="1"/>
    <n v="3"/>
    <n v="8.6199999999999992"/>
    <n v="7"/>
    <n v="224.98"/>
    <n v="38"/>
    <x v="3"/>
    <n v="18"/>
    <n v="861"/>
    <s v=""/>
    <x v="0"/>
    <n v="2.09"/>
    <n v="92.82"/>
    <n v="142.49"/>
    <n v="181.01999999999998"/>
    <n v="367.47"/>
    <x v="0"/>
    <s v="10"/>
    <x v="11"/>
    <m/>
    <m/>
    <m/>
    <m/>
    <m/>
  </r>
  <r>
    <x v="81"/>
    <x v="1"/>
    <x v="1"/>
    <x v="14"/>
    <x v="1"/>
    <x v="5"/>
    <x v="1"/>
    <x v="3"/>
    <n v="4"/>
    <n v="7.66"/>
    <n v="6"/>
    <n v="71.34"/>
    <n v="52"/>
    <x v="4"/>
    <n v="42"/>
    <n v="937"/>
    <s v="Kontrol tekrarlandı"/>
    <x v="0"/>
    <n v="4.4800000000000004"/>
    <n v="87.04"/>
    <n v="61.83"/>
    <n v="183.84"/>
    <n v="133.17000000000002"/>
    <x v="0"/>
    <s v="8"/>
    <x v="11"/>
    <m/>
    <m/>
    <m/>
    <m/>
    <m/>
  </r>
  <r>
    <x v="70"/>
    <x v="5"/>
    <x v="1"/>
    <x v="10"/>
    <x v="3"/>
    <x v="16"/>
    <x v="2"/>
    <x v="1"/>
    <n v="5"/>
    <n v="15.68"/>
    <n v="1"/>
    <n v="410.53"/>
    <n v="16"/>
    <x v="5"/>
    <n v="49"/>
    <n v="250"/>
    <s v=""/>
    <x v="2"/>
    <n v="19.600000000000001"/>
    <n v="55.8"/>
    <n v="109.47"/>
    <n v="78.400000000000006"/>
    <n v="520"/>
    <x v="1"/>
    <s v="16"/>
    <x v="11"/>
    <m/>
    <m/>
    <m/>
    <m/>
    <m/>
  </r>
  <r>
    <x v="82"/>
    <x v="5"/>
    <x v="2"/>
    <x v="17"/>
    <x v="1"/>
    <x v="8"/>
    <x v="0"/>
    <x v="2"/>
    <n v="4"/>
    <n v="16.260000000000002"/>
    <n v="9"/>
    <n v="321.97000000000003"/>
    <n v="27"/>
    <x v="2"/>
    <n v="20"/>
    <n v="724"/>
    <s v=""/>
    <x v="2"/>
    <n v="2.76"/>
    <n v="90.48"/>
    <n v="144.88999999999999"/>
    <n v="585.36"/>
    <n v="466.86"/>
    <x v="1"/>
    <s v="18"/>
    <x v="11"/>
    <m/>
    <m/>
    <m/>
    <m/>
    <m/>
  </r>
  <r>
    <x v="82"/>
    <x v="5"/>
    <x v="2"/>
    <x v="8"/>
    <x v="1"/>
    <x v="14"/>
    <x v="2"/>
    <x v="2"/>
    <n v="1"/>
    <n v="3.91"/>
    <n v="3"/>
    <n v="139.34"/>
    <n v="83"/>
    <x v="3"/>
    <n v="16"/>
    <n v="129"/>
    <s v=""/>
    <x v="4"/>
    <n v="12.4"/>
    <n v="74.2"/>
    <n v="192.75"/>
    <n v="11.73"/>
    <n v="332.09000000000003"/>
    <x v="2"/>
    <s v="4"/>
    <x v="11"/>
    <m/>
    <m/>
    <m/>
    <m/>
    <m/>
  </r>
  <r>
    <x v="83"/>
    <x v="5"/>
    <x v="0"/>
    <x v="2"/>
    <x v="1"/>
    <x v="19"/>
    <x v="4"/>
    <x v="1"/>
    <n v="1"/>
    <n v="7.96"/>
    <n v="5"/>
    <n v="272.67"/>
    <n v="17"/>
    <x v="0"/>
    <n v="37"/>
    <n v="227"/>
    <s v=""/>
    <x v="4"/>
    <n v="16.3"/>
    <n v="66.400000000000006"/>
    <n v="77.260000000000005"/>
    <n v="39.799999999999997"/>
    <n v="349.93"/>
    <x v="0"/>
    <s v="8"/>
    <x v="11"/>
    <m/>
    <m/>
    <m/>
    <m/>
    <m/>
  </r>
  <r>
    <x v="84"/>
    <x v="0"/>
    <x v="0"/>
    <x v="4"/>
    <x v="1"/>
    <x v="9"/>
    <x v="2"/>
    <x v="0"/>
    <n v="1"/>
    <n v="8.09"/>
    <n v="7"/>
    <n v="384.04"/>
    <n v="49"/>
    <x v="4"/>
    <n v="3"/>
    <n v="177"/>
    <s v=""/>
    <x v="4"/>
    <n v="1.69"/>
    <n v="95.62"/>
    <n v="313.63"/>
    <n v="56.629999999999995"/>
    <n v="697.67000000000007"/>
    <x v="0"/>
    <s v="10"/>
    <x v="11"/>
    <m/>
    <m/>
    <m/>
    <m/>
    <m/>
  </r>
  <r>
    <x v="85"/>
    <x v="2"/>
    <x v="0"/>
    <x v="14"/>
    <x v="4"/>
    <x v="1"/>
    <x v="1"/>
    <x v="3"/>
    <n v="4"/>
    <n v="3.88"/>
    <n v="7"/>
    <n v="396.69"/>
    <n v="69"/>
    <x v="5"/>
    <n v="27"/>
    <n v="520"/>
    <s v="Rutin kontrol"/>
    <x v="1"/>
    <n v="5.19"/>
    <n v="85.62"/>
    <n v="456.19"/>
    <n v="108.64"/>
    <n v="852.88"/>
    <x v="2"/>
    <s v="4"/>
    <x v="11"/>
    <m/>
    <m/>
    <m/>
    <m/>
    <m/>
  </r>
  <r>
    <x v="86"/>
    <x v="2"/>
    <x v="1"/>
    <x v="17"/>
    <x v="0"/>
    <x v="4"/>
    <x v="0"/>
    <x v="3"/>
    <n v="2"/>
    <n v="16.170000000000002"/>
    <n v="3"/>
    <n v="274.83"/>
    <n v="51"/>
    <x v="4"/>
    <n v="15"/>
    <n v="154"/>
    <s v=""/>
    <x v="1"/>
    <n v="9.74"/>
    <n v="78.52"/>
    <n v="233.61"/>
    <n v="97.02000000000001"/>
    <n v="508.44"/>
    <x v="1"/>
    <s v="18"/>
    <x v="11"/>
    <m/>
    <m/>
    <m/>
    <m/>
    <m/>
  </r>
  <r>
    <x v="87"/>
    <x v="5"/>
    <x v="1"/>
    <x v="2"/>
    <x v="2"/>
    <x v="18"/>
    <x v="1"/>
    <x v="1"/>
    <n v="5"/>
    <n v="14.44"/>
    <n v="4"/>
    <n v="187.35"/>
    <n v="62"/>
    <x v="1"/>
    <n v="34"/>
    <n v="579"/>
    <s v=""/>
    <x v="2"/>
    <n v="5.87"/>
    <n v="83.26"/>
    <n v="193.6"/>
    <n v="288.8"/>
    <n v="380.95"/>
    <x v="0"/>
    <s v="16"/>
    <x v="11"/>
    <m/>
    <m/>
    <m/>
    <m/>
    <m/>
  </r>
  <r>
    <x v="88"/>
    <x v="2"/>
    <x v="0"/>
    <x v="10"/>
    <x v="1"/>
    <x v="3"/>
    <x v="0"/>
    <x v="0"/>
    <n v="4"/>
    <n v="4.62"/>
    <n v="7"/>
    <n v="488.18"/>
    <n v="9"/>
    <x v="3"/>
    <n v="45"/>
    <n v="404"/>
    <s v=""/>
    <x v="2"/>
    <n v="11.14"/>
    <n v="73.72"/>
    <n v="73.23"/>
    <n v="129.36000000000001"/>
    <n v="561.41"/>
    <x v="2"/>
    <s v="6"/>
    <x v="11"/>
    <m/>
    <m/>
    <m/>
    <m/>
    <m/>
  </r>
  <r>
    <x v="89"/>
    <x v="2"/>
    <x v="1"/>
    <x v="13"/>
    <x v="1"/>
    <x v="18"/>
    <x v="4"/>
    <x v="2"/>
    <n v="2"/>
    <n v="7.97"/>
    <n v="8"/>
    <n v="348.51"/>
    <n v="81"/>
    <x v="2"/>
    <n v="22"/>
    <n v="645"/>
    <s v=""/>
    <x v="4"/>
    <n v="3.41"/>
    <n v="91.18"/>
    <n v="470.49"/>
    <n v="127.52"/>
    <n v="819"/>
    <x v="0"/>
    <s v="8"/>
    <x v="11"/>
    <m/>
    <m/>
    <m/>
    <m/>
    <m/>
  </r>
  <r>
    <x v="90"/>
    <x v="5"/>
    <x v="0"/>
    <x v="10"/>
    <x v="1"/>
    <x v="6"/>
    <x v="0"/>
    <x v="4"/>
    <n v="2"/>
    <n v="3.01"/>
    <n v="2"/>
    <n v="233.71"/>
    <n v="9"/>
    <x v="5"/>
    <n v="40"/>
    <n v="204"/>
    <s v=""/>
    <x v="1"/>
    <n v="19.61"/>
    <n v="58.78"/>
    <n v="35.06"/>
    <n v="12.04"/>
    <n v="268.77"/>
    <x v="2"/>
    <s v="4"/>
    <x v="11"/>
    <m/>
    <m/>
    <m/>
    <m/>
    <m/>
  </r>
  <r>
    <x v="84"/>
    <x v="2"/>
    <x v="2"/>
    <x v="4"/>
    <x v="0"/>
    <x v="5"/>
    <x v="0"/>
    <x v="4"/>
    <n v="4"/>
    <n v="12.94"/>
    <n v="9"/>
    <n v="176.21"/>
    <n v="64"/>
    <x v="4"/>
    <n v="23"/>
    <n v="271"/>
    <s v=""/>
    <x v="3"/>
    <n v="8.49"/>
    <n v="79.02"/>
    <n v="187.96"/>
    <n v="465.84"/>
    <n v="364.17"/>
    <x v="0"/>
    <s v="14"/>
    <x v="11"/>
    <m/>
    <m/>
    <m/>
    <m/>
    <m/>
  </r>
  <r>
    <x v="20"/>
    <x v="1"/>
    <x v="0"/>
    <x v="10"/>
    <x v="3"/>
    <x v="14"/>
    <x v="0"/>
    <x v="1"/>
    <n v="4"/>
    <n v="3.31"/>
    <n v="7"/>
    <n v="379"/>
    <n v="25"/>
    <x v="3"/>
    <n v="49"/>
    <n v="598"/>
    <s v=""/>
    <x v="1"/>
    <n v="8.19"/>
    <n v="79.62"/>
    <n v="157.91999999999999"/>
    <n v="92.68"/>
    <n v="536.91999999999996"/>
    <x v="2"/>
    <s v="4"/>
    <x v="11"/>
    <m/>
    <m/>
    <m/>
    <m/>
    <m/>
  </r>
  <r>
    <x v="91"/>
    <x v="3"/>
    <x v="2"/>
    <x v="16"/>
    <x v="3"/>
    <x v="12"/>
    <x v="2"/>
    <x v="0"/>
    <n v="2"/>
    <n v="19.73"/>
    <n v="8"/>
    <n v="158.97999999999999"/>
    <n v="28"/>
    <x v="4"/>
    <n v="4"/>
    <n v="121"/>
    <s v=""/>
    <x v="2"/>
    <n v="3.31"/>
    <n v="91.38"/>
    <n v="74.19"/>
    <n v="315.68"/>
    <n v="233.17"/>
    <x v="1"/>
    <s v="20"/>
    <x v="11"/>
    <m/>
    <m/>
    <m/>
    <m/>
    <m/>
  </r>
  <r>
    <x v="40"/>
    <x v="3"/>
    <x v="1"/>
    <x v="16"/>
    <x v="4"/>
    <x v="3"/>
    <x v="2"/>
    <x v="0"/>
    <n v="2"/>
    <n v="15.83"/>
    <n v="6"/>
    <n v="127.27"/>
    <n v="22"/>
    <x v="3"/>
    <n v="41"/>
    <n v="386"/>
    <s v=""/>
    <x v="1"/>
    <n v="10.62"/>
    <n v="76.760000000000005"/>
    <n v="46.67"/>
    <n v="189.96"/>
    <n v="173.94"/>
    <x v="1"/>
    <s v="16"/>
    <x v="11"/>
    <m/>
    <m/>
    <m/>
    <m/>
    <m/>
  </r>
  <r>
    <x v="90"/>
    <x v="5"/>
    <x v="0"/>
    <x v="4"/>
    <x v="3"/>
    <x v="8"/>
    <x v="4"/>
    <x v="3"/>
    <n v="2"/>
    <n v="8.41"/>
    <n v="6"/>
    <n v="288.43"/>
    <n v="25"/>
    <x v="1"/>
    <n v="23"/>
    <n v="490"/>
    <s v=""/>
    <x v="2"/>
    <n v="4.6900000000000004"/>
    <n v="88.62"/>
    <n v="120.18"/>
    <n v="100.92"/>
    <n v="408.61"/>
    <x v="0"/>
    <s v="10"/>
    <x v="11"/>
    <m/>
    <m/>
    <m/>
    <m/>
    <m/>
  </r>
  <r>
    <x v="92"/>
    <x v="0"/>
    <x v="1"/>
    <x v="13"/>
    <x v="1"/>
    <x v="4"/>
    <x v="0"/>
    <x v="2"/>
    <n v="4"/>
    <n v="11.99"/>
    <n v="9"/>
    <n v="180.49"/>
    <n v="58"/>
    <x v="4"/>
    <n v="47"/>
    <n v="716"/>
    <s v=""/>
    <x v="4"/>
    <n v="6.56"/>
    <n v="82.88"/>
    <n v="174.47"/>
    <n v="431.64"/>
    <n v="354.96000000000004"/>
    <x v="0"/>
    <s v="12"/>
    <x v="11"/>
    <m/>
    <m/>
    <m/>
    <m/>
    <m/>
  </r>
  <r>
    <x v="93"/>
    <x v="5"/>
    <x v="2"/>
    <x v="13"/>
    <x v="1"/>
    <x v="14"/>
    <x v="3"/>
    <x v="0"/>
    <n v="2"/>
    <n v="18.32"/>
    <n v="4"/>
    <n v="333.01"/>
    <n v="14"/>
    <x v="1"/>
    <n v="9"/>
    <n v="248"/>
    <s v=""/>
    <x v="4"/>
    <n v="3.63"/>
    <n v="90.74"/>
    <n v="77.7"/>
    <n v="146.56"/>
    <n v="410.71"/>
    <x v="1"/>
    <s v="20"/>
    <x v="11"/>
    <m/>
    <m/>
    <m/>
    <m/>
    <m/>
  </r>
  <r>
    <x v="94"/>
    <x v="0"/>
    <x v="2"/>
    <x v="9"/>
    <x v="1"/>
    <x v="3"/>
    <x v="4"/>
    <x v="4"/>
    <n v="1"/>
    <n v="11.53"/>
    <n v="5"/>
    <n v="103.07"/>
    <n v="28"/>
    <x v="0"/>
    <n v="24"/>
    <n v="371"/>
    <s v=""/>
    <x v="4"/>
    <n v="6.47"/>
    <n v="86.06"/>
    <n v="48.1"/>
    <n v="57.65"/>
    <n v="151.16999999999999"/>
    <x v="0"/>
    <s v="12"/>
    <x v="11"/>
    <m/>
    <m/>
    <m/>
    <m/>
    <m/>
  </r>
  <r>
    <x v="95"/>
    <x v="3"/>
    <x v="2"/>
    <x v="4"/>
    <x v="4"/>
    <x v="2"/>
    <x v="0"/>
    <x v="2"/>
    <n v="4"/>
    <n v="4.32"/>
    <n v="9"/>
    <n v="344.72"/>
    <n v="89"/>
    <x v="0"/>
    <n v="21"/>
    <n v="887"/>
    <s v=""/>
    <x v="3"/>
    <n v="2.37"/>
    <n v="91.26"/>
    <n v="511.33"/>
    <n v="155.52000000000001"/>
    <n v="856.05"/>
    <x v="2"/>
    <s v="6"/>
    <x v="11"/>
    <m/>
    <m/>
    <m/>
    <m/>
    <m/>
  </r>
  <r>
    <x v="96"/>
    <x v="5"/>
    <x v="1"/>
    <x v="17"/>
    <x v="1"/>
    <x v="17"/>
    <x v="0"/>
    <x v="2"/>
    <n v="1"/>
    <n v="8.1999999999999993"/>
    <n v="1"/>
    <n v="177.48"/>
    <n v="64"/>
    <x v="5"/>
    <n v="41"/>
    <n v="398"/>
    <s v=""/>
    <x v="3"/>
    <n v="10.3"/>
    <n v="78.400000000000006"/>
    <n v="189.31"/>
    <n v="8.1999999999999993"/>
    <n v="366.78999999999996"/>
    <x v="0"/>
    <s v="10"/>
    <x v="11"/>
    <m/>
    <m/>
    <m/>
    <m/>
    <m/>
  </r>
  <r>
    <x v="66"/>
    <x v="4"/>
    <x v="1"/>
    <x v="3"/>
    <x v="3"/>
    <x v="12"/>
    <x v="2"/>
    <x v="1"/>
    <n v="3"/>
    <n v="17.02"/>
    <n v="4"/>
    <n v="50.11"/>
    <n v="61"/>
    <x v="1"/>
    <n v="46"/>
    <n v="271"/>
    <s v=""/>
    <x v="2"/>
    <n v="16.97"/>
    <n v="63.06"/>
    <n v="50.95"/>
    <n v="204.24"/>
    <n v="101.06"/>
    <x v="1"/>
    <s v="18"/>
    <x v="11"/>
    <m/>
    <m/>
    <m/>
    <m/>
    <m/>
  </r>
  <r>
    <x v="7"/>
    <x v="1"/>
    <x v="1"/>
    <x v="1"/>
    <x v="0"/>
    <x v="4"/>
    <x v="4"/>
    <x v="0"/>
    <n v="4"/>
    <n v="13.24"/>
    <n v="7"/>
    <n v="107.12"/>
    <n v="27"/>
    <x v="3"/>
    <n v="16"/>
    <n v="146"/>
    <s v=""/>
    <x v="0"/>
    <n v="10.96"/>
    <n v="74.08"/>
    <n v="48.2"/>
    <n v="370.72"/>
    <n v="155.32"/>
    <x v="0"/>
    <s v="14"/>
    <x v="11"/>
    <m/>
    <m/>
    <m/>
    <m/>
    <m/>
  </r>
  <r>
    <x v="97"/>
    <x v="2"/>
    <x v="1"/>
    <x v="18"/>
    <x v="0"/>
    <x v="10"/>
    <x v="0"/>
    <x v="1"/>
    <n v="3"/>
    <n v="13.36"/>
    <n v="9"/>
    <n v="470.13"/>
    <n v="26"/>
    <x v="5"/>
    <n v="25"/>
    <n v="725"/>
    <s v=""/>
    <x v="3"/>
    <n v="3.45"/>
    <n v="90.1"/>
    <n v="203.72"/>
    <n v="360.71999999999997"/>
    <n v="673.85"/>
    <x v="0"/>
    <s v="14"/>
    <x v="11"/>
    <m/>
    <m/>
    <m/>
    <m/>
    <m/>
  </r>
  <r>
    <x v="2"/>
    <x v="0"/>
    <x v="2"/>
    <x v="11"/>
    <x v="2"/>
    <x v="17"/>
    <x v="0"/>
    <x v="0"/>
    <n v="2"/>
    <n v="17.47"/>
    <n v="6"/>
    <n v="440.31"/>
    <n v="72"/>
    <x v="4"/>
    <n v="26"/>
    <n v="886"/>
    <s v=""/>
    <x v="2"/>
    <n v="2.93"/>
    <n v="92.14"/>
    <n v="528.37"/>
    <n v="209.64"/>
    <n v="968.68000000000006"/>
    <x v="1"/>
    <s v="18"/>
    <x v="11"/>
    <m/>
    <m/>
    <m/>
    <m/>
    <m/>
  </r>
  <r>
    <x v="98"/>
    <x v="4"/>
    <x v="2"/>
    <x v="10"/>
    <x v="3"/>
    <x v="1"/>
    <x v="4"/>
    <x v="3"/>
    <n v="2"/>
    <n v="17.989999999999998"/>
    <n v="8"/>
    <n v="155.12"/>
    <n v="38"/>
    <x v="4"/>
    <n v="49"/>
    <n v="915"/>
    <s v=""/>
    <x v="1"/>
    <n v="5.36"/>
    <n v="87.28"/>
    <n v="98.24"/>
    <n v="287.83999999999997"/>
    <n v="253.36"/>
    <x v="1"/>
    <s v="18"/>
    <x v="11"/>
    <m/>
    <m/>
    <m/>
    <m/>
    <m/>
  </r>
  <r>
    <x v="99"/>
    <x v="2"/>
    <x v="0"/>
    <x v="17"/>
    <x v="1"/>
    <x v="14"/>
    <x v="3"/>
    <x v="1"/>
    <n v="5"/>
    <n v="18.48"/>
    <n v="9"/>
    <n v="400.27"/>
    <n v="74"/>
    <x v="3"/>
    <n v="45"/>
    <n v="306"/>
    <s v=""/>
    <x v="4"/>
    <n v="14.71"/>
    <n v="65.58"/>
    <n v="493.67"/>
    <n v="831.6"/>
    <n v="893.94"/>
    <x v="1"/>
    <s v="20"/>
    <x v="11"/>
    <m/>
    <m/>
    <m/>
    <m/>
    <m/>
  </r>
  <r>
    <x v="100"/>
    <x v="2"/>
    <x v="0"/>
    <x v="14"/>
    <x v="0"/>
    <x v="15"/>
    <x v="4"/>
    <x v="1"/>
    <n v="2"/>
    <n v="2.8"/>
    <n v="4"/>
    <n v="323.86"/>
    <n v="32"/>
    <x v="2"/>
    <n v="9"/>
    <n v="552"/>
    <s v="Rutin kontrol"/>
    <x v="4"/>
    <n v="1.63"/>
    <n v="94.74"/>
    <n v="172.73"/>
    <n v="22.4"/>
    <n v="496.59000000000003"/>
    <x v="2"/>
    <s v="4"/>
    <x v="11"/>
    <m/>
    <m/>
    <m/>
    <m/>
    <m/>
  </r>
  <r>
    <x v="101"/>
    <x v="5"/>
    <x v="1"/>
    <x v="12"/>
    <x v="3"/>
    <x v="17"/>
    <x v="4"/>
    <x v="4"/>
    <n v="3"/>
    <n v="11.34"/>
    <n v="1"/>
    <n v="486.91"/>
    <n v="43"/>
    <x v="2"/>
    <n v="15"/>
    <n v="494"/>
    <s v=""/>
    <x v="4"/>
    <n v="3.04"/>
    <n v="90.92"/>
    <n v="348.95"/>
    <n v="34.019999999999996"/>
    <n v="835.86"/>
    <x v="0"/>
    <s v="12"/>
    <x v="11"/>
    <m/>
    <m/>
    <m/>
    <m/>
    <m/>
  </r>
  <r>
    <x v="14"/>
    <x v="2"/>
    <x v="2"/>
    <x v="9"/>
    <x v="0"/>
    <x v="19"/>
    <x v="3"/>
    <x v="1"/>
    <n v="2"/>
    <n v="15.07"/>
    <n v="8"/>
    <n v="218.12"/>
    <n v="46"/>
    <x v="4"/>
    <n v="39"/>
    <n v="853"/>
    <s v=""/>
    <x v="2"/>
    <n v="4.57"/>
    <n v="88.86"/>
    <n v="167.23"/>
    <n v="241.12"/>
    <n v="385.35"/>
    <x v="1"/>
    <s v="16"/>
    <x v="11"/>
    <m/>
    <m/>
    <m/>
    <m/>
    <m/>
  </r>
  <r>
    <x v="70"/>
    <x v="1"/>
    <x v="2"/>
    <x v="10"/>
    <x v="1"/>
    <x v="7"/>
    <x v="4"/>
    <x v="0"/>
    <n v="4"/>
    <n v="15.38"/>
    <n v="2"/>
    <n v="356.66"/>
    <n v="27"/>
    <x v="3"/>
    <n v="33"/>
    <n v="400"/>
    <s v=""/>
    <x v="4"/>
    <n v="8.25"/>
    <n v="79.5"/>
    <n v="160.5"/>
    <n v="123.04"/>
    <n v="517.16000000000008"/>
    <x v="1"/>
    <s v="16"/>
    <x v="11"/>
    <m/>
    <m/>
    <m/>
    <m/>
    <m/>
  </r>
  <r>
    <x v="102"/>
    <x v="4"/>
    <x v="2"/>
    <x v="10"/>
    <x v="0"/>
    <x v="9"/>
    <x v="0"/>
    <x v="4"/>
    <n v="2"/>
    <n v="12.53"/>
    <n v="1"/>
    <n v="78.59"/>
    <n v="74"/>
    <x v="2"/>
    <n v="1"/>
    <n v="807"/>
    <s v=""/>
    <x v="3"/>
    <n v="0.12"/>
    <n v="97.76"/>
    <n v="96.93"/>
    <n v="25.06"/>
    <n v="175.52"/>
    <x v="0"/>
    <s v="14"/>
    <x v="11"/>
    <m/>
    <m/>
    <m/>
    <m/>
    <m/>
  </r>
  <r>
    <x v="41"/>
    <x v="2"/>
    <x v="0"/>
    <x v="14"/>
    <x v="2"/>
    <x v="5"/>
    <x v="4"/>
    <x v="1"/>
    <n v="5"/>
    <n v="4.17"/>
    <n v="7"/>
    <n v="228.31"/>
    <n v="84"/>
    <x v="1"/>
    <n v="5"/>
    <n v="775"/>
    <s v="Eğitim önerildi"/>
    <x v="1"/>
    <n v="0.65"/>
    <n v="93.7"/>
    <n v="319.63"/>
    <n v="145.94999999999999"/>
    <n v="547.94000000000005"/>
    <x v="2"/>
    <s v="6"/>
    <x v="11"/>
    <m/>
    <m/>
    <m/>
    <m/>
    <m/>
  </r>
  <r>
    <x v="85"/>
    <x v="5"/>
    <x v="0"/>
    <x v="16"/>
    <x v="2"/>
    <x v="15"/>
    <x v="3"/>
    <x v="1"/>
    <n v="2"/>
    <n v="16.149999999999999"/>
    <n v="9"/>
    <n v="483.72"/>
    <n v="6"/>
    <x v="4"/>
    <n v="9"/>
    <n v="275"/>
    <s v=""/>
    <x v="4"/>
    <n v="3.27"/>
    <n v="91.46"/>
    <n v="48.37"/>
    <n v="290.7"/>
    <n v="532.09"/>
    <x v="1"/>
    <s v="18"/>
    <x v="11"/>
    <m/>
    <m/>
    <m/>
    <m/>
    <m/>
  </r>
  <r>
    <x v="103"/>
    <x v="1"/>
    <x v="2"/>
    <x v="6"/>
    <x v="0"/>
    <x v="6"/>
    <x v="1"/>
    <x v="3"/>
    <n v="3"/>
    <n v="14.68"/>
    <n v="9"/>
    <n v="292.54000000000002"/>
    <n v="28"/>
    <x v="0"/>
    <n v="44"/>
    <n v="954"/>
    <s v=""/>
    <x v="2"/>
    <n v="4.6100000000000003"/>
    <n v="87.78"/>
    <n v="136.52000000000001"/>
    <n v="396.36"/>
    <n v="429.06000000000006"/>
    <x v="0"/>
    <s v="16"/>
    <x v="11"/>
    <m/>
    <m/>
    <m/>
    <m/>
    <m/>
  </r>
  <r>
    <x v="104"/>
    <x v="3"/>
    <x v="2"/>
    <x v="1"/>
    <x v="3"/>
    <x v="14"/>
    <x v="4"/>
    <x v="1"/>
    <n v="3"/>
    <n v="2.64"/>
    <n v="3"/>
    <n v="179.55"/>
    <n v="21"/>
    <x v="1"/>
    <n v="6"/>
    <n v="882"/>
    <s v=""/>
    <x v="1"/>
    <n v="0.68"/>
    <n v="95.64"/>
    <n v="62.84"/>
    <n v="23.76"/>
    <n v="242.39000000000001"/>
    <x v="2"/>
    <s v="4"/>
    <x v="11"/>
    <m/>
    <m/>
    <m/>
    <m/>
    <m/>
  </r>
  <r>
    <x v="105"/>
    <x v="4"/>
    <x v="2"/>
    <x v="4"/>
    <x v="3"/>
    <x v="2"/>
    <x v="2"/>
    <x v="2"/>
    <n v="2"/>
    <n v="9.81"/>
    <n v="6"/>
    <n v="104.12"/>
    <n v="69"/>
    <x v="3"/>
    <n v="28"/>
    <n v="209"/>
    <s v=""/>
    <x v="4"/>
    <n v="13.4"/>
    <n v="71.2"/>
    <n v="119.74"/>
    <n v="117.72"/>
    <n v="223.86"/>
    <x v="0"/>
    <s v="10"/>
    <x v="11"/>
    <m/>
    <m/>
    <m/>
    <m/>
    <m/>
  </r>
  <r>
    <x v="23"/>
    <x v="2"/>
    <x v="0"/>
    <x v="0"/>
    <x v="3"/>
    <x v="4"/>
    <x v="0"/>
    <x v="4"/>
    <n v="3"/>
    <n v="4.3099999999999996"/>
    <n v="7"/>
    <n v="366.59"/>
    <n v="74"/>
    <x v="0"/>
    <n v="45"/>
    <n v="783"/>
    <s v=""/>
    <x v="0"/>
    <n v="5.75"/>
    <n v="85.5"/>
    <n v="452.13"/>
    <n v="90.509999999999991"/>
    <n v="818.72"/>
    <x v="2"/>
    <s v="6"/>
    <x v="11"/>
    <m/>
    <m/>
    <m/>
    <m/>
    <m/>
  </r>
  <r>
    <x v="45"/>
    <x v="5"/>
    <x v="2"/>
    <x v="17"/>
    <x v="0"/>
    <x v="13"/>
    <x v="0"/>
    <x v="2"/>
    <n v="3"/>
    <n v="7.41"/>
    <n v="9"/>
    <n v="340.19"/>
    <n v="73"/>
    <x v="1"/>
    <n v="26"/>
    <n v="963"/>
    <s v=""/>
    <x v="4"/>
    <n v="2.7"/>
    <n v="91.6"/>
    <n v="413.9"/>
    <n v="200.07"/>
    <n v="754.08999999999992"/>
    <x v="0"/>
    <s v="8"/>
    <x v="11"/>
    <m/>
    <m/>
    <m/>
    <m/>
    <m/>
  </r>
  <r>
    <x v="94"/>
    <x v="3"/>
    <x v="2"/>
    <x v="3"/>
    <x v="3"/>
    <x v="18"/>
    <x v="2"/>
    <x v="4"/>
    <n v="5"/>
    <n v="1.34"/>
    <n v="2"/>
    <n v="218.27"/>
    <n v="64"/>
    <x v="2"/>
    <n v="28"/>
    <n v="301"/>
    <s v=""/>
    <x v="3"/>
    <n v="9.3000000000000007"/>
    <n v="76.400000000000006"/>
    <n v="232.82"/>
    <n v="13.4"/>
    <n v="451.09000000000003"/>
    <x v="2"/>
    <s v="2"/>
    <x v="11"/>
    <m/>
    <m/>
    <m/>
    <m/>
    <m/>
  </r>
  <r>
    <x v="106"/>
    <x v="3"/>
    <x v="1"/>
    <x v="2"/>
    <x v="1"/>
    <x v="1"/>
    <x v="2"/>
    <x v="3"/>
    <n v="4"/>
    <n v="8.61"/>
    <n v="8"/>
    <n v="477.92"/>
    <n v="54"/>
    <x v="2"/>
    <n v="40"/>
    <n v="267"/>
    <s v=""/>
    <x v="1"/>
    <n v="14.98"/>
    <n v="66.040000000000006"/>
    <n v="430.13"/>
    <n v="275.52"/>
    <n v="908.05"/>
    <x v="0"/>
    <s v="10"/>
    <x v="11"/>
    <m/>
    <m/>
    <m/>
    <m/>
    <m/>
  </r>
  <r>
    <x v="54"/>
    <x v="0"/>
    <x v="1"/>
    <x v="18"/>
    <x v="2"/>
    <x v="16"/>
    <x v="4"/>
    <x v="1"/>
    <n v="5"/>
    <n v="11.45"/>
    <n v="7"/>
    <n v="59.99"/>
    <n v="16"/>
    <x v="0"/>
    <n v="15"/>
    <n v="713"/>
    <s v=""/>
    <x v="3"/>
    <n v="2.1"/>
    <n v="90.8"/>
    <n v="16"/>
    <n v="400.75"/>
    <n v="75.990000000000009"/>
    <x v="0"/>
    <s v="12"/>
    <x v="11"/>
    <m/>
    <m/>
    <m/>
    <m/>
    <m/>
  </r>
  <r>
    <x v="107"/>
    <x v="1"/>
    <x v="0"/>
    <x v="3"/>
    <x v="1"/>
    <x v="17"/>
    <x v="2"/>
    <x v="1"/>
    <n v="1"/>
    <n v="12.77"/>
    <n v="4"/>
    <n v="186.68"/>
    <n v="51"/>
    <x v="5"/>
    <n v="6"/>
    <n v="185"/>
    <s v=""/>
    <x v="0"/>
    <n v="3.24"/>
    <n v="92.52"/>
    <n v="158.68"/>
    <n v="51.08"/>
    <n v="345.36"/>
    <x v="0"/>
    <s v="14"/>
    <x v="11"/>
    <m/>
    <m/>
    <m/>
    <m/>
    <m/>
  </r>
  <r>
    <x v="73"/>
    <x v="2"/>
    <x v="2"/>
    <x v="15"/>
    <x v="3"/>
    <x v="14"/>
    <x v="1"/>
    <x v="1"/>
    <n v="5"/>
    <n v="13.61"/>
    <n v="2"/>
    <n v="464.48"/>
    <n v="71"/>
    <x v="4"/>
    <n v="27"/>
    <n v="753"/>
    <s v=""/>
    <x v="0"/>
    <n v="3.59"/>
    <n v="87.82"/>
    <n v="549.63"/>
    <n v="136.1"/>
    <n v="1014.11"/>
    <x v="0"/>
    <s v="14"/>
    <x v="11"/>
    <m/>
    <m/>
    <m/>
    <m/>
    <m/>
  </r>
  <r>
    <x v="64"/>
    <x v="5"/>
    <x v="2"/>
    <x v="13"/>
    <x v="1"/>
    <x v="14"/>
    <x v="3"/>
    <x v="4"/>
    <n v="2"/>
    <n v="16.89"/>
    <n v="8"/>
    <n v="194.42"/>
    <n v="69"/>
    <x v="0"/>
    <n v="38"/>
    <n v="948"/>
    <s v=""/>
    <x v="3"/>
    <n v="4.01"/>
    <n v="89.98"/>
    <n v="223.58"/>
    <n v="270.24"/>
    <n v="418"/>
    <x v="1"/>
    <s v="18"/>
    <x v="11"/>
    <m/>
    <m/>
    <m/>
    <m/>
    <m/>
  </r>
  <r>
    <x v="108"/>
    <x v="0"/>
    <x v="1"/>
    <x v="2"/>
    <x v="3"/>
    <x v="16"/>
    <x v="2"/>
    <x v="1"/>
    <n v="4"/>
    <n v="5.09"/>
    <n v="5"/>
    <n v="163.51"/>
    <n v="31"/>
    <x v="3"/>
    <n v="4"/>
    <n v="824"/>
    <s v=""/>
    <x v="1"/>
    <n v="0.49"/>
    <n v="95.02"/>
    <n v="84.48"/>
    <n v="101.8"/>
    <n v="247.99"/>
    <x v="2"/>
    <s v="6"/>
    <x v="11"/>
    <m/>
    <m/>
    <m/>
    <m/>
    <m/>
  </r>
  <r>
    <x v="109"/>
    <x v="1"/>
    <x v="0"/>
    <x v="3"/>
    <x v="0"/>
    <x v="9"/>
    <x v="2"/>
    <x v="2"/>
    <n v="2"/>
    <n v="3.29"/>
    <n v="6"/>
    <n v="290.39999999999998"/>
    <n v="52"/>
    <x v="4"/>
    <n v="11"/>
    <n v="150"/>
    <s v=""/>
    <x v="0"/>
    <n v="7.33"/>
    <n v="83.34"/>
    <n v="251.68"/>
    <n v="39.480000000000004"/>
    <n v="542.07999999999993"/>
    <x v="2"/>
    <s v="4"/>
    <x v="11"/>
    <m/>
    <m/>
    <m/>
    <m/>
    <m/>
  </r>
  <r>
    <x v="110"/>
    <x v="0"/>
    <x v="1"/>
    <x v="4"/>
    <x v="1"/>
    <x v="17"/>
    <x v="1"/>
    <x v="1"/>
    <n v="1"/>
    <n v="17.18"/>
    <n v="7"/>
    <n v="420.71"/>
    <n v="66"/>
    <x v="1"/>
    <n v="21"/>
    <n v="211"/>
    <s v=""/>
    <x v="0"/>
    <n v="9.9499999999999993"/>
    <n v="79.099999999999994"/>
    <n v="462.78"/>
    <n v="120.25999999999999"/>
    <n v="883.49"/>
    <x v="1"/>
    <s v="18"/>
    <x v="11"/>
    <m/>
    <m/>
    <m/>
    <m/>
    <m/>
  </r>
  <r>
    <x v="111"/>
    <x v="4"/>
    <x v="1"/>
    <x v="9"/>
    <x v="0"/>
    <x v="4"/>
    <x v="0"/>
    <x v="3"/>
    <n v="4"/>
    <n v="3.98"/>
    <n v="1"/>
    <n v="96.42"/>
    <n v="48"/>
    <x v="3"/>
    <n v="30"/>
    <n v="562"/>
    <s v=""/>
    <x v="4"/>
    <n v="5.34"/>
    <n v="85.32"/>
    <n v="77.14"/>
    <n v="15.92"/>
    <n v="173.56"/>
    <x v="2"/>
    <s v="4"/>
    <x v="11"/>
    <m/>
    <m/>
    <m/>
    <m/>
    <m/>
  </r>
  <r>
    <x v="112"/>
    <x v="1"/>
    <x v="1"/>
    <x v="17"/>
    <x v="0"/>
    <x v="3"/>
    <x v="0"/>
    <x v="2"/>
    <n v="3"/>
    <n v="19.52"/>
    <n v="8"/>
    <n v="474.36"/>
    <n v="23"/>
    <x v="3"/>
    <n v="18"/>
    <n v="541"/>
    <s v=""/>
    <x v="2"/>
    <n v="3.33"/>
    <n v="90.34"/>
    <n v="181.84"/>
    <n v="468.48"/>
    <n v="656.2"/>
    <x v="1"/>
    <s v="20"/>
    <x v="11"/>
    <m/>
    <m/>
    <m/>
    <m/>
    <m/>
  </r>
  <r>
    <x v="113"/>
    <x v="1"/>
    <x v="1"/>
    <x v="5"/>
    <x v="4"/>
    <x v="8"/>
    <x v="4"/>
    <x v="1"/>
    <n v="5"/>
    <n v="17.010000000000002"/>
    <n v="4"/>
    <n v="407.78"/>
    <n v="63"/>
    <x v="2"/>
    <n v="35"/>
    <n v="370"/>
    <s v=""/>
    <x v="0"/>
    <n v="9.4600000000000009"/>
    <n v="76.08"/>
    <n v="428.17"/>
    <n v="340.20000000000005"/>
    <n v="835.95"/>
    <x v="1"/>
    <s v="18"/>
    <x v="11"/>
    <m/>
    <m/>
    <m/>
    <m/>
    <m/>
  </r>
  <r>
    <x v="114"/>
    <x v="2"/>
    <x v="2"/>
    <x v="17"/>
    <x v="3"/>
    <x v="15"/>
    <x v="1"/>
    <x v="1"/>
    <n v="2"/>
    <n v="10.52"/>
    <n v="9"/>
    <n v="131.56"/>
    <n v="12"/>
    <x v="1"/>
    <n v="3"/>
    <n v="676"/>
    <s v=""/>
    <x v="1"/>
    <n v="0.44"/>
    <n v="97.12"/>
    <n v="26.31"/>
    <n v="189.35999999999999"/>
    <n v="157.87"/>
    <x v="0"/>
    <s v="12"/>
    <x v="11"/>
    <m/>
    <m/>
    <m/>
    <m/>
    <m/>
  </r>
  <r>
    <x v="115"/>
    <x v="1"/>
    <x v="2"/>
    <x v="19"/>
    <x v="2"/>
    <x v="19"/>
    <x v="3"/>
    <x v="0"/>
    <n v="1"/>
    <n v="19.649999999999999"/>
    <n v="1"/>
    <n v="370.4"/>
    <n v="59"/>
    <x v="2"/>
    <n v="12"/>
    <n v="443"/>
    <s v=""/>
    <x v="1"/>
    <n v="2.71"/>
    <n v="93.58"/>
    <n v="364.23"/>
    <n v="19.649999999999999"/>
    <n v="734.63"/>
    <x v="1"/>
    <s v="20"/>
    <x v="11"/>
    <m/>
    <m/>
    <m/>
    <m/>
    <m/>
  </r>
  <r>
    <x v="15"/>
    <x v="0"/>
    <x v="1"/>
    <x v="3"/>
    <x v="3"/>
    <x v="2"/>
    <x v="3"/>
    <x v="4"/>
    <n v="3"/>
    <n v="2.85"/>
    <n v="2"/>
    <n v="223.23"/>
    <n v="51"/>
    <x v="2"/>
    <n v="27"/>
    <n v="282"/>
    <s v=""/>
    <x v="4"/>
    <n v="9.57"/>
    <n v="77.86"/>
    <n v="189.75"/>
    <n v="17.100000000000001"/>
    <n v="412.98"/>
    <x v="2"/>
    <s v="4"/>
    <x v="11"/>
    <m/>
    <m/>
    <m/>
    <m/>
    <m/>
  </r>
  <r>
    <x v="116"/>
    <x v="1"/>
    <x v="0"/>
    <x v="0"/>
    <x v="2"/>
    <x v="15"/>
    <x v="1"/>
    <x v="2"/>
    <n v="5"/>
    <n v="6.76"/>
    <n v="6"/>
    <n v="231.03"/>
    <n v="6"/>
    <x v="5"/>
    <n v="30"/>
    <n v="602"/>
    <s v=""/>
    <x v="1"/>
    <n v="4.9800000000000004"/>
    <n v="85.04"/>
    <n v="23.1"/>
    <n v="202.79999999999998"/>
    <n v="254.13"/>
    <x v="0"/>
    <s v="8"/>
    <x v="11"/>
    <m/>
    <m/>
    <m/>
    <m/>
    <m/>
  </r>
  <r>
    <x v="117"/>
    <x v="2"/>
    <x v="0"/>
    <x v="8"/>
    <x v="3"/>
    <x v="8"/>
    <x v="3"/>
    <x v="0"/>
    <n v="3"/>
    <n v="13.13"/>
    <n v="1"/>
    <n v="402.48"/>
    <n v="43"/>
    <x v="2"/>
    <n v="21"/>
    <n v="943"/>
    <s v=""/>
    <x v="4"/>
    <n v="2.23"/>
    <n v="92.54"/>
    <n v="288.44"/>
    <n v="39.39"/>
    <n v="690.92000000000007"/>
    <x v="0"/>
    <s v="14"/>
    <x v="11"/>
    <m/>
    <m/>
    <m/>
    <m/>
    <m/>
  </r>
  <r>
    <x v="118"/>
    <x v="2"/>
    <x v="0"/>
    <x v="3"/>
    <x v="0"/>
    <x v="12"/>
    <x v="0"/>
    <x v="3"/>
    <n v="5"/>
    <n v="7.65"/>
    <n v="4"/>
    <n v="483.25"/>
    <n v="49"/>
    <x v="4"/>
    <n v="38"/>
    <n v="109"/>
    <s v=""/>
    <x v="0"/>
    <n v="34.86"/>
    <n v="25.28"/>
    <n v="394.65"/>
    <n v="153"/>
    <n v="877.9"/>
    <x v="0"/>
    <s v="8"/>
    <x v="11"/>
    <m/>
    <m/>
    <m/>
    <m/>
    <m/>
  </r>
  <r>
    <x v="119"/>
    <x v="4"/>
    <x v="0"/>
    <x v="14"/>
    <x v="1"/>
    <x v="3"/>
    <x v="3"/>
    <x v="4"/>
    <n v="4"/>
    <n v="18.64"/>
    <n v="8"/>
    <n v="107"/>
    <n v="36"/>
    <x v="3"/>
    <n v="21"/>
    <n v="593"/>
    <s v="Kontrol tekrarlandı"/>
    <x v="0"/>
    <n v="3.54"/>
    <n v="88.92"/>
    <n v="64.2"/>
    <n v="596.48"/>
    <n v="171.2"/>
    <x v="1"/>
    <s v="20"/>
    <x v="11"/>
    <m/>
    <m/>
    <m/>
    <m/>
    <m/>
  </r>
  <r>
    <x v="120"/>
    <x v="0"/>
    <x v="1"/>
    <x v="8"/>
    <x v="1"/>
    <x v="2"/>
    <x v="3"/>
    <x v="2"/>
    <n v="3"/>
    <n v="2.25"/>
    <n v="5"/>
    <n v="239.28"/>
    <n v="69"/>
    <x v="2"/>
    <n v="38"/>
    <n v="333"/>
    <s v=""/>
    <x v="0"/>
    <n v="11.41"/>
    <n v="74.180000000000007"/>
    <n v="275.17"/>
    <n v="33.75"/>
    <n v="514.45000000000005"/>
    <x v="2"/>
    <s v="4"/>
    <x v="11"/>
    <m/>
    <m/>
    <m/>
    <m/>
    <m/>
  </r>
  <r>
    <x v="27"/>
    <x v="3"/>
    <x v="2"/>
    <x v="9"/>
    <x v="4"/>
    <x v="18"/>
    <x v="1"/>
    <x v="1"/>
    <n v="3"/>
    <n v="11.44"/>
    <n v="9"/>
    <n v="266.42"/>
    <n v="42"/>
    <x v="0"/>
    <n v="40"/>
    <n v="397"/>
    <s v=""/>
    <x v="0"/>
    <n v="10.08"/>
    <n v="76.84"/>
    <n v="186.49"/>
    <n v="308.88"/>
    <n v="452.91"/>
    <x v="0"/>
    <s v="12"/>
    <x v="11"/>
    <m/>
    <m/>
    <m/>
    <m/>
    <m/>
  </r>
  <r>
    <x v="78"/>
    <x v="3"/>
    <x v="0"/>
    <x v="10"/>
    <x v="2"/>
    <x v="2"/>
    <x v="1"/>
    <x v="2"/>
    <n v="3"/>
    <n v="12.23"/>
    <n v="6"/>
    <n v="219.34"/>
    <n v="81"/>
    <x v="4"/>
    <n v="15"/>
    <n v="343"/>
    <s v=""/>
    <x v="2"/>
    <n v="4.37"/>
    <n v="88.26"/>
    <n v="296.11"/>
    <n v="220.14000000000001"/>
    <n v="515.45000000000005"/>
    <x v="0"/>
    <s v="14"/>
    <x v="11"/>
    <m/>
    <m/>
    <m/>
    <m/>
    <m/>
  </r>
  <r>
    <x v="121"/>
    <x v="1"/>
    <x v="1"/>
    <x v="13"/>
    <x v="2"/>
    <x v="3"/>
    <x v="3"/>
    <x v="1"/>
    <n v="4"/>
    <n v="13.4"/>
    <n v="1"/>
    <n v="213.44"/>
    <n v="15"/>
    <x v="1"/>
    <n v="18"/>
    <n v="608"/>
    <s v=""/>
    <x v="2"/>
    <n v="2.96"/>
    <n v="90.08"/>
    <n v="53.36"/>
    <n v="53.6"/>
    <n v="266.8"/>
    <x v="0"/>
    <s v="14"/>
    <x v="11"/>
    <m/>
    <m/>
    <m/>
    <m/>
    <m/>
  </r>
  <r>
    <x v="70"/>
    <x v="4"/>
    <x v="0"/>
    <x v="13"/>
    <x v="2"/>
    <x v="16"/>
    <x v="2"/>
    <x v="4"/>
    <n v="1"/>
    <n v="5.86"/>
    <n v="6"/>
    <n v="73.52"/>
    <n v="14"/>
    <x v="3"/>
    <n v="29"/>
    <n v="450"/>
    <s v=""/>
    <x v="0"/>
    <n v="6.44"/>
    <n v="86.12"/>
    <n v="17.149999999999999"/>
    <n v="35.160000000000004"/>
    <n v="90.669999999999987"/>
    <x v="2"/>
    <s v="6"/>
    <x v="11"/>
    <m/>
    <m/>
    <m/>
    <m/>
    <m/>
  </r>
  <r>
    <x v="122"/>
    <x v="5"/>
    <x v="0"/>
    <x v="18"/>
    <x v="0"/>
    <x v="17"/>
    <x v="1"/>
    <x v="1"/>
    <n v="5"/>
    <n v="7.93"/>
    <n v="6"/>
    <n v="358.49"/>
    <n v="63"/>
    <x v="0"/>
    <n v="48"/>
    <n v="366"/>
    <s v=""/>
    <x v="1"/>
    <n v="13.11"/>
    <n v="68.78"/>
    <n v="376.41"/>
    <n v="237.89999999999998"/>
    <n v="734.90000000000009"/>
    <x v="0"/>
    <s v="8"/>
    <x v="11"/>
    <m/>
    <m/>
    <m/>
    <m/>
    <m/>
  </r>
  <r>
    <x v="13"/>
    <x v="1"/>
    <x v="1"/>
    <x v="14"/>
    <x v="2"/>
    <x v="11"/>
    <x v="4"/>
    <x v="3"/>
    <n v="3"/>
    <n v="17.03"/>
    <n v="6"/>
    <n v="246.3"/>
    <n v="59"/>
    <x v="0"/>
    <n v="38"/>
    <n v="729"/>
    <s v="Kritik hata"/>
    <x v="4"/>
    <n v="5.21"/>
    <n v="86.58"/>
    <n v="242.2"/>
    <n v="306.54000000000002"/>
    <n v="488.5"/>
    <x v="1"/>
    <s v="18"/>
    <x v="11"/>
    <m/>
    <m/>
    <m/>
    <m/>
    <m/>
  </r>
  <r>
    <x v="123"/>
    <x v="4"/>
    <x v="2"/>
    <x v="2"/>
    <x v="1"/>
    <x v="14"/>
    <x v="4"/>
    <x v="1"/>
    <n v="4"/>
    <n v="4.7"/>
    <n v="8"/>
    <n v="137.66"/>
    <n v="24"/>
    <x v="1"/>
    <n v="21"/>
    <n v="755"/>
    <s v=""/>
    <x v="3"/>
    <n v="2.78"/>
    <n v="90.44"/>
    <n v="55.06"/>
    <n v="150.4"/>
    <n v="192.72"/>
    <x v="2"/>
    <s v="6"/>
    <x v="11"/>
    <m/>
    <m/>
    <m/>
    <m/>
    <m/>
  </r>
  <r>
    <x v="124"/>
    <x v="0"/>
    <x v="2"/>
    <x v="0"/>
    <x v="0"/>
    <x v="2"/>
    <x v="0"/>
    <x v="3"/>
    <n v="1"/>
    <n v="16.71"/>
    <n v="6"/>
    <n v="417.22"/>
    <n v="85"/>
    <x v="0"/>
    <n v="17"/>
    <n v="992"/>
    <s v=""/>
    <x v="4"/>
    <n v="1.71"/>
    <n v="95.58"/>
    <n v="591.05999999999995"/>
    <n v="100.26"/>
    <n v="1008.28"/>
    <x v="1"/>
    <s v="18"/>
    <x v="11"/>
    <m/>
    <m/>
    <m/>
    <m/>
    <m/>
  </r>
  <r>
    <x v="113"/>
    <x v="0"/>
    <x v="1"/>
    <x v="3"/>
    <x v="3"/>
    <x v="6"/>
    <x v="3"/>
    <x v="4"/>
    <n v="5"/>
    <n v="11.69"/>
    <n v="5"/>
    <n v="411.15"/>
    <n v="21"/>
    <x v="4"/>
    <n v="41"/>
    <n v="300"/>
    <s v=""/>
    <x v="3"/>
    <n v="13.67"/>
    <n v="67.66"/>
    <n v="143.9"/>
    <n v="292.25"/>
    <n v="555.04999999999995"/>
    <x v="0"/>
    <s v="12"/>
    <x v="11"/>
    <m/>
    <m/>
    <m/>
    <m/>
    <m/>
  </r>
  <r>
    <x v="125"/>
    <x v="0"/>
    <x v="2"/>
    <x v="3"/>
    <x v="2"/>
    <x v="0"/>
    <x v="2"/>
    <x v="4"/>
    <n v="4"/>
    <n v="15.48"/>
    <n v="2"/>
    <n v="268.88"/>
    <n v="72"/>
    <x v="1"/>
    <n v="18"/>
    <n v="338"/>
    <s v=""/>
    <x v="3"/>
    <n v="5.33"/>
    <n v="85.34"/>
    <n v="322.66000000000003"/>
    <n v="123.84"/>
    <n v="591.54"/>
    <x v="1"/>
    <s v="16"/>
    <x v="11"/>
    <m/>
    <m/>
    <m/>
    <m/>
    <m/>
  </r>
  <r>
    <x v="46"/>
    <x v="0"/>
    <x v="1"/>
    <x v="16"/>
    <x v="2"/>
    <x v="13"/>
    <x v="0"/>
    <x v="2"/>
    <n v="5"/>
    <n v="14.56"/>
    <n v="4"/>
    <n v="184.3"/>
    <n v="9"/>
    <x v="0"/>
    <n v="37"/>
    <n v="433"/>
    <s v=""/>
    <x v="0"/>
    <n v="8.5500000000000007"/>
    <n v="77.900000000000006"/>
    <n v="27.64"/>
    <n v="291.2"/>
    <n v="211.94"/>
    <x v="0"/>
    <s v="16"/>
    <x v="11"/>
    <m/>
    <m/>
    <m/>
    <m/>
    <m/>
  </r>
  <r>
    <x v="88"/>
    <x v="0"/>
    <x v="1"/>
    <x v="8"/>
    <x v="3"/>
    <x v="5"/>
    <x v="3"/>
    <x v="3"/>
    <n v="3"/>
    <n v="4.9400000000000004"/>
    <n v="5"/>
    <n v="337.14"/>
    <n v="64"/>
    <x v="1"/>
    <n v="38"/>
    <n v="514"/>
    <s v=""/>
    <x v="3"/>
    <n v="7.39"/>
    <n v="82.22"/>
    <n v="359.62"/>
    <n v="74.100000000000009"/>
    <n v="696.76"/>
    <x v="2"/>
    <s v="6"/>
    <x v="11"/>
    <m/>
    <m/>
    <m/>
    <m/>
    <m/>
  </r>
  <r>
    <x v="126"/>
    <x v="4"/>
    <x v="1"/>
    <x v="13"/>
    <x v="2"/>
    <x v="3"/>
    <x v="1"/>
    <x v="3"/>
    <n v="1"/>
    <n v="11.81"/>
    <n v="4"/>
    <n v="179.67"/>
    <n v="27"/>
    <x v="1"/>
    <n v="12"/>
    <n v="583"/>
    <s v=""/>
    <x v="0"/>
    <n v="2.06"/>
    <n v="94.88"/>
    <n v="80.849999999999994"/>
    <n v="47.24"/>
    <n v="260.52"/>
    <x v="0"/>
    <s v="12"/>
    <x v="11"/>
    <m/>
    <m/>
    <m/>
    <m/>
    <m/>
  </r>
  <r>
    <x v="127"/>
    <x v="4"/>
    <x v="2"/>
    <x v="8"/>
    <x v="3"/>
    <x v="10"/>
    <x v="4"/>
    <x v="0"/>
    <n v="4"/>
    <n v="17.489999999999998"/>
    <n v="2"/>
    <n v="156.19999999999999"/>
    <n v="50"/>
    <x v="2"/>
    <n v="11"/>
    <n v="536"/>
    <s v=""/>
    <x v="2"/>
    <n v="2.0499999999999998"/>
    <n v="91.9"/>
    <n v="130.16999999999999"/>
    <n v="139.91999999999999"/>
    <n v="286.37"/>
    <x v="1"/>
    <s v="18"/>
    <x v="11"/>
    <m/>
    <m/>
    <m/>
    <m/>
    <m/>
  </r>
  <r>
    <x v="73"/>
    <x v="2"/>
    <x v="1"/>
    <x v="16"/>
    <x v="0"/>
    <x v="9"/>
    <x v="2"/>
    <x v="0"/>
    <n v="1"/>
    <n v="9.2100000000000009"/>
    <n v="7"/>
    <n v="378.73"/>
    <n v="56"/>
    <x v="2"/>
    <n v="48"/>
    <n v="345"/>
    <s v=""/>
    <x v="1"/>
    <n v="13.91"/>
    <n v="71.180000000000007"/>
    <n v="353.48"/>
    <n v="64.47"/>
    <n v="732.21"/>
    <x v="0"/>
    <s v="10"/>
    <x v="11"/>
    <m/>
    <m/>
    <m/>
    <m/>
    <m/>
  </r>
  <r>
    <x v="70"/>
    <x v="3"/>
    <x v="0"/>
    <x v="4"/>
    <x v="1"/>
    <x v="13"/>
    <x v="4"/>
    <x v="0"/>
    <n v="3"/>
    <n v="19.37"/>
    <n v="2"/>
    <n v="68.150000000000006"/>
    <n v="14"/>
    <x v="2"/>
    <n v="49"/>
    <n v="957"/>
    <s v=""/>
    <x v="3"/>
    <n v="5.12"/>
    <n v="86.76"/>
    <n v="15.9"/>
    <n v="116.22"/>
    <n v="84.050000000000011"/>
    <x v="1"/>
    <s v="20"/>
    <x v="11"/>
    <m/>
    <m/>
    <m/>
    <m/>
    <m/>
  </r>
  <r>
    <x v="128"/>
    <x v="0"/>
    <x v="2"/>
    <x v="8"/>
    <x v="3"/>
    <x v="0"/>
    <x v="1"/>
    <x v="1"/>
    <n v="1"/>
    <n v="9.59"/>
    <n v="1"/>
    <n v="92.65"/>
    <n v="50"/>
    <x v="0"/>
    <n v="20"/>
    <n v="107"/>
    <s v=""/>
    <x v="1"/>
    <n v="18.690000000000001"/>
    <n v="61.62"/>
    <n v="77.209999999999994"/>
    <n v="9.59"/>
    <n v="169.86"/>
    <x v="0"/>
    <s v="10"/>
    <x v="11"/>
    <m/>
    <m/>
    <m/>
    <m/>
    <m/>
  </r>
  <r>
    <x v="129"/>
    <x v="5"/>
    <x v="2"/>
    <x v="1"/>
    <x v="4"/>
    <x v="18"/>
    <x v="3"/>
    <x v="0"/>
    <n v="1"/>
    <n v="3.71"/>
    <n v="5"/>
    <n v="53.05"/>
    <n v="32"/>
    <x v="3"/>
    <n v="9"/>
    <n v="251"/>
    <s v=""/>
    <x v="0"/>
    <n v="3.59"/>
    <n v="91.82"/>
    <n v="28.29"/>
    <n v="18.55"/>
    <n v="81.34"/>
    <x v="2"/>
    <s v="4"/>
    <x v="11"/>
    <m/>
    <m/>
    <m/>
    <m/>
    <m/>
  </r>
  <r>
    <x v="130"/>
    <x v="4"/>
    <x v="2"/>
    <x v="7"/>
    <x v="3"/>
    <x v="14"/>
    <x v="1"/>
    <x v="3"/>
    <n v="2"/>
    <n v="8.4"/>
    <n v="1"/>
    <n v="118.82"/>
    <n v="47"/>
    <x v="4"/>
    <n v="1"/>
    <n v="491"/>
    <s v=""/>
    <x v="3"/>
    <n v="0.2"/>
    <n v="97.6"/>
    <n v="93.08"/>
    <n v="16.8"/>
    <n v="211.89999999999998"/>
    <x v="0"/>
    <s v="10"/>
    <x v="11"/>
    <m/>
    <m/>
    <m/>
    <m/>
    <m/>
  </r>
  <r>
    <x v="131"/>
    <x v="5"/>
    <x v="2"/>
    <x v="14"/>
    <x v="2"/>
    <x v="9"/>
    <x v="1"/>
    <x v="1"/>
    <n v="1"/>
    <n v="19.079999999999998"/>
    <n v="1"/>
    <n v="81.05"/>
    <n v="30"/>
    <x v="0"/>
    <n v="3"/>
    <n v="310"/>
    <s v="Eğitim önerildi"/>
    <x v="4"/>
    <n v="0.97"/>
    <n v="97.06"/>
    <n v="40.520000000000003"/>
    <n v="19.079999999999998"/>
    <n v="121.57"/>
    <x v="1"/>
    <s v="20"/>
    <x v="11"/>
    <m/>
    <m/>
    <m/>
    <m/>
    <m/>
  </r>
  <r>
    <x v="132"/>
    <x v="5"/>
    <x v="0"/>
    <x v="14"/>
    <x v="0"/>
    <x v="16"/>
    <x v="4"/>
    <x v="4"/>
    <n v="5"/>
    <n v="7.07"/>
    <n v="1"/>
    <n v="498.11"/>
    <n v="59"/>
    <x v="2"/>
    <n v="21"/>
    <n v="466"/>
    <s v="Rutin kontrol"/>
    <x v="2"/>
    <n v="4.51"/>
    <n v="85.98"/>
    <n v="489.81"/>
    <n v="35.35"/>
    <n v="987.92000000000007"/>
    <x v="0"/>
    <s v="8"/>
    <x v="11"/>
    <m/>
    <m/>
    <m/>
    <m/>
    <m/>
  </r>
  <r>
    <x v="20"/>
    <x v="5"/>
    <x v="2"/>
    <x v="6"/>
    <x v="0"/>
    <x v="7"/>
    <x v="2"/>
    <x v="2"/>
    <n v="4"/>
    <n v="17.489999999999998"/>
    <n v="6"/>
    <n v="179.96"/>
    <n v="52"/>
    <x v="1"/>
    <n v="23"/>
    <n v="769"/>
    <s v=""/>
    <x v="2"/>
    <n v="2.99"/>
    <n v="90.02"/>
    <n v="155.97"/>
    <n v="419.76"/>
    <n v="335.93"/>
    <x v="1"/>
    <s v="18"/>
    <x v="11"/>
    <m/>
    <m/>
    <m/>
    <m/>
    <m/>
  </r>
  <r>
    <x v="133"/>
    <x v="2"/>
    <x v="2"/>
    <x v="19"/>
    <x v="3"/>
    <x v="11"/>
    <x v="1"/>
    <x v="0"/>
    <n v="2"/>
    <n v="17.739999999999998"/>
    <n v="9"/>
    <n v="117.17"/>
    <n v="33"/>
    <x v="0"/>
    <n v="9"/>
    <n v="669"/>
    <s v=""/>
    <x v="3"/>
    <n v="1.35"/>
    <n v="95.3"/>
    <n v="64.44"/>
    <n v="319.32"/>
    <n v="181.61"/>
    <x v="1"/>
    <s v="18"/>
    <x v="11"/>
    <m/>
    <m/>
    <m/>
    <m/>
    <m/>
  </r>
  <r>
    <x v="134"/>
    <x v="4"/>
    <x v="1"/>
    <x v="1"/>
    <x v="1"/>
    <x v="4"/>
    <x v="4"/>
    <x v="4"/>
    <n v="4"/>
    <n v="7.65"/>
    <n v="1"/>
    <n v="158.44999999999999"/>
    <n v="31"/>
    <x v="1"/>
    <n v="19"/>
    <n v="185"/>
    <s v=""/>
    <x v="2"/>
    <n v="10.27"/>
    <n v="75.459999999999994"/>
    <n v="81.87"/>
    <n v="30.6"/>
    <n v="240.32"/>
    <x v="0"/>
    <s v="8"/>
    <x v="11"/>
    <m/>
    <m/>
    <m/>
    <m/>
    <m/>
  </r>
  <r>
    <x v="47"/>
    <x v="5"/>
    <x v="2"/>
    <x v="19"/>
    <x v="4"/>
    <x v="7"/>
    <x v="2"/>
    <x v="3"/>
    <n v="4"/>
    <n v="2.58"/>
    <n v="5"/>
    <n v="471.26"/>
    <n v="22"/>
    <x v="1"/>
    <n v="45"/>
    <n v="154"/>
    <s v=""/>
    <x v="4"/>
    <n v="29.22"/>
    <n v="37.56"/>
    <n v="172.8"/>
    <n v="51.6"/>
    <n v="644.05999999999995"/>
    <x v="2"/>
    <s v="4"/>
    <x v="11"/>
    <m/>
    <m/>
    <m/>
    <m/>
    <m/>
  </r>
  <r>
    <x v="135"/>
    <x v="0"/>
    <x v="0"/>
    <x v="10"/>
    <x v="0"/>
    <x v="8"/>
    <x v="3"/>
    <x v="2"/>
    <n v="3"/>
    <n v="14.77"/>
    <n v="9"/>
    <n v="284.07"/>
    <n v="64"/>
    <x v="1"/>
    <n v="46"/>
    <n v="812"/>
    <s v=""/>
    <x v="1"/>
    <n v="5.67"/>
    <n v="85.66"/>
    <n v="303.01"/>
    <n v="398.78999999999996"/>
    <n v="587.07999999999993"/>
    <x v="0"/>
    <s v="16"/>
    <x v="11"/>
    <m/>
    <m/>
    <m/>
    <m/>
    <m/>
  </r>
  <r>
    <x v="98"/>
    <x v="1"/>
    <x v="0"/>
    <x v="11"/>
    <x v="2"/>
    <x v="6"/>
    <x v="3"/>
    <x v="4"/>
    <n v="3"/>
    <n v="6.92"/>
    <n v="9"/>
    <n v="214.17"/>
    <n v="78"/>
    <x v="5"/>
    <n v="19"/>
    <n v="733"/>
    <s v=""/>
    <x v="4"/>
    <n v="2.59"/>
    <n v="91.82"/>
    <n v="278.42"/>
    <n v="186.84"/>
    <n v="492.59000000000003"/>
    <x v="0"/>
    <s v="8"/>
    <x v="11"/>
    <m/>
    <m/>
    <m/>
    <m/>
    <m/>
  </r>
  <r>
    <x v="12"/>
    <x v="5"/>
    <x v="0"/>
    <x v="18"/>
    <x v="2"/>
    <x v="12"/>
    <x v="0"/>
    <x v="2"/>
    <n v="2"/>
    <n v="15.88"/>
    <n v="1"/>
    <n v="443.03"/>
    <n v="73"/>
    <x v="3"/>
    <n v="23"/>
    <n v="545"/>
    <s v=""/>
    <x v="2"/>
    <n v="4.22"/>
    <n v="89.56"/>
    <n v="539.02"/>
    <n v="31.76"/>
    <n v="982.05"/>
    <x v="1"/>
    <s v="16"/>
    <x v="11"/>
    <m/>
    <m/>
    <m/>
    <m/>
    <m/>
  </r>
  <r>
    <x v="136"/>
    <x v="2"/>
    <x v="0"/>
    <x v="3"/>
    <x v="1"/>
    <x v="2"/>
    <x v="4"/>
    <x v="0"/>
    <n v="3"/>
    <n v="9.41"/>
    <n v="8"/>
    <n v="227.75"/>
    <n v="78"/>
    <x v="4"/>
    <n v="27"/>
    <n v="719"/>
    <s v=""/>
    <x v="1"/>
    <n v="3.76"/>
    <n v="89.48"/>
    <n v="296.08"/>
    <n v="225.84"/>
    <n v="523.82999999999993"/>
    <x v="0"/>
    <s v="10"/>
    <x v="11"/>
    <m/>
    <m/>
    <m/>
    <m/>
    <m/>
  </r>
  <r>
    <x v="137"/>
    <x v="4"/>
    <x v="2"/>
    <x v="9"/>
    <x v="0"/>
    <x v="11"/>
    <x v="2"/>
    <x v="3"/>
    <n v="3"/>
    <n v="10.220000000000001"/>
    <n v="1"/>
    <n v="200.75"/>
    <n v="25"/>
    <x v="4"/>
    <n v="27"/>
    <n v="403"/>
    <s v=""/>
    <x v="4"/>
    <n v="6.7"/>
    <n v="83.6"/>
    <n v="83.65"/>
    <n v="30.660000000000004"/>
    <n v="284.39999999999998"/>
    <x v="0"/>
    <s v="12"/>
    <x v="11"/>
    <m/>
    <m/>
    <m/>
    <m/>
    <m/>
  </r>
  <r>
    <x v="138"/>
    <x v="2"/>
    <x v="2"/>
    <x v="11"/>
    <x v="3"/>
    <x v="2"/>
    <x v="1"/>
    <x v="2"/>
    <n v="3"/>
    <n v="15.78"/>
    <n v="8"/>
    <n v="143.28"/>
    <n v="28"/>
    <x v="2"/>
    <n v="39"/>
    <n v="231"/>
    <s v=""/>
    <x v="0"/>
    <n v="16.88"/>
    <n v="63.24"/>
    <n v="66.86"/>
    <n v="378.71999999999997"/>
    <n v="210.14"/>
    <x v="1"/>
    <s v="16"/>
    <x v="11"/>
    <m/>
    <m/>
    <m/>
    <m/>
    <m/>
  </r>
  <r>
    <x v="139"/>
    <x v="5"/>
    <x v="0"/>
    <x v="14"/>
    <x v="2"/>
    <x v="16"/>
    <x v="3"/>
    <x v="4"/>
    <n v="4"/>
    <n v="8.26"/>
    <n v="1"/>
    <n v="220.01"/>
    <n v="7"/>
    <x v="5"/>
    <n v="36"/>
    <n v="520"/>
    <s v="Kontrol tekrarlandı"/>
    <x v="0"/>
    <n v="6.92"/>
    <n v="82.16"/>
    <n v="25.67"/>
    <n v="33.04"/>
    <n v="245.68"/>
    <x v="0"/>
    <s v="10"/>
    <x v="11"/>
    <m/>
    <m/>
    <m/>
    <m/>
    <m/>
  </r>
  <r>
    <x v="71"/>
    <x v="4"/>
    <x v="0"/>
    <x v="11"/>
    <x v="1"/>
    <x v="9"/>
    <x v="2"/>
    <x v="0"/>
    <n v="2"/>
    <n v="9.42"/>
    <n v="5"/>
    <n v="192.51"/>
    <n v="66"/>
    <x v="0"/>
    <n v="12"/>
    <n v="484"/>
    <s v=""/>
    <x v="1"/>
    <n v="2.48"/>
    <n v="93.04"/>
    <n v="211.76"/>
    <n v="94.2"/>
    <n v="404.27"/>
    <x v="0"/>
    <s v="10"/>
    <x v="11"/>
    <m/>
    <m/>
    <m/>
    <m/>
    <m/>
  </r>
  <r>
    <x v="140"/>
    <x v="1"/>
    <x v="2"/>
    <x v="19"/>
    <x v="0"/>
    <x v="11"/>
    <x v="4"/>
    <x v="0"/>
    <n v="4"/>
    <n v="8.15"/>
    <n v="8"/>
    <n v="354.79"/>
    <n v="6"/>
    <x v="0"/>
    <n v="27"/>
    <n v="297"/>
    <s v=""/>
    <x v="1"/>
    <n v="9.09"/>
    <n v="77.819999999999993"/>
    <n v="35.479999999999997"/>
    <n v="260.8"/>
    <n v="390.27000000000004"/>
    <x v="0"/>
    <s v="10"/>
    <x v="11"/>
    <m/>
    <m/>
    <m/>
    <m/>
    <m/>
  </r>
  <r>
    <x v="113"/>
    <x v="5"/>
    <x v="0"/>
    <x v="5"/>
    <x v="0"/>
    <x v="8"/>
    <x v="0"/>
    <x v="4"/>
    <n v="5"/>
    <n v="7.98"/>
    <n v="6"/>
    <n v="180.31"/>
    <n v="70"/>
    <x v="4"/>
    <n v="46"/>
    <n v="146"/>
    <s v=""/>
    <x v="1"/>
    <n v="31.51"/>
    <n v="31.98"/>
    <n v="210.36"/>
    <n v="239.4"/>
    <n v="390.67"/>
    <x v="0"/>
    <s v="8"/>
    <x v="11"/>
    <m/>
    <m/>
    <m/>
    <m/>
    <m/>
  </r>
  <r>
    <x v="78"/>
    <x v="2"/>
    <x v="1"/>
    <x v="11"/>
    <x v="0"/>
    <x v="8"/>
    <x v="3"/>
    <x v="4"/>
    <n v="4"/>
    <n v="10.99"/>
    <n v="9"/>
    <n v="309.74"/>
    <n v="46"/>
    <x v="3"/>
    <n v="34"/>
    <n v="839"/>
    <s v=""/>
    <x v="0"/>
    <n v="4.05"/>
    <n v="87.9"/>
    <n v="237.47"/>
    <n v="395.64"/>
    <n v="547.21"/>
    <x v="0"/>
    <s v="12"/>
    <x v="11"/>
    <m/>
    <m/>
    <m/>
    <m/>
    <m/>
  </r>
  <r>
    <x v="58"/>
    <x v="3"/>
    <x v="0"/>
    <x v="5"/>
    <x v="0"/>
    <x v="15"/>
    <x v="2"/>
    <x v="2"/>
    <n v="5"/>
    <n v="16.37"/>
    <n v="1"/>
    <n v="79.650000000000006"/>
    <n v="38"/>
    <x v="1"/>
    <n v="33"/>
    <n v="856"/>
    <s v=""/>
    <x v="4"/>
    <n v="3.86"/>
    <n v="87.28"/>
    <n v="50.44"/>
    <n v="81.850000000000009"/>
    <n v="130.09"/>
    <x v="1"/>
    <s v="18"/>
    <x v="11"/>
    <m/>
    <m/>
    <m/>
    <m/>
    <m/>
  </r>
  <r>
    <x v="71"/>
    <x v="0"/>
    <x v="0"/>
    <x v="11"/>
    <x v="0"/>
    <x v="13"/>
    <x v="2"/>
    <x v="1"/>
    <n v="1"/>
    <n v="7.87"/>
    <n v="9"/>
    <n v="136.08000000000001"/>
    <n v="46"/>
    <x v="2"/>
    <n v="28"/>
    <n v="302"/>
    <s v=""/>
    <x v="1"/>
    <n v="9.27"/>
    <n v="80.459999999999994"/>
    <n v="104.33"/>
    <n v="70.83"/>
    <n v="240.41000000000003"/>
    <x v="0"/>
    <s v="8"/>
    <x v="11"/>
    <m/>
    <m/>
    <m/>
    <m/>
    <m/>
  </r>
  <r>
    <x v="63"/>
    <x v="2"/>
    <x v="1"/>
    <x v="2"/>
    <x v="2"/>
    <x v="1"/>
    <x v="2"/>
    <x v="0"/>
    <n v="1"/>
    <n v="10.96"/>
    <n v="1"/>
    <n v="233.33"/>
    <n v="24"/>
    <x v="3"/>
    <n v="31"/>
    <n v="360"/>
    <s v=""/>
    <x v="0"/>
    <n v="8.61"/>
    <n v="81.78"/>
    <n v="93.33"/>
    <n v="10.96"/>
    <n v="326.66000000000003"/>
    <x v="0"/>
    <s v="12"/>
    <x v="11"/>
    <m/>
    <m/>
    <m/>
    <m/>
    <m/>
  </r>
  <r>
    <x v="49"/>
    <x v="4"/>
    <x v="1"/>
    <x v="7"/>
    <x v="1"/>
    <x v="7"/>
    <x v="4"/>
    <x v="2"/>
    <n v="5"/>
    <n v="13.74"/>
    <n v="3"/>
    <n v="471.63"/>
    <n v="72"/>
    <x v="4"/>
    <n v="32"/>
    <n v="789"/>
    <s v=""/>
    <x v="1"/>
    <n v="4.0599999999999996"/>
    <n v="86.88"/>
    <n v="565.96"/>
    <n v="206.1"/>
    <n v="1037.5900000000001"/>
    <x v="0"/>
    <s v="14"/>
    <x v="11"/>
    <m/>
    <m/>
    <m/>
    <m/>
    <m/>
  </r>
  <r>
    <x v="141"/>
    <x v="5"/>
    <x v="2"/>
    <x v="18"/>
    <x v="0"/>
    <x v="6"/>
    <x v="4"/>
    <x v="4"/>
    <n v="5"/>
    <n v="6.12"/>
    <n v="1"/>
    <n v="219.76"/>
    <n v="49"/>
    <x v="5"/>
    <n v="20"/>
    <n v="123"/>
    <s v=""/>
    <x v="1"/>
    <n v="16.260000000000002"/>
    <n v="62.48"/>
    <n v="179.47"/>
    <n v="30.6"/>
    <n v="399.23"/>
    <x v="0"/>
    <s v="8"/>
    <x v="11"/>
    <m/>
    <m/>
    <m/>
    <m/>
    <m/>
  </r>
  <r>
    <x v="136"/>
    <x v="0"/>
    <x v="2"/>
    <x v="9"/>
    <x v="4"/>
    <x v="1"/>
    <x v="4"/>
    <x v="2"/>
    <n v="4"/>
    <n v="6.27"/>
    <n v="3"/>
    <n v="348.83"/>
    <n v="79"/>
    <x v="2"/>
    <n v="40"/>
    <n v="786"/>
    <s v=""/>
    <x v="1"/>
    <n v="5.09"/>
    <n v="85.82"/>
    <n v="459.29"/>
    <n v="75.239999999999995"/>
    <n v="808.12"/>
    <x v="0"/>
    <s v="8"/>
    <x v="11"/>
    <m/>
    <m/>
    <m/>
    <m/>
    <m/>
  </r>
  <r>
    <x v="77"/>
    <x v="5"/>
    <x v="1"/>
    <x v="1"/>
    <x v="4"/>
    <x v="17"/>
    <x v="1"/>
    <x v="4"/>
    <n v="5"/>
    <n v="18.73"/>
    <n v="2"/>
    <n v="164.79"/>
    <n v="46"/>
    <x v="4"/>
    <n v="35"/>
    <n v="885"/>
    <s v=""/>
    <x v="0"/>
    <n v="3.95"/>
    <n v="87.1"/>
    <n v="126.34"/>
    <n v="187.3"/>
    <n v="291.13"/>
    <x v="1"/>
    <s v="20"/>
    <x v="11"/>
    <m/>
    <m/>
    <m/>
    <m/>
    <m/>
  </r>
  <r>
    <x v="142"/>
    <x v="4"/>
    <x v="1"/>
    <x v="7"/>
    <x v="1"/>
    <x v="6"/>
    <x v="2"/>
    <x v="3"/>
    <n v="2"/>
    <n v="14.75"/>
    <n v="2"/>
    <n v="107.17"/>
    <n v="51"/>
    <x v="0"/>
    <n v="31"/>
    <n v="439"/>
    <s v=""/>
    <x v="4"/>
    <n v="7.06"/>
    <n v="83.88"/>
    <n v="91.09"/>
    <n v="59"/>
    <n v="198.26"/>
    <x v="0"/>
    <s v="16"/>
    <x v="11"/>
    <m/>
    <m/>
    <m/>
    <m/>
    <m/>
  </r>
  <r>
    <x v="143"/>
    <x v="5"/>
    <x v="2"/>
    <x v="9"/>
    <x v="3"/>
    <x v="7"/>
    <x v="3"/>
    <x v="4"/>
    <n v="1"/>
    <n v="11.97"/>
    <n v="9"/>
    <n v="76.34"/>
    <n v="9"/>
    <x v="2"/>
    <n v="31"/>
    <n v="511"/>
    <s v=""/>
    <x v="0"/>
    <n v="6.07"/>
    <n v="86.86"/>
    <n v="11.45"/>
    <n v="107.73"/>
    <n v="87.79"/>
    <x v="0"/>
    <s v="12"/>
    <x v="11"/>
    <m/>
    <m/>
    <m/>
    <m/>
    <m/>
  </r>
  <r>
    <x v="144"/>
    <x v="3"/>
    <x v="0"/>
    <x v="6"/>
    <x v="3"/>
    <x v="12"/>
    <x v="4"/>
    <x v="4"/>
    <n v="1"/>
    <n v="13.31"/>
    <n v="8"/>
    <n v="187.44"/>
    <n v="53"/>
    <x v="4"/>
    <n v="38"/>
    <n v="360"/>
    <s v=""/>
    <x v="0"/>
    <n v="10.56"/>
    <n v="77.88"/>
    <n v="165.57"/>
    <n v="106.48"/>
    <n v="353.01"/>
    <x v="0"/>
    <s v="14"/>
    <x v="11"/>
    <m/>
    <m/>
    <m/>
    <m/>
    <m/>
  </r>
  <r>
    <x v="145"/>
    <x v="0"/>
    <x v="1"/>
    <x v="9"/>
    <x v="3"/>
    <x v="19"/>
    <x v="4"/>
    <x v="4"/>
    <n v="5"/>
    <n v="1.56"/>
    <n v="1"/>
    <n v="120.95"/>
    <n v="41"/>
    <x v="0"/>
    <n v="22"/>
    <n v="385"/>
    <s v=""/>
    <x v="1"/>
    <n v="5.71"/>
    <n v="83.58"/>
    <n v="82.65"/>
    <n v="7.8000000000000007"/>
    <n v="203.60000000000002"/>
    <x v="2"/>
    <s v="2"/>
    <x v="11"/>
    <m/>
    <m/>
    <m/>
    <m/>
    <m/>
  </r>
  <r>
    <x v="146"/>
    <x v="0"/>
    <x v="2"/>
    <x v="18"/>
    <x v="4"/>
    <x v="13"/>
    <x v="2"/>
    <x v="1"/>
    <n v="3"/>
    <n v="12.74"/>
    <n v="4"/>
    <n v="128.30000000000001"/>
    <n v="38"/>
    <x v="0"/>
    <n v="45"/>
    <n v="612"/>
    <s v=""/>
    <x v="3"/>
    <n v="7.35"/>
    <n v="82.3"/>
    <n v="81.260000000000005"/>
    <n v="152.88"/>
    <n v="209.56"/>
    <x v="0"/>
    <s v="14"/>
    <x v="11"/>
    <m/>
    <m/>
    <m/>
    <m/>
    <m/>
  </r>
  <r>
    <x v="11"/>
    <x v="4"/>
    <x v="0"/>
    <x v="3"/>
    <x v="3"/>
    <x v="0"/>
    <x v="4"/>
    <x v="4"/>
    <n v="3"/>
    <n v="10.68"/>
    <n v="1"/>
    <n v="392.34"/>
    <n v="77"/>
    <x v="1"/>
    <n v="41"/>
    <n v="185"/>
    <s v=""/>
    <x v="3"/>
    <n v="22.16"/>
    <n v="52.68"/>
    <n v="503.5"/>
    <n v="32.04"/>
    <n v="895.83999999999992"/>
    <x v="0"/>
    <s v="12"/>
    <x v="11"/>
    <m/>
    <m/>
    <m/>
    <m/>
    <m/>
  </r>
  <r>
    <x v="147"/>
    <x v="3"/>
    <x v="1"/>
    <x v="5"/>
    <x v="2"/>
    <x v="12"/>
    <x v="1"/>
    <x v="0"/>
    <n v="5"/>
    <n v="11.37"/>
    <n v="1"/>
    <n v="57.13"/>
    <n v="74"/>
    <x v="5"/>
    <n v="9"/>
    <n v="949"/>
    <s v=""/>
    <x v="3"/>
    <n v="0.95"/>
    <n v="93.1"/>
    <n v="70.459999999999994"/>
    <n v="56.849999999999994"/>
    <n v="127.59"/>
    <x v="0"/>
    <s v="12"/>
    <x v="11"/>
    <m/>
    <m/>
    <m/>
    <m/>
    <m/>
  </r>
  <r>
    <x v="148"/>
    <x v="2"/>
    <x v="0"/>
    <x v="11"/>
    <x v="0"/>
    <x v="9"/>
    <x v="1"/>
    <x v="0"/>
    <n v="2"/>
    <n v="7.83"/>
    <n v="4"/>
    <n v="301.01"/>
    <n v="22"/>
    <x v="1"/>
    <n v="9"/>
    <n v="529"/>
    <s v=""/>
    <x v="0"/>
    <n v="1.7"/>
    <n v="94.6"/>
    <n v="110.37"/>
    <n v="62.64"/>
    <n v="411.38"/>
    <x v="0"/>
    <s v="8"/>
    <x v="11"/>
    <m/>
    <m/>
    <m/>
    <m/>
    <m/>
  </r>
  <r>
    <x v="36"/>
    <x v="5"/>
    <x v="2"/>
    <x v="6"/>
    <x v="4"/>
    <x v="11"/>
    <x v="4"/>
    <x v="2"/>
    <n v="3"/>
    <n v="2.5499999999999998"/>
    <n v="2"/>
    <n v="220.76"/>
    <n v="82"/>
    <x v="4"/>
    <n v="15"/>
    <n v="680"/>
    <s v=""/>
    <x v="1"/>
    <n v="2.21"/>
    <n v="92.58"/>
    <n v="301.70999999999998"/>
    <n v="15.299999999999999"/>
    <n v="522.47"/>
    <x v="2"/>
    <s v="4"/>
    <x v="11"/>
    <m/>
    <m/>
    <m/>
    <m/>
    <m/>
  </r>
  <r>
    <x v="16"/>
    <x v="1"/>
    <x v="1"/>
    <x v="5"/>
    <x v="1"/>
    <x v="9"/>
    <x v="2"/>
    <x v="1"/>
    <n v="5"/>
    <n v="4.67"/>
    <n v="3"/>
    <n v="277.95"/>
    <n v="23"/>
    <x v="3"/>
    <n v="13"/>
    <n v="130"/>
    <s v=""/>
    <x v="3"/>
    <n v="10"/>
    <n v="75"/>
    <n v="106.55"/>
    <n v="70.05"/>
    <n v="384.5"/>
    <x v="2"/>
    <s v="6"/>
    <x v="11"/>
    <m/>
    <m/>
    <m/>
    <m/>
    <m/>
  </r>
  <r>
    <x v="149"/>
    <x v="5"/>
    <x v="0"/>
    <x v="2"/>
    <x v="1"/>
    <x v="15"/>
    <x v="2"/>
    <x v="2"/>
    <n v="2"/>
    <n v="19.059999999999999"/>
    <n v="9"/>
    <n v="303.27"/>
    <n v="82"/>
    <x v="1"/>
    <n v="22"/>
    <n v="809"/>
    <s v=""/>
    <x v="2"/>
    <n v="2.72"/>
    <n v="92.56"/>
    <n v="414.47"/>
    <n v="343.08"/>
    <n v="717.74"/>
    <x v="1"/>
    <s v="20"/>
    <x v="11"/>
    <m/>
    <m/>
    <m/>
    <m/>
    <m/>
  </r>
  <r>
    <x v="25"/>
    <x v="5"/>
    <x v="1"/>
    <x v="14"/>
    <x v="0"/>
    <x v="14"/>
    <x v="2"/>
    <x v="0"/>
    <n v="2"/>
    <n v="8.77"/>
    <n v="2"/>
    <n v="191.02"/>
    <n v="44"/>
    <x v="3"/>
    <n v="16"/>
    <n v="702"/>
    <s v="Makine ayarı değiştirildi"/>
    <x v="2"/>
    <n v="2.2799999999999998"/>
    <n v="93.44"/>
    <n v="140.08000000000001"/>
    <n v="35.08"/>
    <n v="331.1"/>
    <x v="0"/>
    <s v="10"/>
    <x v="11"/>
    <m/>
    <m/>
    <m/>
    <m/>
    <m/>
  </r>
  <r>
    <x v="150"/>
    <x v="2"/>
    <x v="0"/>
    <x v="15"/>
    <x v="4"/>
    <x v="9"/>
    <x v="0"/>
    <x v="0"/>
    <n v="4"/>
    <n v="9.8699999999999992"/>
    <n v="4"/>
    <n v="182.8"/>
    <n v="21"/>
    <x v="0"/>
    <n v="32"/>
    <n v="539"/>
    <s v=""/>
    <x v="2"/>
    <n v="5.94"/>
    <n v="84.12"/>
    <n v="63.98"/>
    <n v="157.91999999999999"/>
    <n v="246.78"/>
    <x v="0"/>
    <s v="10"/>
    <x v="11"/>
    <m/>
    <m/>
    <m/>
    <m/>
    <m/>
  </r>
  <r>
    <x v="151"/>
    <x v="5"/>
    <x v="2"/>
    <x v="13"/>
    <x v="3"/>
    <x v="1"/>
    <x v="4"/>
    <x v="3"/>
    <n v="2"/>
    <n v="2"/>
    <n v="1"/>
    <n v="380.03"/>
    <n v="64"/>
    <x v="4"/>
    <n v="2"/>
    <n v="448"/>
    <s v=""/>
    <x v="4"/>
    <n v="0.45"/>
    <n v="97.1"/>
    <n v="405.37"/>
    <n v="4"/>
    <n v="785.4"/>
    <x v="2"/>
    <s v="2"/>
    <x v="11"/>
    <m/>
    <m/>
    <m/>
    <m/>
    <m/>
  </r>
  <r>
    <x v="10"/>
    <x v="3"/>
    <x v="2"/>
    <x v="14"/>
    <x v="3"/>
    <x v="0"/>
    <x v="2"/>
    <x v="4"/>
    <n v="3"/>
    <n v="1.71"/>
    <n v="2"/>
    <n v="442.07"/>
    <n v="46"/>
    <x v="5"/>
    <n v="26"/>
    <n v="994"/>
    <s v="Rutin kontrol"/>
    <x v="1"/>
    <n v="2.62"/>
    <n v="91.76"/>
    <n v="338.92"/>
    <n v="10.26"/>
    <n v="780.99"/>
    <x v="2"/>
    <s v="2"/>
    <x v="11"/>
    <m/>
    <m/>
    <m/>
    <m/>
    <m/>
  </r>
  <r>
    <x v="152"/>
    <x v="3"/>
    <x v="1"/>
    <x v="4"/>
    <x v="2"/>
    <x v="6"/>
    <x v="1"/>
    <x v="0"/>
    <n v="3"/>
    <n v="14.63"/>
    <n v="5"/>
    <n v="136.66"/>
    <n v="85"/>
    <x v="3"/>
    <n v="14"/>
    <n v="511"/>
    <s v=""/>
    <x v="0"/>
    <n v="2.74"/>
    <n v="91.52"/>
    <n v="193.6"/>
    <n v="219.45000000000002"/>
    <n v="330.26"/>
    <x v="0"/>
    <s v="16"/>
    <x v="11"/>
    <m/>
    <m/>
    <m/>
    <m/>
    <m/>
  </r>
  <r>
    <x v="38"/>
    <x v="0"/>
    <x v="0"/>
    <x v="15"/>
    <x v="2"/>
    <x v="6"/>
    <x v="3"/>
    <x v="2"/>
    <n v="5"/>
    <n v="11.22"/>
    <n v="1"/>
    <n v="93.93"/>
    <n v="76"/>
    <x v="4"/>
    <n v="38"/>
    <n v="627"/>
    <s v=""/>
    <x v="0"/>
    <n v="6.06"/>
    <n v="82.88"/>
    <n v="118.98"/>
    <n v="56.1"/>
    <n v="212.91000000000003"/>
    <x v="0"/>
    <s v="12"/>
    <x v="11"/>
    <m/>
    <m/>
    <m/>
    <m/>
    <m/>
  </r>
  <r>
    <x v="35"/>
    <x v="4"/>
    <x v="1"/>
    <x v="13"/>
    <x v="3"/>
    <x v="1"/>
    <x v="3"/>
    <x v="2"/>
    <n v="5"/>
    <n v="10.67"/>
    <n v="7"/>
    <n v="454.01"/>
    <n v="69"/>
    <x v="3"/>
    <n v="34"/>
    <n v="409"/>
    <s v=""/>
    <x v="1"/>
    <n v="8.31"/>
    <n v="78.38"/>
    <n v="522.11"/>
    <n v="373.45"/>
    <n v="976.12"/>
    <x v="0"/>
    <s v="12"/>
    <x v="11"/>
    <m/>
    <m/>
    <m/>
    <m/>
    <m/>
  </r>
  <r>
    <x v="46"/>
    <x v="1"/>
    <x v="1"/>
    <x v="6"/>
    <x v="1"/>
    <x v="12"/>
    <x v="2"/>
    <x v="4"/>
    <n v="2"/>
    <n v="5.62"/>
    <n v="4"/>
    <n v="207.45"/>
    <n v="57"/>
    <x v="1"/>
    <n v="8"/>
    <n v="495"/>
    <s v=""/>
    <x v="4"/>
    <n v="1.62"/>
    <n v="94.76"/>
    <n v="197.08"/>
    <n v="44.96"/>
    <n v="404.53"/>
    <x v="2"/>
    <s v="6"/>
    <x v="11"/>
    <m/>
    <m/>
    <m/>
    <m/>
    <m/>
  </r>
  <r>
    <x v="153"/>
    <x v="5"/>
    <x v="0"/>
    <x v="14"/>
    <x v="1"/>
    <x v="0"/>
    <x v="3"/>
    <x v="4"/>
    <n v="1"/>
    <n v="15.15"/>
    <n v="6"/>
    <n v="298.08999999999997"/>
    <n v="11"/>
    <x v="4"/>
    <n v="36"/>
    <n v="887"/>
    <s v="Rutin kontrol"/>
    <x v="1"/>
    <n v="4.0599999999999996"/>
    <n v="90.88"/>
    <n v="54.65"/>
    <n v="90.9"/>
    <n v="352.73999999999995"/>
    <x v="1"/>
    <s v="16"/>
    <x v="11"/>
    <m/>
    <m/>
    <m/>
    <m/>
    <m/>
  </r>
  <r>
    <x v="154"/>
    <x v="5"/>
    <x v="0"/>
    <x v="16"/>
    <x v="2"/>
    <x v="7"/>
    <x v="3"/>
    <x v="3"/>
    <n v="4"/>
    <n v="4.2"/>
    <n v="8"/>
    <n v="211.79"/>
    <n v="9"/>
    <x v="1"/>
    <n v="21"/>
    <n v="437"/>
    <s v=""/>
    <x v="4"/>
    <n v="4.8099999999999996"/>
    <n v="86.38"/>
    <n v="31.77"/>
    <n v="134.4"/>
    <n v="243.56"/>
    <x v="2"/>
    <s v="6"/>
    <x v="11"/>
    <m/>
    <m/>
    <m/>
    <m/>
    <m/>
  </r>
  <r>
    <x v="38"/>
    <x v="2"/>
    <x v="0"/>
    <x v="16"/>
    <x v="0"/>
    <x v="11"/>
    <x v="0"/>
    <x v="1"/>
    <n v="1"/>
    <n v="4.6100000000000003"/>
    <n v="6"/>
    <n v="106.61"/>
    <n v="28"/>
    <x v="2"/>
    <n v="46"/>
    <n v="773"/>
    <s v=""/>
    <x v="3"/>
    <n v="5.95"/>
    <n v="87.1"/>
    <n v="49.75"/>
    <n v="27.660000000000004"/>
    <n v="156.36000000000001"/>
    <x v="2"/>
    <s v="6"/>
    <x v="11"/>
    <m/>
    <m/>
    <m/>
    <m/>
    <m/>
  </r>
  <r>
    <x v="146"/>
    <x v="4"/>
    <x v="2"/>
    <x v="12"/>
    <x v="3"/>
    <x v="3"/>
    <x v="1"/>
    <x v="2"/>
    <n v="2"/>
    <n v="9.75"/>
    <n v="2"/>
    <n v="315.2"/>
    <n v="32"/>
    <x v="4"/>
    <n v="43"/>
    <n v="536"/>
    <s v=""/>
    <x v="3"/>
    <n v="8.02"/>
    <n v="81.96"/>
    <n v="168.11"/>
    <n v="39"/>
    <n v="483.31"/>
    <x v="0"/>
    <s v="10"/>
    <x v="11"/>
    <m/>
    <m/>
    <m/>
    <m/>
    <m/>
  </r>
  <r>
    <x v="155"/>
    <x v="3"/>
    <x v="1"/>
    <x v="4"/>
    <x v="2"/>
    <x v="17"/>
    <x v="1"/>
    <x v="4"/>
    <n v="2"/>
    <n v="6.44"/>
    <n v="1"/>
    <n v="286.31"/>
    <n v="66"/>
    <x v="3"/>
    <n v="28"/>
    <n v="803"/>
    <s v=""/>
    <x v="4"/>
    <n v="3.49"/>
    <n v="91.02"/>
    <n v="314.94"/>
    <n v="12.88"/>
    <n v="601.25"/>
    <x v="0"/>
    <s v="8"/>
    <x v="11"/>
    <m/>
    <m/>
    <m/>
    <m/>
    <m/>
  </r>
  <r>
    <x v="140"/>
    <x v="1"/>
    <x v="1"/>
    <x v="9"/>
    <x v="2"/>
    <x v="12"/>
    <x v="0"/>
    <x v="2"/>
    <n v="1"/>
    <n v="5.7"/>
    <n v="8"/>
    <n v="141.35"/>
    <n v="21"/>
    <x v="2"/>
    <n v="46"/>
    <n v="762"/>
    <s v=""/>
    <x v="1"/>
    <n v="6.04"/>
    <n v="86.92"/>
    <n v="49.47"/>
    <n v="45.6"/>
    <n v="190.82"/>
    <x v="2"/>
    <s v="6"/>
    <x v="11"/>
    <m/>
    <m/>
    <m/>
    <m/>
    <m/>
  </r>
  <r>
    <x v="69"/>
    <x v="0"/>
    <x v="2"/>
    <x v="2"/>
    <x v="3"/>
    <x v="11"/>
    <x v="0"/>
    <x v="4"/>
    <n v="4"/>
    <n v="13.26"/>
    <n v="8"/>
    <n v="253.34"/>
    <n v="24"/>
    <x v="1"/>
    <n v="44"/>
    <n v="464"/>
    <s v=""/>
    <x v="3"/>
    <n v="9.48"/>
    <n v="77.040000000000006"/>
    <n v="101.34"/>
    <n v="424.32"/>
    <n v="354.68"/>
    <x v="0"/>
    <s v="14"/>
    <x v="11"/>
    <m/>
    <m/>
    <m/>
    <m/>
    <m/>
  </r>
  <r>
    <x v="25"/>
    <x v="3"/>
    <x v="0"/>
    <x v="12"/>
    <x v="3"/>
    <x v="5"/>
    <x v="3"/>
    <x v="0"/>
    <n v="1"/>
    <n v="13.37"/>
    <n v="9"/>
    <n v="408.63"/>
    <n v="7"/>
    <x v="1"/>
    <n v="48"/>
    <n v="212"/>
    <s v=""/>
    <x v="1"/>
    <n v="22.64"/>
    <n v="53.72"/>
    <n v="47.67"/>
    <n v="120.33"/>
    <n v="456.3"/>
    <x v="0"/>
    <s v="14"/>
    <x v="11"/>
    <m/>
    <m/>
    <m/>
    <m/>
    <m/>
  </r>
  <r>
    <x v="156"/>
    <x v="4"/>
    <x v="2"/>
    <x v="8"/>
    <x v="1"/>
    <x v="6"/>
    <x v="4"/>
    <x v="2"/>
    <n v="5"/>
    <n v="16.670000000000002"/>
    <n v="6"/>
    <n v="315.69"/>
    <n v="41"/>
    <x v="3"/>
    <n v="6"/>
    <n v="884"/>
    <s v=""/>
    <x v="3"/>
    <n v="0.68"/>
    <n v="93.64"/>
    <n v="215.72"/>
    <n v="500.1"/>
    <n v="531.41"/>
    <x v="1"/>
    <s v="18"/>
    <x v="11"/>
    <m/>
    <m/>
    <m/>
    <m/>
    <m/>
  </r>
  <r>
    <x v="78"/>
    <x v="0"/>
    <x v="2"/>
    <x v="1"/>
    <x v="0"/>
    <x v="5"/>
    <x v="3"/>
    <x v="0"/>
    <n v="3"/>
    <n v="8.94"/>
    <n v="1"/>
    <n v="93.61"/>
    <n v="19"/>
    <x v="2"/>
    <n v="20"/>
    <n v="275"/>
    <s v=""/>
    <x v="1"/>
    <n v="7.27"/>
    <n v="82.46"/>
    <n v="29.64"/>
    <n v="26.82"/>
    <n v="123.25"/>
    <x v="0"/>
    <s v="10"/>
    <x v="11"/>
    <m/>
    <m/>
    <m/>
    <m/>
    <m/>
  </r>
  <r>
    <x v="73"/>
    <x v="2"/>
    <x v="2"/>
    <x v="1"/>
    <x v="0"/>
    <x v="3"/>
    <x v="0"/>
    <x v="2"/>
    <n v="5"/>
    <n v="2.39"/>
    <n v="9"/>
    <n v="296.61"/>
    <n v="55"/>
    <x v="0"/>
    <n v="31"/>
    <n v="248"/>
    <s v=""/>
    <x v="1"/>
    <n v="12.5"/>
    <n v="70"/>
    <n v="271.89"/>
    <n v="107.55000000000001"/>
    <n v="568.5"/>
    <x v="2"/>
    <s v="4"/>
    <x v="11"/>
    <m/>
    <m/>
    <m/>
    <m/>
    <m/>
  </r>
  <r>
    <x v="33"/>
    <x v="2"/>
    <x v="1"/>
    <x v="0"/>
    <x v="3"/>
    <x v="14"/>
    <x v="1"/>
    <x v="1"/>
    <n v="3"/>
    <n v="6.2"/>
    <n v="3"/>
    <n v="366.23"/>
    <n v="52"/>
    <x v="5"/>
    <n v="33"/>
    <n v="277"/>
    <s v=""/>
    <x v="2"/>
    <n v="11.91"/>
    <n v="73.180000000000007"/>
    <n v="317.39999999999998"/>
    <n v="55.800000000000004"/>
    <n v="683.63"/>
    <x v="0"/>
    <s v="8"/>
    <x v="11"/>
    <m/>
    <m/>
    <m/>
    <m/>
    <m/>
  </r>
  <r>
    <x v="84"/>
    <x v="5"/>
    <x v="2"/>
    <x v="18"/>
    <x v="4"/>
    <x v="7"/>
    <x v="3"/>
    <x v="3"/>
    <n v="2"/>
    <n v="19.62"/>
    <n v="6"/>
    <n v="406.72"/>
    <n v="12"/>
    <x v="3"/>
    <n v="44"/>
    <n v="481"/>
    <s v=""/>
    <x v="4"/>
    <n v="9.15"/>
    <n v="79.7"/>
    <n v="81.34"/>
    <n v="235.44"/>
    <n v="488.06000000000006"/>
    <x v="1"/>
    <s v="20"/>
    <x v="11"/>
    <m/>
    <m/>
    <m/>
    <m/>
    <m/>
  </r>
  <r>
    <x v="157"/>
    <x v="4"/>
    <x v="1"/>
    <x v="1"/>
    <x v="2"/>
    <x v="0"/>
    <x v="4"/>
    <x v="0"/>
    <n v="4"/>
    <n v="12.33"/>
    <n v="9"/>
    <n v="333.1"/>
    <n v="17"/>
    <x v="1"/>
    <n v="7"/>
    <n v="322"/>
    <s v=""/>
    <x v="0"/>
    <n v="2.17"/>
    <n v="91.66"/>
    <n v="94.38"/>
    <n v="443.88"/>
    <n v="427.48"/>
    <x v="0"/>
    <s v="14"/>
    <x v="11"/>
    <m/>
    <m/>
    <m/>
    <m/>
    <m/>
  </r>
  <r>
    <x v="158"/>
    <x v="1"/>
    <x v="1"/>
    <x v="11"/>
    <x v="2"/>
    <x v="14"/>
    <x v="3"/>
    <x v="4"/>
    <n v="1"/>
    <n v="14.49"/>
    <n v="3"/>
    <n v="118.7"/>
    <n v="52"/>
    <x v="4"/>
    <n v="8"/>
    <n v="358"/>
    <s v=""/>
    <x v="4"/>
    <n v="2.23"/>
    <n v="94.54"/>
    <n v="102.87"/>
    <n v="43.47"/>
    <n v="221.57"/>
    <x v="0"/>
    <s v="16"/>
    <x v="11"/>
    <m/>
    <m/>
    <m/>
    <m/>
    <m/>
  </r>
  <r>
    <x v="159"/>
    <x v="0"/>
    <x v="1"/>
    <x v="12"/>
    <x v="3"/>
    <x v="17"/>
    <x v="2"/>
    <x v="1"/>
    <n v="4"/>
    <n v="1.1399999999999999"/>
    <n v="5"/>
    <n v="369.58"/>
    <n v="7"/>
    <x v="2"/>
    <n v="9"/>
    <n v="884"/>
    <s v=""/>
    <x v="1"/>
    <n v="1.02"/>
    <n v="93.96"/>
    <n v="43.12"/>
    <n v="22.799999999999997"/>
    <n v="412.7"/>
    <x v="2"/>
    <s v="2"/>
    <x v="11"/>
    <m/>
    <m/>
    <m/>
    <m/>
    <m/>
  </r>
  <r>
    <x v="160"/>
    <x v="3"/>
    <x v="0"/>
    <x v="8"/>
    <x v="4"/>
    <x v="5"/>
    <x v="3"/>
    <x v="2"/>
    <n v="1"/>
    <n v="10.85"/>
    <n v="5"/>
    <n v="354.8"/>
    <n v="69"/>
    <x v="0"/>
    <n v="2"/>
    <n v="288"/>
    <s v=""/>
    <x v="1"/>
    <n v="0.69"/>
    <n v="97.62"/>
    <n v="408.02"/>
    <n v="54.25"/>
    <n v="762.81999999999994"/>
    <x v="0"/>
    <s v="12"/>
    <x v="11"/>
    <m/>
    <m/>
    <m/>
    <m/>
    <m/>
  </r>
  <r>
    <x v="161"/>
    <x v="4"/>
    <x v="1"/>
    <x v="19"/>
    <x v="1"/>
    <x v="6"/>
    <x v="0"/>
    <x v="0"/>
    <n v="5"/>
    <n v="1.71"/>
    <n v="7"/>
    <n v="60.99"/>
    <n v="77"/>
    <x v="5"/>
    <n v="17"/>
    <n v="405"/>
    <s v=""/>
    <x v="4"/>
    <n v="4.2"/>
    <n v="86.6"/>
    <n v="78.27"/>
    <n v="59.85"/>
    <n v="139.26"/>
    <x v="2"/>
    <s v="2"/>
    <x v="11"/>
    <m/>
    <m/>
    <m/>
    <m/>
    <m/>
  </r>
  <r>
    <x v="162"/>
    <x v="4"/>
    <x v="1"/>
    <x v="18"/>
    <x v="3"/>
    <x v="10"/>
    <x v="1"/>
    <x v="2"/>
    <n v="5"/>
    <n v="11.82"/>
    <n v="4"/>
    <n v="235.29"/>
    <n v="35"/>
    <x v="4"/>
    <n v="45"/>
    <n v="477"/>
    <s v=""/>
    <x v="1"/>
    <n v="9.43"/>
    <n v="76.14"/>
    <n v="137.25"/>
    <n v="236.4"/>
    <n v="372.53999999999996"/>
    <x v="0"/>
    <s v="12"/>
    <x v="11"/>
    <m/>
    <m/>
    <m/>
    <m/>
    <m/>
  </r>
  <r>
    <x v="163"/>
    <x v="2"/>
    <x v="0"/>
    <x v="9"/>
    <x v="3"/>
    <x v="3"/>
    <x v="1"/>
    <x v="2"/>
    <n v="1"/>
    <n v="18.489999999999998"/>
    <n v="4"/>
    <n v="199.83"/>
    <n v="30"/>
    <x v="2"/>
    <n v="37"/>
    <n v="701"/>
    <s v=""/>
    <x v="3"/>
    <n v="5.28"/>
    <n v="88.44"/>
    <n v="99.92"/>
    <n v="73.959999999999994"/>
    <n v="299.75"/>
    <x v="1"/>
    <s v="20"/>
    <x v="11"/>
    <m/>
    <m/>
    <m/>
    <m/>
    <m/>
  </r>
  <r>
    <x v="84"/>
    <x v="5"/>
    <x v="1"/>
    <x v="4"/>
    <x v="2"/>
    <x v="8"/>
    <x v="0"/>
    <x v="2"/>
    <n v="4"/>
    <n v="19.399999999999999"/>
    <n v="7"/>
    <n v="351.24"/>
    <n v="85"/>
    <x v="0"/>
    <n v="42"/>
    <n v="442"/>
    <s v=""/>
    <x v="1"/>
    <n v="9.5"/>
    <n v="77"/>
    <n v="497.59"/>
    <n v="543.19999999999993"/>
    <n v="848.82999999999993"/>
    <x v="1"/>
    <s v="20"/>
    <x v="11"/>
    <m/>
    <m/>
    <m/>
    <m/>
    <m/>
  </r>
  <r>
    <x v="164"/>
    <x v="5"/>
    <x v="2"/>
    <x v="10"/>
    <x v="3"/>
    <x v="10"/>
    <x v="2"/>
    <x v="3"/>
    <n v="1"/>
    <n v="11.27"/>
    <n v="9"/>
    <n v="147.26"/>
    <n v="60"/>
    <x v="3"/>
    <n v="44"/>
    <n v="873"/>
    <s v=""/>
    <x v="4"/>
    <n v="5.04"/>
    <n v="88.92"/>
    <n v="147.26"/>
    <n v="101.42999999999999"/>
    <n v="294.52"/>
    <x v="0"/>
    <s v="12"/>
    <x v="11"/>
    <m/>
    <m/>
    <m/>
    <m/>
    <m/>
  </r>
  <r>
    <x v="139"/>
    <x v="0"/>
    <x v="2"/>
    <x v="18"/>
    <x v="3"/>
    <x v="5"/>
    <x v="0"/>
    <x v="3"/>
    <n v="2"/>
    <n v="9.7100000000000009"/>
    <n v="4"/>
    <n v="315.89"/>
    <n v="38"/>
    <x v="0"/>
    <n v="17"/>
    <n v="255"/>
    <s v=""/>
    <x v="4"/>
    <n v="6.67"/>
    <n v="84.66"/>
    <n v="200.06"/>
    <n v="77.680000000000007"/>
    <n v="515.95000000000005"/>
    <x v="0"/>
    <s v="10"/>
    <x v="11"/>
    <m/>
    <m/>
    <m/>
    <m/>
    <m/>
  </r>
  <r>
    <x v="24"/>
    <x v="2"/>
    <x v="1"/>
    <x v="19"/>
    <x v="3"/>
    <x v="13"/>
    <x v="3"/>
    <x v="4"/>
    <n v="5"/>
    <n v="18.96"/>
    <n v="4"/>
    <n v="460.94"/>
    <n v="13"/>
    <x v="3"/>
    <n v="38"/>
    <n v="811"/>
    <s v=""/>
    <x v="4"/>
    <n v="4.6900000000000004"/>
    <n v="85.62"/>
    <n v="99.87"/>
    <n v="379.20000000000005"/>
    <n v="560.80999999999995"/>
    <x v="1"/>
    <s v="20"/>
    <x v="11"/>
    <m/>
    <m/>
    <m/>
    <m/>
    <m/>
  </r>
  <r>
    <x v="37"/>
    <x v="4"/>
    <x v="0"/>
    <x v="10"/>
    <x v="2"/>
    <x v="8"/>
    <x v="0"/>
    <x v="0"/>
    <n v="2"/>
    <n v="13.8"/>
    <n v="6"/>
    <n v="409.01"/>
    <n v="66"/>
    <x v="2"/>
    <n v="35"/>
    <n v="154"/>
    <s v=""/>
    <x v="2"/>
    <n v="22.73"/>
    <n v="52.54"/>
    <n v="449.91"/>
    <n v="165.60000000000002"/>
    <n v="858.92000000000007"/>
    <x v="0"/>
    <s v="14"/>
    <x v="11"/>
    <m/>
    <m/>
    <m/>
    <m/>
    <m/>
  </r>
  <r>
    <x v="14"/>
    <x v="1"/>
    <x v="2"/>
    <x v="13"/>
    <x v="1"/>
    <x v="11"/>
    <x v="0"/>
    <x v="1"/>
    <n v="5"/>
    <n v="2.23"/>
    <n v="6"/>
    <n v="464.66"/>
    <n v="17"/>
    <x v="0"/>
    <n v="47"/>
    <n v="865"/>
    <s v=""/>
    <x v="2"/>
    <n v="5.43"/>
    <n v="84.14"/>
    <n v="131.65"/>
    <n v="66.900000000000006"/>
    <n v="596.31000000000006"/>
    <x v="2"/>
    <s v="4"/>
    <x v="11"/>
    <m/>
    <m/>
    <m/>
    <m/>
    <m/>
  </r>
  <r>
    <x v="165"/>
    <x v="2"/>
    <x v="0"/>
    <x v="4"/>
    <x v="1"/>
    <x v="5"/>
    <x v="2"/>
    <x v="1"/>
    <n v="5"/>
    <n v="9.85"/>
    <n v="7"/>
    <n v="490.33"/>
    <n v="73"/>
    <x v="5"/>
    <n v="39"/>
    <n v="541"/>
    <s v=""/>
    <x v="2"/>
    <n v="7.21"/>
    <n v="80.58"/>
    <n v="596.57000000000005"/>
    <n v="344.75"/>
    <n v="1086.9000000000001"/>
    <x v="0"/>
    <s v="10"/>
    <x v="11"/>
    <m/>
    <m/>
    <m/>
    <m/>
    <m/>
  </r>
  <r>
    <x v="166"/>
    <x v="0"/>
    <x v="0"/>
    <x v="7"/>
    <x v="3"/>
    <x v="14"/>
    <x v="3"/>
    <x v="1"/>
    <n v="3"/>
    <n v="5.56"/>
    <n v="1"/>
    <n v="54.8"/>
    <n v="45"/>
    <x v="0"/>
    <n v="30"/>
    <n v="784"/>
    <s v=""/>
    <x v="2"/>
    <n v="3.83"/>
    <n v="89.34"/>
    <n v="41.1"/>
    <n v="16.68"/>
    <n v="95.9"/>
    <x v="2"/>
    <s v="6"/>
    <x v="11"/>
    <m/>
    <m/>
    <m/>
    <m/>
    <m/>
  </r>
  <r>
    <x v="44"/>
    <x v="0"/>
    <x v="2"/>
    <x v="13"/>
    <x v="2"/>
    <x v="3"/>
    <x v="4"/>
    <x v="2"/>
    <n v="2"/>
    <n v="9.93"/>
    <n v="3"/>
    <n v="330.23"/>
    <n v="81"/>
    <x v="2"/>
    <n v="6"/>
    <n v="299"/>
    <s v=""/>
    <x v="2"/>
    <n v="2.0099999999999998"/>
    <n v="93.98"/>
    <n v="445.81"/>
    <n v="59.58"/>
    <n v="776.04"/>
    <x v="0"/>
    <s v="10"/>
    <x v="11"/>
    <m/>
    <m/>
    <m/>
    <m/>
    <m/>
  </r>
  <r>
    <x v="60"/>
    <x v="2"/>
    <x v="0"/>
    <x v="2"/>
    <x v="1"/>
    <x v="7"/>
    <x v="4"/>
    <x v="3"/>
    <n v="2"/>
    <n v="9.65"/>
    <n v="9"/>
    <n v="235.78"/>
    <n v="5"/>
    <x v="4"/>
    <n v="4"/>
    <n v="502"/>
    <s v=""/>
    <x v="2"/>
    <n v="0.8"/>
    <n v="96.4"/>
    <n v="19.649999999999999"/>
    <n v="173.70000000000002"/>
    <n v="255.43"/>
    <x v="0"/>
    <s v="10"/>
    <x v="11"/>
    <m/>
    <m/>
    <m/>
    <m/>
    <m/>
  </r>
  <r>
    <x v="167"/>
    <x v="0"/>
    <x v="2"/>
    <x v="19"/>
    <x v="1"/>
    <x v="5"/>
    <x v="1"/>
    <x v="0"/>
    <n v="3"/>
    <n v="12.06"/>
    <n v="6"/>
    <n v="436.93"/>
    <n v="51"/>
    <x v="4"/>
    <n v="37"/>
    <n v="713"/>
    <s v=""/>
    <x v="2"/>
    <n v="5.19"/>
    <n v="86.62"/>
    <n v="371.39"/>
    <n v="217.08"/>
    <n v="808.31999999999994"/>
    <x v="0"/>
    <s v="14"/>
    <x v="11"/>
    <m/>
    <m/>
    <m/>
    <m/>
    <m/>
  </r>
  <r>
    <x v="46"/>
    <x v="2"/>
    <x v="0"/>
    <x v="9"/>
    <x v="1"/>
    <x v="11"/>
    <x v="0"/>
    <x v="2"/>
    <n v="4"/>
    <n v="7.78"/>
    <n v="6"/>
    <n v="163.32"/>
    <n v="8"/>
    <x v="0"/>
    <n v="35"/>
    <n v="896"/>
    <s v=""/>
    <x v="4"/>
    <n v="3.91"/>
    <n v="88.18"/>
    <n v="21.78"/>
    <n v="186.72"/>
    <n v="185.1"/>
    <x v="0"/>
    <s v="8"/>
    <x v="11"/>
    <m/>
    <m/>
    <m/>
    <m/>
    <m/>
  </r>
  <r>
    <x v="168"/>
    <x v="3"/>
    <x v="2"/>
    <x v="1"/>
    <x v="2"/>
    <x v="10"/>
    <x v="1"/>
    <x v="3"/>
    <n v="2"/>
    <n v="4.12"/>
    <n v="5"/>
    <n v="491.46"/>
    <n v="67"/>
    <x v="0"/>
    <n v="9"/>
    <n v="762"/>
    <s v=""/>
    <x v="0"/>
    <n v="1.18"/>
    <n v="95.64"/>
    <n v="548.79999999999995"/>
    <n v="41.2"/>
    <n v="1040.26"/>
    <x v="2"/>
    <s v="6"/>
    <x v="11"/>
    <m/>
    <m/>
    <m/>
    <m/>
    <m/>
  </r>
  <r>
    <x v="119"/>
    <x v="2"/>
    <x v="1"/>
    <x v="3"/>
    <x v="2"/>
    <x v="18"/>
    <x v="2"/>
    <x v="3"/>
    <n v="1"/>
    <n v="10.57"/>
    <n v="3"/>
    <n v="326.17"/>
    <n v="56"/>
    <x v="3"/>
    <n v="6"/>
    <n v="722"/>
    <s v=""/>
    <x v="2"/>
    <n v="0.83"/>
    <n v="97.34"/>
    <n v="304.43"/>
    <n v="31.71"/>
    <n v="630.6"/>
    <x v="0"/>
    <s v="12"/>
    <x v="11"/>
    <m/>
    <m/>
    <m/>
    <m/>
    <m/>
  </r>
  <r>
    <x v="169"/>
    <x v="2"/>
    <x v="2"/>
    <x v="4"/>
    <x v="3"/>
    <x v="7"/>
    <x v="4"/>
    <x v="0"/>
    <n v="3"/>
    <n v="16.77"/>
    <n v="5"/>
    <n v="407.09"/>
    <n v="14"/>
    <x v="2"/>
    <n v="13"/>
    <n v="877"/>
    <s v=""/>
    <x v="4"/>
    <n v="1.48"/>
    <n v="94.04"/>
    <n v="94.99"/>
    <n v="251.54999999999998"/>
    <n v="502.08"/>
    <x v="1"/>
    <s v="18"/>
    <x v="11"/>
    <m/>
    <m/>
    <m/>
    <m/>
    <m/>
  </r>
  <r>
    <x v="160"/>
    <x v="0"/>
    <x v="2"/>
    <x v="2"/>
    <x v="0"/>
    <x v="12"/>
    <x v="0"/>
    <x v="0"/>
    <n v="2"/>
    <n v="13.62"/>
    <n v="1"/>
    <n v="88.52"/>
    <n v="32"/>
    <x v="3"/>
    <n v="22"/>
    <n v="702"/>
    <s v=""/>
    <x v="0"/>
    <n v="3.13"/>
    <n v="91.74"/>
    <n v="47.21"/>
    <n v="27.24"/>
    <n v="135.72999999999999"/>
    <x v="0"/>
    <s v="14"/>
    <x v="11"/>
    <m/>
    <m/>
    <m/>
    <m/>
    <m/>
  </r>
  <r>
    <x v="58"/>
    <x v="0"/>
    <x v="2"/>
    <x v="5"/>
    <x v="1"/>
    <x v="17"/>
    <x v="2"/>
    <x v="0"/>
    <n v="4"/>
    <n v="7.43"/>
    <n v="3"/>
    <n v="132.56"/>
    <n v="10"/>
    <x v="5"/>
    <n v="28"/>
    <n v="276"/>
    <s v=""/>
    <x v="2"/>
    <n v="10.14"/>
    <n v="75.72"/>
    <n v="22.09"/>
    <n v="89.16"/>
    <n v="154.65"/>
    <x v="0"/>
    <s v="8"/>
    <x v="11"/>
    <m/>
    <m/>
    <m/>
    <m/>
    <m/>
  </r>
  <r>
    <x v="170"/>
    <x v="5"/>
    <x v="2"/>
    <x v="2"/>
    <x v="0"/>
    <x v="12"/>
    <x v="2"/>
    <x v="2"/>
    <n v="2"/>
    <n v="18.77"/>
    <n v="4"/>
    <n v="391.28"/>
    <n v="31"/>
    <x v="4"/>
    <n v="30"/>
    <n v="548"/>
    <s v=""/>
    <x v="0"/>
    <n v="5.47"/>
    <n v="87.06"/>
    <n v="202.16"/>
    <n v="150.16"/>
    <n v="593.43999999999994"/>
    <x v="1"/>
    <s v="20"/>
    <x v="11"/>
    <m/>
    <m/>
    <m/>
    <m/>
    <m/>
  </r>
  <r>
    <x v="171"/>
    <x v="5"/>
    <x v="0"/>
    <x v="19"/>
    <x v="2"/>
    <x v="8"/>
    <x v="0"/>
    <x v="4"/>
    <n v="5"/>
    <n v="18.329999999999998"/>
    <n v="5"/>
    <n v="59.89"/>
    <n v="16"/>
    <x v="1"/>
    <n v="36"/>
    <n v="842"/>
    <s v=""/>
    <x v="0"/>
    <n v="4.28"/>
    <n v="86.44"/>
    <n v="15.97"/>
    <n v="458.24999999999994"/>
    <n v="75.86"/>
    <x v="1"/>
    <s v="20"/>
    <x v="11"/>
    <m/>
    <m/>
    <m/>
    <m/>
    <m/>
  </r>
  <r>
    <x v="62"/>
    <x v="3"/>
    <x v="1"/>
    <x v="13"/>
    <x v="2"/>
    <x v="7"/>
    <x v="2"/>
    <x v="0"/>
    <n v="1"/>
    <n v="4.9800000000000004"/>
    <n v="9"/>
    <n v="417.6"/>
    <n v="66"/>
    <x v="1"/>
    <n v="2"/>
    <n v="640"/>
    <s v=""/>
    <x v="3"/>
    <n v="0.31"/>
    <n v="98.38"/>
    <n v="459.36"/>
    <n v="44.820000000000007"/>
    <n v="876.96"/>
    <x v="2"/>
    <s v="6"/>
    <x v="11"/>
    <m/>
    <m/>
    <m/>
    <m/>
    <m/>
  </r>
  <r>
    <x v="172"/>
    <x v="5"/>
    <x v="2"/>
    <x v="13"/>
    <x v="2"/>
    <x v="16"/>
    <x v="0"/>
    <x v="4"/>
    <n v="3"/>
    <n v="1.75"/>
    <n v="4"/>
    <n v="56.28"/>
    <n v="56"/>
    <x v="2"/>
    <n v="36"/>
    <n v="400"/>
    <s v=""/>
    <x v="1"/>
    <n v="9"/>
    <n v="79"/>
    <n v="52.53"/>
    <n v="21"/>
    <n v="108.81"/>
    <x v="2"/>
    <s v="2"/>
    <x v="11"/>
    <m/>
    <m/>
    <m/>
    <m/>
    <m/>
  </r>
  <r>
    <x v="173"/>
    <x v="2"/>
    <x v="0"/>
    <x v="7"/>
    <x v="0"/>
    <x v="16"/>
    <x v="0"/>
    <x v="2"/>
    <n v="5"/>
    <n v="15.08"/>
    <n v="3"/>
    <n v="345.7"/>
    <n v="52"/>
    <x v="2"/>
    <n v="8"/>
    <n v="806"/>
    <s v=""/>
    <x v="3"/>
    <n v="0.99"/>
    <n v="93.02"/>
    <n v="299.61"/>
    <n v="226.2"/>
    <n v="645.30999999999995"/>
    <x v="1"/>
    <s v="16"/>
    <x v="11"/>
    <m/>
    <m/>
    <m/>
    <m/>
    <m/>
  </r>
  <r>
    <x v="28"/>
    <x v="0"/>
    <x v="1"/>
    <x v="2"/>
    <x v="2"/>
    <x v="1"/>
    <x v="3"/>
    <x v="4"/>
    <n v="4"/>
    <n v="16.72"/>
    <n v="1"/>
    <n v="214.29"/>
    <n v="71"/>
    <x v="1"/>
    <n v="45"/>
    <n v="406"/>
    <s v=""/>
    <x v="0"/>
    <n v="11.08"/>
    <n v="73.84"/>
    <n v="253.58"/>
    <n v="66.88"/>
    <n v="467.87"/>
    <x v="1"/>
    <s v="18"/>
    <x v="11"/>
    <m/>
    <m/>
    <m/>
    <m/>
    <m/>
  </r>
  <r>
    <x v="112"/>
    <x v="5"/>
    <x v="1"/>
    <x v="6"/>
    <x v="3"/>
    <x v="9"/>
    <x v="1"/>
    <x v="1"/>
    <n v="5"/>
    <n v="19.39"/>
    <n v="6"/>
    <n v="325.17"/>
    <n v="50"/>
    <x v="2"/>
    <n v="42"/>
    <n v="850"/>
    <s v=""/>
    <x v="4"/>
    <n v="4.9400000000000004"/>
    <n v="85.12"/>
    <n v="270.98"/>
    <n v="581.70000000000005"/>
    <n v="596.15000000000009"/>
    <x v="1"/>
    <s v="20"/>
    <x v="11"/>
    <m/>
    <m/>
    <m/>
    <m/>
    <m/>
  </r>
  <r>
    <x v="50"/>
    <x v="5"/>
    <x v="1"/>
    <x v="13"/>
    <x v="2"/>
    <x v="0"/>
    <x v="2"/>
    <x v="4"/>
    <n v="5"/>
    <n v="17.91"/>
    <n v="7"/>
    <n v="363.21"/>
    <n v="78"/>
    <x v="4"/>
    <n v="9"/>
    <n v="968"/>
    <s v=""/>
    <x v="2"/>
    <n v="0.93"/>
    <n v="93.14"/>
    <n v="472.17"/>
    <n v="626.85"/>
    <n v="835.38"/>
    <x v="1"/>
    <s v="18"/>
    <x v="11"/>
    <m/>
    <m/>
    <m/>
    <m/>
    <m/>
  </r>
  <r>
    <x v="170"/>
    <x v="3"/>
    <x v="1"/>
    <x v="7"/>
    <x v="4"/>
    <x v="0"/>
    <x v="2"/>
    <x v="0"/>
    <n v="4"/>
    <n v="12.41"/>
    <n v="8"/>
    <n v="204.11"/>
    <n v="19"/>
    <x v="5"/>
    <n v="1"/>
    <n v="995"/>
    <s v=""/>
    <x v="1"/>
    <n v="0.1"/>
    <n v="95.8"/>
    <n v="64.63"/>
    <n v="397.12"/>
    <n v="268.74"/>
    <x v="0"/>
    <s v="14"/>
    <x v="11"/>
    <m/>
    <m/>
    <m/>
    <m/>
    <m/>
  </r>
  <r>
    <x v="174"/>
    <x v="4"/>
    <x v="2"/>
    <x v="5"/>
    <x v="0"/>
    <x v="5"/>
    <x v="3"/>
    <x v="2"/>
    <n v="5"/>
    <n v="11.07"/>
    <n v="1"/>
    <n v="98.58"/>
    <n v="75"/>
    <x v="5"/>
    <n v="13"/>
    <n v="366"/>
    <s v=""/>
    <x v="2"/>
    <n v="3.55"/>
    <n v="87.9"/>
    <n v="123.22"/>
    <n v="55.35"/>
    <n v="221.8"/>
    <x v="0"/>
    <s v="12"/>
    <x v="11"/>
    <m/>
    <m/>
    <m/>
    <m/>
    <m/>
  </r>
  <r>
    <x v="175"/>
    <x v="3"/>
    <x v="2"/>
    <x v="6"/>
    <x v="4"/>
    <x v="11"/>
    <x v="3"/>
    <x v="0"/>
    <n v="3"/>
    <n v="1.53"/>
    <n v="4"/>
    <n v="81.34"/>
    <n v="40"/>
    <x v="3"/>
    <n v="15"/>
    <n v="313"/>
    <s v=""/>
    <x v="4"/>
    <n v="4.79"/>
    <n v="87.42"/>
    <n v="54.23"/>
    <n v="18.36"/>
    <n v="135.57"/>
    <x v="2"/>
    <s v="2"/>
    <x v="11"/>
    <m/>
    <m/>
    <m/>
    <m/>
    <m/>
  </r>
  <r>
    <x v="23"/>
    <x v="2"/>
    <x v="0"/>
    <x v="18"/>
    <x v="2"/>
    <x v="14"/>
    <x v="3"/>
    <x v="1"/>
    <n v="2"/>
    <n v="5.69"/>
    <n v="5"/>
    <n v="315.02"/>
    <n v="18"/>
    <x v="4"/>
    <n v="32"/>
    <n v="693"/>
    <s v=""/>
    <x v="1"/>
    <n v="4.62"/>
    <n v="88.76"/>
    <n v="94.51"/>
    <n v="56.900000000000006"/>
    <n v="409.53"/>
    <x v="2"/>
    <s v="6"/>
    <x v="11"/>
    <m/>
    <m/>
    <m/>
    <m/>
    <m/>
  </r>
  <r>
    <x v="66"/>
    <x v="0"/>
    <x v="0"/>
    <x v="1"/>
    <x v="3"/>
    <x v="8"/>
    <x v="4"/>
    <x v="0"/>
    <n v="5"/>
    <n v="9.73"/>
    <n v="2"/>
    <n v="284.29000000000002"/>
    <n v="82"/>
    <x v="2"/>
    <n v="34"/>
    <n v="739"/>
    <s v=""/>
    <x v="3"/>
    <n v="4.5999999999999996"/>
    <n v="85.8"/>
    <n v="388.53"/>
    <n v="97.300000000000011"/>
    <n v="672.81999999999994"/>
    <x v="0"/>
    <s v="10"/>
    <x v="11"/>
    <m/>
    <m/>
    <m/>
    <m/>
    <m/>
  </r>
  <r>
    <x v="43"/>
    <x v="3"/>
    <x v="0"/>
    <x v="7"/>
    <x v="1"/>
    <x v="19"/>
    <x v="4"/>
    <x v="0"/>
    <n v="3"/>
    <n v="12.94"/>
    <n v="1"/>
    <n v="383.99"/>
    <n v="7"/>
    <x v="2"/>
    <n v="43"/>
    <n v="582"/>
    <s v=""/>
    <x v="0"/>
    <n v="7.39"/>
    <n v="82.22"/>
    <n v="44.8"/>
    <n v="38.82"/>
    <n v="428.79"/>
    <x v="0"/>
    <s v="14"/>
    <x v="11"/>
    <m/>
    <m/>
    <m/>
    <m/>
    <m/>
  </r>
  <r>
    <x v="176"/>
    <x v="5"/>
    <x v="1"/>
    <x v="19"/>
    <x v="2"/>
    <x v="11"/>
    <x v="4"/>
    <x v="0"/>
    <n v="2"/>
    <n v="11.59"/>
    <n v="8"/>
    <n v="279.38"/>
    <n v="71"/>
    <x v="3"/>
    <n v="31"/>
    <n v="361"/>
    <s v=""/>
    <x v="4"/>
    <n v="8.59"/>
    <n v="80.819999999999993"/>
    <n v="330.6"/>
    <n v="185.44"/>
    <n v="609.98"/>
    <x v="0"/>
    <s v="12"/>
    <x v="11"/>
    <m/>
    <m/>
    <m/>
    <m/>
    <m/>
  </r>
  <r>
    <x v="9"/>
    <x v="0"/>
    <x v="1"/>
    <x v="17"/>
    <x v="3"/>
    <x v="7"/>
    <x v="0"/>
    <x v="3"/>
    <n v="2"/>
    <n v="15.11"/>
    <n v="6"/>
    <n v="240.1"/>
    <n v="23"/>
    <x v="3"/>
    <n v="14"/>
    <n v="166"/>
    <s v=""/>
    <x v="0"/>
    <n v="8.43"/>
    <n v="81.14"/>
    <n v="92.04"/>
    <n v="181.32"/>
    <n v="332.14"/>
    <x v="1"/>
    <s v="16"/>
    <x v="11"/>
    <m/>
    <m/>
    <m/>
    <m/>
    <m/>
  </r>
  <r>
    <x v="51"/>
    <x v="0"/>
    <x v="2"/>
    <x v="1"/>
    <x v="0"/>
    <x v="16"/>
    <x v="2"/>
    <x v="1"/>
    <n v="5"/>
    <n v="6.32"/>
    <n v="5"/>
    <n v="229.14"/>
    <n v="80"/>
    <x v="2"/>
    <n v="47"/>
    <n v="673"/>
    <s v=""/>
    <x v="0"/>
    <n v="6.98"/>
    <n v="81.040000000000006"/>
    <n v="305.52"/>
    <n v="158"/>
    <n v="534.66"/>
    <x v="0"/>
    <s v="8"/>
    <x v="11"/>
    <m/>
    <m/>
    <m/>
    <m/>
    <m/>
  </r>
  <r>
    <x v="29"/>
    <x v="5"/>
    <x v="1"/>
    <x v="13"/>
    <x v="4"/>
    <x v="9"/>
    <x v="1"/>
    <x v="0"/>
    <n v="3"/>
    <n v="11.73"/>
    <n v="9"/>
    <n v="61.9"/>
    <n v="58"/>
    <x v="2"/>
    <n v="14"/>
    <n v="232"/>
    <s v=""/>
    <x v="2"/>
    <n v="6.03"/>
    <n v="84.94"/>
    <n v="59.84"/>
    <n v="316.71000000000004"/>
    <n v="121.74000000000001"/>
    <x v="0"/>
    <s v="12"/>
    <x v="11"/>
    <m/>
    <m/>
    <m/>
    <m/>
    <m/>
  </r>
  <r>
    <x v="123"/>
    <x v="3"/>
    <x v="1"/>
    <x v="12"/>
    <x v="4"/>
    <x v="10"/>
    <x v="0"/>
    <x v="0"/>
    <n v="5"/>
    <n v="2.67"/>
    <n v="2"/>
    <n v="201"/>
    <n v="73"/>
    <x v="4"/>
    <n v="48"/>
    <n v="748"/>
    <s v=""/>
    <x v="4"/>
    <n v="6.42"/>
    <n v="82.16"/>
    <n v="244.55"/>
    <n v="26.7"/>
    <n v="445.55"/>
    <x v="2"/>
    <s v="4"/>
    <x v="11"/>
    <m/>
    <m/>
    <m/>
    <m/>
    <m/>
  </r>
  <r>
    <x v="76"/>
    <x v="5"/>
    <x v="1"/>
    <x v="8"/>
    <x v="4"/>
    <x v="4"/>
    <x v="2"/>
    <x v="0"/>
    <n v="4"/>
    <n v="8.86"/>
    <n v="8"/>
    <n v="489.21"/>
    <n v="14"/>
    <x v="3"/>
    <n v="29"/>
    <n v="639"/>
    <s v=""/>
    <x v="0"/>
    <n v="4.54"/>
    <n v="86.92"/>
    <n v="114.15"/>
    <n v="283.52"/>
    <n v="603.36"/>
    <x v="0"/>
    <s v="10"/>
    <x v="11"/>
    <m/>
    <m/>
    <m/>
    <m/>
    <m/>
  </r>
  <r>
    <x v="177"/>
    <x v="4"/>
    <x v="0"/>
    <x v="19"/>
    <x v="0"/>
    <x v="13"/>
    <x v="2"/>
    <x v="2"/>
    <n v="2"/>
    <n v="15.25"/>
    <n v="9"/>
    <n v="443.1"/>
    <n v="37"/>
    <x v="4"/>
    <n v="47"/>
    <n v="611"/>
    <s v=""/>
    <x v="3"/>
    <n v="7.69"/>
    <n v="82.62"/>
    <n v="273.24"/>
    <n v="274.5"/>
    <n v="716.34"/>
    <x v="1"/>
    <s v="16"/>
    <x v="11"/>
    <m/>
    <m/>
    <m/>
    <m/>
    <m/>
  </r>
  <r>
    <x v="149"/>
    <x v="0"/>
    <x v="0"/>
    <x v="0"/>
    <x v="3"/>
    <x v="8"/>
    <x v="3"/>
    <x v="3"/>
    <n v="5"/>
    <n v="14.17"/>
    <n v="1"/>
    <n v="198.22"/>
    <n v="17"/>
    <x v="0"/>
    <n v="19"/>
    <n v="310"/>
    <s v=""/>
    <x v="1"/>
    <n v="6.13"/>
    <n v="82.74"/>
    <n v="56.16"/>
    <n v="70.849999999999994"/>
    <n v="254.38"/>
    <x v="0"/>
    <s v="16"/>
    <x v="11"/>
    <m/>
    <m/>
    <m/>
    <m/>
    <m/>
  </r>
  <r>
    <x v="178"/>
    <x v="1"/>
    <x v="2"/>
    <x v="7"/>
    <x v="0"/>
    <x v="0"/>
    <x v="3"/>
    <x v="2"/>
    <n v="2"/>
    <n v="19.82"/>
    <n v="7"/>
    <n v="314.51"/>
    <n v="55"/>
    <x v="2"/>
    <n v="27"/>
    <n v="816"/>
    <s v=""/>
    <x v="4"/>
    <n v="3.31"/>
    <n v="91.38"/>
    <n v="288.3"/>
    <n v="277.48"/>
    <n v="602.80999999999995"/>
    <x v="1"/>
    <s v="20"/>
    <x v="11"/>
    <m/>
    <m/>
    <m/>
    <m/>
    <m/>
  </r>
  <r>
    <x v="68"/>
    <x v="1"/>
    <x v="1"/>
    <x v="3"/>
    <x v="4"/>
    <x v="9"/>
    <x v="0"/>
    <x v="3"/>
    <n v="3"/>
    <n v="6.28"/>
    <n v="8"/>
    <n v="431.28"/>
    <n v="36"/>
    <x v="1"/>
    <n v="9"/>
    <n v="352"/>
    <s v=""/>
    <x v="2"/>
    <n v="2.56"/>
    <n v="91.88"/>
    <n v="258.77"/>
    <n v="150.72"/>
    <n v="690.05"/>
    <x v="0"/>
    <s v="8"/>
    <x v="11"/>
    <m/>
    <m/>
    <m/>
    <m/>
    <m/>
  </r>
  <r>
    <x v="179"/>
    <x v="2"/>
    <x v="1"/>
    <x v="18"/>
    <x v="2"/>
    <x v="0"/>
    <x v="3"/>
    <x v="0"/>
    <n v="1"/>
    <n v="10.47"/>
    <n v="3"/>
    <n v="248.57"/>
    <n v="79"/>
    <x v="1"/>
    <n v="37"/>
    <n v="137"/>
    <s v=""/>
    <x v="4"/>
    <n v="27.01"/>
    <n v="44.98"/>
    <n v="327.27999999999997"/>
    <n v="31.410000000000004"/>
    <n v="575.84999999999991"/>
    <x v="0"/>
    <s v="12"/>
    <x v="11"/>
    <m/>
    <m/>
    <m/>
    <m/>
    <m/>
  </r>
  <r>
    <x v="7"/>
    <x v="5"/>
    <x v="2"/>
    <x v="16"/>
    <x v="1"/>
    <x v="3"/>
    <x v="2"/>
    <x v="1"/>
    <n v="5"/>
    <n v="7.26"/>
    <n v="4"/>
    <n v="58.08"/>
    <n v="28"/>
    <x v="0"/>
    <n v="37"/>
    <n v="142"/>
    <s v=""/>
    <x v="2"/>
    <n v="26.06"/>
    <n v="42.88"/>
    <n v="27.1"/>
    <n v="145.19999999999999"/>
    <n v="85.18"/>
    <x v="0"/>
    <s v="8"/>
    <x v="11"/>
    <m/>
    <m/>
    <m/>
    <m/>
    <m/>
  </r>
  <r>
    <x v="65"/>
    <x v="5"/>
    <x v="1"/>
    <x v="5"/>
    <x v="0"/>
    <x v="18"/>
    <x v="3"/>
    <x v="4"/>
    <n v="5"/>
    <n v="9.3699999999999992"/>
    <n v="3"/>
    <n v="83.53"/>
    <n v="39"/>
    <x v="2"/>
    <n v="43"/>
    <n v="728"/>
    <s v=""/>
    <x v="1"/>
    <n v="5.91"/>
    <n v="83.18"/>
    <n v="54.29"/>
    <n v="140.54999999999998"/>
    <n v="137.82"/>
    <x v="0"/>
    <s v="10"/>
    <x v="11"/>
    <m/>
    <m/>
    <m/>
    <m/>
    <m/>
  </r>
  <r>
    <x v="180"/>
    <x v="2"/>
    <x v="1"/>
    <x v="7"/>
    <x v="0"/>
    <x v="2"/>
    <x v="4"/>
    <x v="4"/>
    <n v="2"/>
    <n v="17.28"/>
    <n v="7"/>
    <n v="279.68"/>
    <n v="87"/>
    <x v="3"/>
    <n v="28"/>
    <n v="504"/>
    <s v=""/>
    <x v="3"/>
    <n v="5.56"/>
    <n v="86.88"/>
    <n v="405.54"/>
    <n v="241.92000000000002"/>
    <n v="685.22"/>
    <x v="1"/>
    <s v="18"/>
    <x v="11"/>
    <m/>
    <m/>
    <m/>
    <m/>
    <m/>
  </r>
  <r>
    <x v="50"/>
    <x v="2"/>
    <x v="0"/>
    <x v="2"/>
    <x v="3"/>
    <x v="19"/>
    <x v="3"/>
    <x v="0"/>
    <n v="3"/>
    <n v="14"/>
    <n v="9"/>
    <n v="486.25"/>
    <n v="74"/>
    <x v="1"/>
    <n v="24"/>
    <n v="801"/>
    <s v=""/>
    <x v="0"/>
    <n v="3"/>
    <n v="91"/>
    <n v="599.71"/>
    <n v="378"/>
    <n v="1085.96"/>
    <x v="0"/>
    <s v="14"/>
    <x v="11"/>
    <m/>
    <m/>
    <m/>
    <m/>
    <m/>
  </r>
  <r>
    <x v="181"/>
    <x v="2"/>
    <x v="2"/>
    <x v="15"/>
    <x v="3"/>
    <x v="17"/>
    <x v="2"/>
    <x v="2"/>
    <n v="4"/>
    <n v="17.77"/>
    <n v="3"/>
    <n v="361.94"/>
    <n v="44"/>
    <x v="3"/>
    <n v="28"/>
    <n v="145"/>
    <s v=""/>
    <x v="4"/>
    <n v="19.309999999999999"/>
    <n v="57.38"/>
    <n v="265.42"/>
    <n v="213.24"/>
    <n v="627.36"/>
    <x v="1"/>
    <s v="18"/>
    <x v="11"/>
    <m/>
    <m/>
    <m/>
    <m/>
    <m/>
  </r>
  <r>
    <x v="107"/>
    <x v="0"/>
    <x v="2"/>
    <x v="4"/>
    <x v="0"/>
    <x v="6"/>
    <x v="0"/>
    <x v="1"/>
    <n v="3"/>
    <n v="4.87"/>
    <n v="6"/>
    <n v="81.91"/>
    <n v="58"/>
    <x v="1"/>
    <n v="36"/>
    <n v="553"/>
    <s v=""/>
    <x v="2"/>
    <n v="6.51"/>
    <n v="83.98"/>
    <n v="79.180000000000007"/>
    <n v="87.66"/>
    <n v="161.09"/>
    <x v="2"/>
    <s v="6"/>
    <x v="11"/>
    <m/>
    <m/>
    <m/>
    <m/>
    <m/>
  </r>
  <r>
    <x v="24"/>
    <x v="4"/>
    <x v="2"/>
    <x v="0"/>
    <x v="4"/>
    <x v="4"/>
    <x v="1"/>
    <x v="3"/>
    <n v="5"/>
    <n v="17.59"/>
    <n v="8"/>
    <n v="135.21"/>
    <n v="48"/>
    <x v="3"/>
    <n v="18"/>
    <n v="777"/>
    <s v=""/>
    <x v="1"/>
    <n v="2.3199999999999998"/>
    <n v="90.36"/>
    <n v="108.17"/>
    <n v="703.6"/>
    <n v="243.38"/>
    <x v="1"/>
    <s v="18"/>
    <x v="11"/>
    <m/>
    <m/>
    <m/>
    <m/>
    <m/>
  </r>
  <r>
    <x v="162"/>
    <x v="5"/>
    <x v="2"/>
    <x v="15"/>
    <x v="1"/>
    <x v="19"/>
    <x v="3"/>
    <x v="0"/>
    <n v="4"/>
    <n v="2.14"/>
    <n v="6"/>
    <n v="397.1"/>
    <n v="66"/>
    <x v="1"/>
    <n v="25"/>
    <n v="404"/>
    <s v=""/>
    <x v="0"/>
    <n v="6.19"/>
    <n v="83.62"/>
    <n v="436.81"/>
    <n v="51.36"/>
    <n v="833.91000000000008"/>
    <x v="2"/>
    <s v="4"/>
    <x v="11"/>
    <m/>
    <m/>
    <m/>
    <m/>
    <m/>
  </r>
  <r>
    <x v="98"/>
    <x v="0"/>
    <x v="0"/>
    <x v="5"/>
    <x v="3"/>
    <x v="16"/>
    <x v="2"/>
    <x v="1"/>
    <n v="3"/>
    <n v="17.88"/>
    <n v="2"/>
    <n v="428.65"/>
    <n v="72"/>
    <x v="3"/>
    <n v="35"/>
    <n v="814"/>
    <s v=""/>
    <x v="1"/>
    <n v="4.3"/>
    <n v="88.4"/>
    <n v="514.38"/>
    <n v="107.28"/>
    <n v="943.03"/>
    <x v="1"/>
    <s v="18"/>
    <x v="11"/>
    <m/>
    <m/>
    <m/>
    <m/>
    <m/>
  </r>
  <r>
    <x v="153"/>
    <x v="2"/>
    <x v="0"/>
    <x v="15"/>
    <x v="4"/>
    <x v="1"/>
    <x v="1"/>
    <x v="1"/>
    <n v="1"/>
    <n v="7.25"/>
    <n v="7"/>
    <n v="327.96"/>
    <n v="37"/>
    <x v="0"/>
    <n v="4"/>
    <n v="332"/>
    <s v=""/>
    <x v="3"/>
    <n v="1.2"/>
    <n v="96.6"/>
    <n v="202.24"/>
    <n v="50.75"/>
    <n v="530.20000000000005"/>
    <x v="0"/>
    <s v="8"/>
    <x v="11"/>
    <m/>
    <m/>
    <m/>
    <m/>
    <m/>
  </r>
  <r>
    <x v="104"/>
    <x v="5"/>
    <x v="1"/>
    <x v="16"/>
    <x v="2"/>
    <x v="3"/>
    <x v="1"/>
    <x v="3"/>
    <n v="2"/>
    <n v="6.98"/>
    <n v="2"/>
    <n v="339.99"/>
    <n v="81"/>
    <x v="4"/>
    <n v="14"/>
    <n v="344"/>
    <s v=""/>
    <x v="0"/>
    <n v="4.07"/>
    <n v="89.86"/>
    <n v="458.99"/>
    <n v="27.92"/>
    <n v="798.98"/>
    <x v="0"/>
    <s v="8"/>
    <x v="11"/>
    <m/>
    <m/>
    <m/>
    <m/>
    <m/>
  </r>
  <r>
    <x v="182"/>
    <x v="0"/>
    <x v="1"/>
    <x v="0"/>
    <x v="3"/>
    <x v="19"/>
    <x v="4"/>
    <x v="1"/>
    <n v="3"/>
    <n v="10.73"/>
    <n v="2"/>
    <n v="62.75"/>
    <n v="60"/>
    <x v="3"/>
    <n v="39"/>
    <n v="820"/>
    <s v=""/>
    <x v="0"/>
    <n v="4.76"/>
    <n v="87.48"/>
    <n v="62.75"/>
    <n v="64.38"/>
    <n v="125.5"/>
    <x v="0"/>
    <s v="12"/>
    <x v="11"/>
    <m/>
    <m/>
    <m/>
    <m/>
    <m/>
  </r>
  <r>
    <x v="183"/>
    <x v="4"/>
    <x v="1"/>
    <x v="0"/>
    <x v="4"/>
    <x v="17"/>
    <x v="1"/>
    <x v="2"/>
    <n v="3"/>
    <n v="18.87"/>
    <n v="2"/>
    <n v="422.84"/>
    <n v="40"/>
    <x v="4"/>
    <n v="26"/>
    <n v="859"/>
    <s v=""/>
    <x v="0"/>
    <n v="3.03"/>
    <n v="90.94"/>
    <n v="281.89"/>
    <n v="113.22"/>
    <n v="704.73"/>
    <x v="1"/>
    <s v="20"/>
    <x v="11"/>
    <m/>
    <m/>
    <m/>
    <m/>
    <m/>
  </r>
  <r>
    <x v="149"/>
    <x v="0"/>
    <x v="1"/>
    <x v="7"/>
    <x v="4"/>
    <x v="16"/>
    <x v="2"/>
    <x v="2"/>
    <n v="1"/>
    <n v="1.91"/>
    <n v="1"/>
    <n v="404.72"/>
    <n v="58"/>
    <x v="4"/>
    <n v="8"/>
    <n v="394"/>
    <s v=""/>
    <x v="2"/>
    <n v="2.0299999999999998"/>
    <n v="94.94"/>
    <n v="391.23"/>
    <n v="1.91"/>
    <n v="795.95"/>
    <x v="2"/>
    <s v="2"/>
    <x v="11"/>
    <m/>
    <m/>
    <m/>
    <m/>
    <m/>
  </r>
  <r>
    <x v="184"/>
    <x v="4"/>
    <x v="0"/>
    <x v="17"/>
    <x v="1"/>
    <x v="17"/>
    <x v="2"/>
    <x v="2"/>
    <n v="5"/>
    <n v="7.69"/>
    <n v="1"/>
    <n v="166.57"/>
    <n v="23"/>
    <x v="2"/>
    <n v="24"/>
    <n v="938"/>
    <s v=""/>
    <x v="0"/>
    <n v="2.56"/>
    <n v="89.88"/>
    <n v="63.85"/>
    <n v="38.450000000000003"/>
    <n v="230.42"/>
    <x v="0"/>
    <s v="8"/>
    <x v="11"/>
    <m/>
    <m/>
    <m/>
    <m/>
    <m/>
  </r>
  <r>
    <x v="174"/>
    <x v="2"/>
    <x v="2"/>
    <x v="7"/>
    <x v="1"/>
    <x v="7"/>
    <x v="3"/>
    <x v="1"/>
    <n v="2"/>
    <n v="17.27"/>
    <n v="7"/>
    <n v="368.9"/>
    <n v="47"/>
    <x v="0"/>
    <n v="16"/>
    <n v="482"/>
    <s v=""/>
    <x v="1"/>
    <n v="3.32"/>
    <n v="91.36"/>
    <n v="288.97000000000003"/>
    <n v="241.78"/>
    <n v="657.87"/>
    <x v="1"/>
    <s v="18"/>
    <x v="11"/>
    <m/>
    <m/>
    <m/>
    <m/>
    <m/>
  </r>
  <r>
    <x v="54"/>
    <x v="4"/>
    <x v="0"/>
    <x v="15"/>
    <x v="2"/>
    <x v="16"/>
    <x v="3"/>
    <x v="2"/>
    <n v="3"/>
    <n v="8.5299999999999994"/>
    <n v="5"/>
    <n v="146.68"/>
    <n v="16"/>
    <x v="4"/>
    <n v="20"/>
    <n v="257"/>
    <s v=""/>
    <x v="2"/>
    <n v="7.78"/>
    <n v="81.44"/>
    <n v="39.11"/>
    <n v="127.94999999999999"/>
    <n v="185.79000000000002"/>
    <x v="0"/>
    <s v="10"/>
    <x v="11"/>
    <m/>
    <m/>
    <m/>
    <m/>
    <m/>
  </r>
  <r>
    <x v="185"/>
    <x v="5"/>
    <x v="1"/>
    <x v="14"/>
    <x v="4"/>
    <x v="12"/>
    <x v="3"/>
    <x v="3"/>
    <n v="4"/>
    <n v="4.78"/>
    <n v="3"/>
    <n v="68.150000000000006"/>
    <n v="15"/>
    <x v="5"/>
    <n v="15"/>
    <n v="504"/>
    <s v="Makine ayarı değiştirildi"/>
    <x v="0"/>
    <n v="2.98"/>
    <n v="90.04"/>
    <n v="17.04"/>
    <n v="57.36"/>
    <n v="85.19"/>
    <x v="2"/>
    <s v="6"/>
    <x v="11"/>
    <m/>
    <m/>
    <m/>
    <m/>
    <m/>
  </r>
  <r>
    <x v="130"/>
    <x v="2"/>
    <x v="0"/>
    <x v="4"/>
    <x v="4"/>
    <x v="14"/>
    <x v="1"/>
    <x v="1"/>
    <n v="3"/>
    <n v="9.07"/>
    <n v="1"/>
    <n v="140.51"/>
    <n v="74"/>
    <x v="4"/>
    <n v="7"/>
    <n v="100"/>
    <s v=""/>
    <x v="1"/>
    <n v="7"/>
    <n v="83"/>
    <n v="173.3"/>
    <n v="27.21"/>
    <n v="313.81"/>
    <x v="0"/>
    <s v="10"/>
    <x v="11"/>
    <m/>
    <m/>
    <m/>
    <m/>
    <m/>
  </r>
  <r>
    <x v="139"/>
    <x v="5"/>
    <x v="2"/>
    <x v="5"/>
    <x v="1"/>
    <x v="5"/>
    <x v="1"/>
    <x v="4"/>
    <n v="2"/>
    <n v="8.33"/>
    <n v="6"/>
    <n v="130.38"/>
    <n v="16"/>
    <x v="3"/>
    <n v="17"/>
    <n v="316"/>
    <s v=""/>
    <x v="1"/>
    <n v="5.38"/>
    <n v="87.24"/>
    <n v="34.770000000000003"/>
    <n v="99.960000000000008"/>
    <n v="165.15"/>
    <x v="0"/>
    <s v="10"/>
    <x v="11"/>
    <m/>
    <m/>
    <m/>
    <m/>
    <m/>
  </r>
  <r>
    <x v="11"/>
    <x v="1"/>
    <x v="2"/>
    <x v="0"/>
    <x v="3"/>
    <x v="10"/>
    <x v="4"/>
    <x v="1"/>
    <n v="3"/>
    <n v="18.39"/>
    <n v="1"/>
    <n v="201.99"/>
    <n v="45"/>
    <x v="4"/>
    <n v="22"/>
    <n v="606"/>
    <s v=""/>
    <x v="4"/>
    <n v="3.63"/>
    <n v="89.74"/>
    <n v="151.49"/>
    <n v="55.17"/>
    <n v="353.48"/>
    <x v="1"/>
    <s v="20"/>
    <x v="11"/>
    <m/>
    <m/>
    <m/>
    <m/>
    <m/>
  </r>
  <r>
    <x v="62"/>
    <x v="3"/>
    <x v="0"/>
    <x v="13"/>
    <x v="3"/>
    <x v="18"/>
    <x v="3"/>
    <x v="3"/>
    <n v="1"/>
    <n v="15.48"/>
    <n v="9"/>
    <n v="238.3"/>
    <n v="29"/>
    <x v="3"/>
    <n v="22"/>
    <n v="860"/>
    <s v=""/>
    <x v="1"/>
    <n v="2.56"/>
    <n v="93.88"/>
    <n v="115.18"/>
    <n v="139.32"/>
    <n v="353.48"/>
    <x v="1"/>
    <s v="16"/>
    <x v="11"/>
    <m/>
    <m/>
    <m/>
    <m/>
    <m/>
  </r>
  <r>
    <x v="186"/>
    <x v="4"/>
    <x v="0"/>
    <x v="5"/>
    <x v="0"/>
    <x v="1"/>
    <x v="0"/>
    <x v="4"/>
    <n v="3"/>
    <n v="10.6"/>
    <n v="2"/>
    <n v="278.83999999999997"/>
    <n v="7"/>
    <x v="3"/>
    <n v="12"/>
    <n v="680"/>
    <s v=""/>
    <x v="3"/>
    <n v="1.76"/>
    <n v="93.48"/>
    <n v="32.53"/>
    <n v="63.599999999999994"/>
    <n v="311.37"/>
    <x v="0"/>
    <s v="12"/>
    <x v="11"/>
    <m/>
    <m/>
    <m/>
    <m/>
    <m/>
  </r>
  <r>
    <x v="3"/>
    <x v="3"/>
    <x v="0"/>
    <x v="11"/>
    <x v="1"/>
    <x v="7"/>
    <x v="4"/>
    <x v="1"/>
    <n v="3"/>
    <n v="19.78"/>
    <n v="1"/>
    <n v="264.54000000000002"/>
    <n v="7"/>
    <x v="5"/>
    <n v="18"/>
    <n v="129"/>
    <s v=""/>
    <x v="0"/>
    <n v="13.95"/>
    <n v="69.099999999999994"/>
    <n v="30.86"/>
    <n v="59.34"/>
    <n v="295.40000000000003"/>
    <x v="1"/>
    <s v="20"/>
    <x v="11"/>
    <m/>
    <m/>
    <m/>
    <m/>
    <m/>
  </r>
  <r>
    <x v="142"/>
    <x v="3"/>
    <x v="1"/>
    <x v="11"/>
    <x v="0"/>
    <x v="12"/>
    <x v="0"/>
    <x v="2"/>
    <n v="4"/>
    <n v="9.84"/>
    <n v="7"/>
    <n v="171.8"/>
    <n v="88"/>
    <x v="4"/>
    <n v="46"/>
    <n v="726"/>
    <s v=""/>
    <x v="0"/>
    <n v="6.34"/>
    <n v="83.32"/>
    <n v="251.97"/>
    <n v="275.52"/>
    <n v="423.77"/>
    <x v="0"/>
    <s v="10"/>
    <x v="11"/>
    <m/>
    <m/>
    <m/>
    <m/>
    <m/>
  </r>
  <r>
    <x v="153"/>
    <x v="4"/>
    <x v="0"/>
    <x v="13"/>
    <x v="1"/>
    <x v="3"/>
    <x v="1"/>
    <x v="0"/>
    <n v="1"/>
    <n v="2.11"/>
    <n v="6"/>
    <n v="63.13"/>
    <n v="32"/>
    <x v="4"/>
    <n v="47"/>
    <n v="619"/>
    <s v=""/>
    <x v="0"/>
    <n v="7.59"/>
    <n v="83.82"/>
    <n v="33.67"/>
    <n v="12.66"/>
    <n v="96.800000000000011"/>
    <x v="2"/>
    <s v="4"/>
    <x v="11"/>
    <m/>
    <m/>
    <m/>
    <m/>
    <m/>
  </r>
  <r>
    <x v="187"/>
    <x v="2"/>
    <x v="0"/>
    <x v="0"/>
    <x v="2"/>
    <x v="18"/>
    <x v="4"/>
    <x v="0"/>
    <n v="1"/>
    <n v="5.98"/>
    <n v="6"/>
    <n v="322.3"/>
    <n v="27"/>
    <x v="1"/>
    <n v="15"/>
    <n v="980"/>
    <s v=""/>
    <x v="1"/>
    <n v="1.53"/>
    <n v="95.94"/>
    <n v="145.04"/>
    <n v="35.880000000000003"/>
    <n v="467.34000000000003"/>
    <x v="2"/>
    <s v="6"/>
    <x v="11"/>
    <m/>
    <m/>
    <m/>
    <m/>
    <m/>
  </r>
  <r>
    <x v="27"/>
    <x v="1"/>
    <x v="0"/>
    <x v="0"/>
    <x v="4"/>
    <x v="4"/>
    <x v="4"/>
    <x v="2"/>
    <n v="3"/>
    <n v="9.2899999999999991"/>
    <n v="5"/>
    <n v="228.09"/>
    <n v="52"/>
    <x v="1"/>
    <n v="37"/>
    <n v="374"/>
    <s v=""/>
    <x v="1"/>
    <n v="9.89"/>
    <n v="77.22"/>
    <n v="197.68"/>
    <n v="139.35"/>
    <n v="425.77"/>
    <x v="0"/>
    <s v="10"/>
    <x v="11"/>
    <m/>
    <m/>
    <m/>
    <m/>
    <m/>
  </r>
  <r>
    <x v="188"/>
    <x v="5"/>
    <x v="2"/>
    <x v="8"/>
    <x v="2"/>
    <x v="14"/>
    <x v="2"/>
    <x v="0"/>
    <n v="4"/>
    <n v="3.98"/>
    <n v="4"/>
    <n v="184.4"/>
    <n v="71"/>
    <x v="2"/>
    <n v="16"/>
    <n v="591"/>
    <s v=""/>
    <x v="0"/>
    <n v="2.71"/>
    <n v="90.58"/>
    <n v="218.21"/>
    <n v="63.68"/>
    <n v="402.61"/>
    <x v="2"/>
    <s v="4"/>
    <x v="11"/>
    <m/>
    <m/>
    <m/>
    <m/>
    <m/>
  </r>
  <r>
    <x v="189"/>
    <x v="0"/>
    <x v="2"/>
    <x v="19"/>
    <x v="1"/>
    <x v="18"/>
    <x v="1"/>
    <x v="0"/>
    <n v="3"/>
    <n v="19"/>
    <n v="4"/>
    <n v="440.12"/>
    <n v="46"/>
    <x v="3"/>
    <n v="5"/>
    <n v="926"/>
    <s v=""/>
    <x v="2"/>
    <n v="0.54"/>
    <n v="95.92"/>
    <n v="337.43"/>
    <n v="228"/>
    <n v="777.55"/>
    <x v="1"/>
    <s v="20"/>
    <x v="11"/>
    <m/>
    <m/>
    <m/>
    <m/>
    <m/>
  </r>
  <r>
    <x v="190"/>
    <x v="5"/>
    <x v="1"/>
    <x v="16"/>
    <x v="4"/>
    <x v="7"/>
    <x v="1"/>
    <x v="2"/>
    <n v="3"/>
    <n v="15.57"/>
    <n v="3"/>
    <n v="386.03"/>
    <n v="44"/>
    <x v="5"/>
    <n v="2"/>
    <n v="946"/>
    <s v=""/>
    <x v="2"/>
    <n v="0.21"/>
    <n v="96.58"/>
    <n v="283.08999999999997"/>
    <n v="140.13"/>
    <n v="669.11999999999989"/>
    <x v="1"/>
    <s v="16"/>
    <x v="11"/>
    <m/>
    <m/>
    <m/>
    <m/>
    <m/>
  </r>
  <r>
    <x v="91"/>
    <x v="0"/>
    <x v="1"/>
    <x v="10"/>
    <x v="3"/>
    <x v="8"/>
    <x v="4"/>
    <x v="2"/>
    <n v="2"/>
    <n v="6.1"/>
    <n v="8"/>
    <n v="435.99"/>
    <n v="10"/>
    <x v="1"/>
    <n v="28"/>
    <n v="135"/>
    <s v=""/>
    <x v="3"/>
    <n v="20.74"/>
    <n v="56.52"/>
    <n v="72.66"/>
    <n v="97.6"/>
    <n v="508.65"/>
    <x v="0"/>
    <s v="8"/>
    <x v="11"/>
    <m/>
    <m/>
    <m/>
    <m/>
    <m/>
  </r>
  <r>
    <x v="137"/>
    <x v="5"/>
    <x v="2"/>
    <x v="7"/>
    <x v="3"/>
    <x v="11"/>
    <x v="1"/>
    <x v="1"/>
    <n v="2"/>
    <n v="12.23"/>
    <n v="7"/>
    <n v="272.74"/>
    <n v="24"/>
    <x v="4"/>
    <n v="41"/>
    <n v="410"/>
    <s v=""/>
    <x v="4"/>
    <n v="10"/>
    <n v="78"/>
    <n v="109.1"/>
    <n v="171.22"/>
    <n v="381.84000000000003"/>
    <x v="0"/>
    <s v="14"/>
    <x v="11"/>
    <m/>
    <m/>
    <m/>
    <m/>
    <m/>
  </r>
  <r>
    <x v="191"/>
    <x v="4"/>
    <x v="2"/>
    <x v="3"/>
    <x v="0"/>
    <x v="12"/>
    <x v="4"/>
    <x v="1"/>
    <n v="4"/>
    <n v="14.71"/>
    <n v="9"/>
    <n v="108.92"/>
    <n v="15"/>
    <x v="2"/>
    <n v="27"/>
    <n v="143"/>
    <s v=""/>
    <x v="3"/>
    <n v="18.88"/>
    <n v="58.24"/>
    <n v="27.23"/>
    <n v="529.56000000000006"/>
    <n v="136.15"/>
    <x v="0"/>
    <s v="16"/>
    <x v="11"/>
    <m/>
    <m/>
    <m/>
    <m/>
    <m/>
  </r>
  <r>
    <x v="130"/>
    <x v="1"/>
    <x v="2"/>
    <x v="6"/>
    <x v="1"/>
    <x v="19"/>
    <x v="2"/>
    <x v="2"/>
    <n v="5"/>
    <n v="18.88"/>
    <n v="1"/>
    <n v="363.3"/>
    <n v="31"/>
    <x v="5"/>
    <n v="31"/>
    <n v="254"/>
    <s v=""/>
    <x v="0"/>
    <n v="12.2"/>
    <n v="70.599999999999994"/>
    <n v="187.7"/>
    <n v="94.399999999999991"/>
    <n v="551"/>
    <x v="1"/>
    <s v="20"/>
    <x v="11"/>
    <m/>
    <m/>
    <m/>
    <m/>
    <m/>
  </r>
  <r>
    <x v="67"/>
    <x v="0"/>
    <x v="0"/>
    <x v="7"/>
    <x v="1"/>
    <x v="13"/>
    <x v="4"/>
    <x v="3"/>
    <n v="2"/>
    <n v="17.75"/>
    <n v="7"/>
    <n v="142.72999999999999"/>
    <n v="25"/>
    <x v="0"/>
    <n v="41"/>
    <n v="176"/>
    <s v=""/>
    <x v="0"/>
    <n v="23.3"/>
    <n v="51.4"/>
    <n v="59.47"/>
    <n v="248.5"/>
    <n v="202.2"/>
    <x v="1"/>
    <s v="18"/>
    <x v="11"/>
    <m/>
    <m/>
    <m/>
    <m/>
    <m/>
  </r>
  <r>
    <x v="192"/>
    <x v="2"/>
    <x v="0"/>
    <x v="15"/>
    <x v="3"/>
    <x v="8"/>
    <x v="1"/>
    <x v="0"/>
    <n v="5"/>
    <n v="10.79"/>
    <n v="4"/>
    <n v="248.55"/>
    <n v="17"/>
    <x v="4"/>
    <n v="36"/>
    <n v="689"/>
    <s v=""/>
    <x v="0"/>
    <n v="5.22"/>
    <n v="84.56"/>
    <n v="70.42"/>
    <n v="215.79999999999998"/>
    <n v="318.97000000000003"/>
    <x v="0"/>
    <s v="12"/>
    <x v="11"/>
    <m/>
    <m/>
    <m/>
    <m/>
    <m/>
  </r>
  <r>
    <x v="64"/>
    <x v="5"/>
    <x v="2"/>
    <x v="0"/>
    <x v="2"/>
    <x v="3"/>
    <x v="1"/>
    <x v="1"/>
    <n v="1"/>
    <n v="15.72"/>
    <n v="7"/>
    <n v="79.25"/>
    <n v="39"/>
    <x v="4"/>
    <n v="47"/>
    <n v="712"/>
    <s v=""/>
    <x v="4"/>
    <n v="6.6"/>
    <n v="85.8"/>
    <n v="51.51"/>
    <n v="110.04"/>
    <n v="130.76"/>
    <x v="1"/>
    <s v="16"/>
    <x v="11"/>
    <m/>
    <m/>
    <m/>
    <m/>
    <m/>
  </r>
  <r>
    <x v="97"/>
    <x v="5"/>
    <x v="0"/>
    <x v="3"/>
    <x v="4"/>
    <x v="2"/>
    <x v="4"/>
    <x v="0"/>
    <n v="2"/>
    <n v="11.68"/>
    <n v="1"/>
    <n v="421.39"/>
    <n v="51"/>
    <x v="0"/>
    <n v="43"/>
    <n v="537"/>
    <s v=""/>
    <x v="1"/>
    <n v="8.01"/>
    <n v="81.98"/>
    <n v="358.18"/>
    <n v="23.36"/>
    <n v="779.56999999999994"/>
    <x v="0"/>
    <s v="12"/>
    <x v="11"/>
    <m/>
    <m/>
    <m/>
    <m/>
    <m/>
  </r>
  <r>
    <x v="38"/>
    <x v="0"/>
    <x v="0"/>
    <x v="6"/>
    <x v="2"/>
    <x v="11"/>
    <x v="4"/>
    <x v="4"/>
    <n v="2"/>
    <n v="11.5"/>
    <n v="5"/>
    <n v="106.67"/>
    <n v="32"/>
    <x v="3"/>
    <n v="1"/>
    <n v="531"/>
    <s v=""/>
    <x v="4"/>
    <n v="0.19"/>
    <n v="97.62"/>
    <n v="56.89"/>
    <n v="115"/>
    <n v="163.56"/>
    <x v="0"/>
    <s v="12"/>
    <x v="11"/>
    <m/>
    <m/>
    <m/>
    <m/>
    <m/>
  </r>
  <r>
    <x v="87"/>
    <x v="2"/>
    <x v="1"/>
    <x v="7"/>
    <x v="2"/>
    <x v="16"/>
    <x v="4"/>
    <x v="2"/>
    <n v="4"/>
    <n v="3.18"/>
    <n v="3"/>
    <n v="456.39"/>
    <n v="25"/>
    <x v="3"/>
    <n v="29"/>
    <n v="641"/>
    <s v=""/>
    <x v="3"/>
    <n v="4.5199999999999996"/>
    <n v="86.96"/>
    <n v="190.16"/>
    <n v="38.160000000000004"/>
    <n v="646.54999999999995"/>
    <x v="2"/>
    <s v="4"/>
    <x v="11"/>
    <m/>
    <m/>
    <m/>
    <m/>
    <m/>
  </r>
  <r>
    <x v="161"/>
    <x v="2"/>
    <x v="2"/>
    <x v="0"/>
    <x v="3"/>
    <x v="6"/>
    <x v="3"/>
    <x v="3"/>
    <n v="5"/>
    <n v="3.4"/>
    <n v="5"/>
    <n v="438.9"/>
    <n v="22"/>
    <x v="1"/>
    <n v="1"/>
    <n v="138"/>
    <s v=""/>
    <x v="1"/>
    <n v="0.72"/>
    <n v="93.56"/>
    <n v="160.93"/>
    <n v="85"/>
    <n v="599.82999999999993"/>
    <x v="2"/>
    <s v="4"/>
    <x v="11"/>
    <m/>
    <m/>
    <m/>
    <m/>
    <m/>
  </r>
  <r>
    <x v="193"/>
    <x v="4"/>
    <x v="2"/>
    <x v="14"/>
    <x v="3"/>
    <x v="19"/>
    <x v="1"/>
    <x v="4"/>
    <n v="2"/>
    <n v="11.06"/>
    <n v="4"/>
    <n v="259.06"/>
    <n v="35"/>
    <x v="1"/>
    <n v="8"/>
    <n v="338"/>
    <s v="Kritik hata"/>
    <x v="1"/>
    <n v="2.37"/>
    <n v="93.26"/>
    <n v="151.12"/>
    <n v="88.48"/>
    <n v="410.18"/>
    <x v="0"/>
    <s v="12"/>
    <x v="11"/>
    <m/>
    <m/>
    <m/>
    <m/>
    <m/>
  </r>
  <r>
    <x v="194"/>
    <x v="4"/>
    <x v="0"/>
    <x v="3"/>
    <x v="3"/>
    <x v="12"/>
    <x v="1"/>
    <x v="4"/>
    <n v="2"/>
    <n v="6.11"/>
    <n v="2"/>
    <n v="384.97"/>
    <n v="64"/>
    <x v="4"/>
    <n v="16"/>
    <n v="112"/>
    <s v=""/>
    <x v="3"/>
    <n v="14.29"/>
    <n v="69.42"/>
    <n v="410.63"/>
    <n v="24.44"/>
    <n v="795.6"/>
    <x v="0"/>
    <s v="8"/>
    <x v="11"/>
    <m/>
    <m/>
    <m/>
    <m/>
    <m/>
  </r>
  <r>
    <x v="65"/>
    <x v="4"/>
    <x v="2"/>
    <x v="10"/>
    <x v="0"/>
    <x v="4"/>
    <x v="3"/>
    <x v="4"/>
    <n v="4"/>
    <n v="1.4"/>
    <n v="4"/>
    <n v="328.75"/>
    <n v="41"/>
    <x v="4"/>
    <n v="28"/>
    <n v="221"/>
    <s v=""/>
    <x v="1"/>
    <n v="12.67"/>
    <n v="70.66"/>
    <n v="224.65"/>
    <n v="22.4"/>
    <n v="553.4"/>
    <x v="2"/>
    <s v="2"/>
    <x v="11"/>
    <m/>
    <m/>
    <m/>
    <m/>
    <m/>
  </r>
  <r>
    <x v="195"/>
    <x v="4"/>
    <x v="1"/>
    <x v="13"/>
    <x v="2"/>
    <x v="5"/>
    <x v="4"/>
    <x v="2"/>
    <n v="4"/>
    <n v="14.73"/>
    <n v="3"/>
    <n v="411.38"/>
    <n v="25"/>
    <x v="1"/>
    <n v="22"/>
    <n v="243"/>
    <s v=""/>
    <x v="2"/>
    <n v="9.0500000000000007"/>
    <n v="77.900000000000006"/>
    <n v="171.41"/>
    <n v="176.76"/>
    <n v="582.79"/>
    <x v="0"/>
    <s v="16"/>
    <x v="11"/>
    <m/>
    <m/>
    <m/>
    <m/>
    <m/>
  </r>
  <r>
    <x v="70"/>
    <x v="4"/>
    <x v="1"/>
    <x v="16"/>
    <x v="1"/>
    <x v="16"/>
    <x v="2"/>
    <x v="1"/>
    <n v="5"/>
    <n v="1.62"/>
    <n v="1"/>
    <n v="244.31"/>
    <n v="18"/>
    <x v="0"/>
    <n v="18"/>
    <n v="783"/>
    <s v=""/>
    <x v="3"/>
    <n v="2.2999999999999998"/>
    <n v="90.4"/>
    <n v="73.290000000000006"/>
    <n v="8.1000000000000014"/>
    <n v="317.60000000000002"/>
    <x v="2"/>
    <s v="2"/>
    <x v="11"/>
    <m/>
    <m/>
    <m/>
    <m/>
    <m/>
  </r>
  <r>
    <x v="190"/>
    <x v="4"/>
    <x v="1"/>
    <x v="12"/>
    <x v="4"/>
    <x v="19"/>
    <x v="4"/>
    <x v="2"/>
    <n v="1"/>
    <n v="12.31"/>
    <n v="8"/>
    <n v="403.61"/>
    <n v="64"/>
    <x v="1"/>
    <n v="22"/>
    <n v="554"/>
    <s v=""/>
    <x v="3"/>
    <n v="3.97"/>
    <n v="91.06"/>
    <n v="430.52"/>
    <n v="98.48"/>
    <n v="834.13"/>
    <x v="0"/>
    <s v="14"/>
    <x v="11"/>
    <m/>
    <m/>
    <m/>
    <m/>
    <m/>
  </r>
  <r>
    <x v="95"/>
    <x v="1"/>
    <x v="2"/>
    <x v="4"/>
    <x v="0"/>
    <x v="2"/>
    <x v="4"/>
    <x v="1"/>
    <n v="1"/>
    <n v="11.24"/>
    <n v="5"/>
    <n v="258.11"/>
    <n v="27"/>
    <x v="4"/>
    <n v="41"/>
    <n v="467"/>
    <s v=""/>
    <x v="2"/>
    <n v="8.7799999999999994"/>
    <n v="81.44"/>
    <n v="116.15"/>
    <n v="56.2"/>
    <n v="374.26"/>
    <x v="0"/>
    <s v="12"/>
    <x v="11"/>
    <m/>
    <m/>
    <m/>
    <m/>
    <m/>
  </r>
  <r>
    <x v="196"/>
    <x v="2"/>
    <x v="2"/>
    <x v="18"/>
    <x v="1"/>
    <x v="0"/>
    <x v="3"/>
    <x v="4"/>
    <n v="3"/>
    <n v="19.41"/>
    <n v="4"/>
    <n v="473.43"/>
    <n v="33"/>
    <x v="5"/>
    <n v="12"/>
    <n v="858"/>
    <s v=""/>
    <x v="4"/>
    <n v="1.4"/>
    <n v="94.2"/>
    <n v="260.39"/>
    <n v="232.92000000000002"/>
    <n v="733.81999999999994"/>
    <x v="1"/>
    <s v="20"/>
    <x v="11"/>
    <m/>
    <m/>
    <m/>
    <m/>
    <m/>
  </r>
  <r>
    <x v="128"/>
    <x v="4"/>
    <x v="2"/>
    <x v="14"/>
    <x v="2"/>
    <x v="16"/>
    <x v="1"/>
    <x v="4"/>
    <n v="2"/>
    <n v="10.199999999999999"/>
    <n v="5"/>
    <n v="268.87"/>
    <n v="51"/>
    <x v="4"/>
    <n v="19"/>
    <n v="346"/>
    <s v="Rutin kontrol"/>
    <x v="4"/>
    <n v="5.49"/>
    <n v="87.02"/>
    <n v="228.54"/>
    <n v="102"/>
    <n v="497.40999999999997"/>
    <x v="0"/>
    <s v="12"/>
    <x v="11"/>
    <m/>
    <m/>
    <m/>
    <m/>
    <m/>
  </r>
  <r>
    <x v="41"/>
    <x v="2"/>
    <x v="2"/>
    <x v="16"/>
    <x v="3"/>
    <x v="6"/>
    <x v="4"/>
    <x v="3"/>
    <n v="5"/>
    <n v="2.21"/>
    <n v="4"/>
    <n v="258.18"/>
    <n v="34"/>
    <x v="5"/>
    <n v="25"/>
    <n v="144"/>
    <s v=""/>
    <x v="4"/>
    <n v="17.36"/>
    <n v="60.28"/>
    <n v="146.30000000000001"/>
    <n v="44.2"/>
    <n v="404.48"/>
    <x v="2"/>
    <s v="4"/>
    <x v="11"/>
    <m/>
    <m/>
    <m/>
    <m/>
    <m/>
  </r>
  <r>
    <x v="73"/>
    <x v="2"/>
    <x v="2"/>
    <x v="19"/>
    <x v="2"/>
    <x v="19"/>
    <x v="1"/>
    <x v="1"/>
    <n v="2"/>
    <n v="11.48"/>
    <n v="3"/>
    <n v="403.28"/>
    <n v="88"/>
    <x v="5"/>
    <n v="5"/>
    <n v="864"/>
    <s v=""/>
    <x v="1"/>
    <n v="0.57999999999999996"/>
    <n v="96.84"/>
    <n v="591.48"/>
    <n v="68.88"/>
    <n v="994.76"/>
    <x v="0"/>
    <s v="12"/>
    <x v="11"/>
    <m/>
    <m/>
    <m/>
    <m/>
    <m/>
  </r>
  <r>
    <x v="141"/>
    <x v="3"/>
    <x v="1"/>
    <x v="10"/>
    <x v="4"/>
    <x v="10"/>
    <x v="0"/>
    <x v="4"/>
    <n v="5"/>
    <n v="16.98"/>
    <n v="5"/>
    <n v="419.71"/>
    <n v="42"/>
    <x v="4"/>
    <n v="34"/>
    <n v="474"/>
    <s v=""/>
    <x v="2"/>
    <n v="7.17"/>
    <n v="80.66"/>
    <n v="293.8"/>
    <n v="424.5"/>
    <n v="713.51"/>
    <x v="1"/>
    <s v="18"/>
    <x v="11"/>
    <m/>
    <m/>
    <m/>
    <m/>
    <m/>
  </r>
  <r>
    <x v="151"/>
    <x v="1"/>
    <x v="0"/>
    <x v="13"/>
    <x v="0"/>
    <x v="5"/>
    <x v="1"/>
    <x v="0"/>
    <n v="5"/>
    <n v="19.940000000000001"/>
    <n v="4"/>
    <n v="299.52"/>
    <n v="87"/>
    <x v="2"/>
    <n v="39"/>
    <n v="390"/>
    <s v=""/>
    <x v="3"/>
    <n v="10"/>
    <n v="75"/>
    <n v="434.3"/>
    <n v="398.8"/>
    <n v="733.81999999999994"/>
    <x v="1"/>
    <s v="20"/>
    <x v="11"/>
    <m/>
    <m/>
    <m/>
    <m/>
    <m/>
  </r>
  <r>
    <x v="68"/>
    <x v="4"/>
    <x v="1"/>
    <x v="12"/>
    <x v="0"/>
    <x v="13"/>
    <x v="2"/>
    <x v="3"/>
    <n v="5"/>
    <n v="9.18"/>
    <n v="1"/>
    <n v="130.91"/>
    <n v="31"/>
    <x v="1"/>
    <n v="10"/>
    <n v="306"/>
    <s v=""/>
    <x v="3"/>
    <n v="3.27"/>
    <n v="88.46"/>
    <n v="67.64"/>
    <n v="45.9"/>
    <n v="198.55"/>
    <x v="0"/>
    <s v="10"/>
    <x v="11"/>
    <m/>
    <m/>
    <m/>
    <m/>
    <m/>
  </r>
  <r>
    <x v="66"/>
    <x v="5"/>
    <x v="2"/>
    <x v="15"/>
    <x v="4"/>
    <x v="19"/>
    <x v="2"/>
    <x v="2"/>
    <n v="2"/>
    <n v="7.09"/>
    <n v="3"/>
    <n v="260.49"/>
    <n v="19"/>
    <x v="3"/>
    <n v="47"/>
    <n v="618"/>
    <s v=""/>
    <x v="3"/>
    <n v="7.61"/>
    <n v="82.78"/>
    <n v="82.49"/>
    <n v="42.54"/>
    <n v="342.98"/>
    <x v="0"/>
    <s v="8"/>
    <x v="11"/>
    <m/>
    <m/>
    <m/>
    <m/>
    <m/>
  </r>
  <r>
    <x v="147"/>
    <x v="0"/>
    <x v="1"/>
    <x v="2"/>
    <x v="1"/>
    <x v="5"/>
    <x v="4"/>
    <x v="3"/>
    <n v="4"/>
    <n v="18.23"/>
    <n v="8"/>
    <n v="485.63"/>
    <n v="63"/>
    <x v="4"/>
    <n v="7"/>
    <n v="341"/>
    <s v=""/>
    <x v="1"/>
    <n v="2.0499999999999998"/>
    <n v="91.9"/>
    <n v="509.91"/>
    <n v="583.36"/>
    <n v="995.54"/>
    <x v="1"/>
    <s v="20"/>
    <x v="11"/>
    <m/>
    <m/>
    <m/>
    <m/>
    <m/>
  </r>
  <r>
    <x v="197"/>
    <x v="5"/>
    <x v="2"/>
    <x v="0"/>
    <x v="1"/>
    <x v="0"/>
    <x v="1"/>
    <x v="0"/>
    <n v="2"/>
    <n v="4.63"/>
    <n v="7"/>
    <n v="388.84"/>
    <n v="7"/>
    <x v="5"/>
    <n v="37"/>
    <n v="721"/>
    <s v=""/>
    <x v="1"/>
    <n v="5.13"/>
    <n v="87.74"/>
    <n v="45.36"/>
    <n v="64.819999999999993"/>
    <n v="434.2"/>
    <x v="2"/>
    <s v="6"/>
    <x v="11"/>
    <m/>
    <m/>
    <m/>
    <m/>
    <m/>
  </r>
  <r>
    <x v="60"/>
    <x v="1"/>
    <x v="2"/>
    <x v="11"/>
    <x v="0"/>
    <x v="3"/>
    <x v="4"/>
    <x v="1"/>
    <n v="5"/>
    <n v="12.69"/>
    <n v="2"/>
    <n v="415.02"/>
    <n v="14"/>
    <x v="4"/>
    <n v="47"/>
    <n v="213"/>
    <s v=""/>
    <x v="4"/>
    <n v="22.07"/>
    <n v="50.86"/>
    <n v="96.84"/>
    <n v="126.89999999999999"/>
    <n v="511.86"/>
    <x v="0"/>
    <s v="14"/>
    <x v="11"/>
    <m/>
    <m/>
    <m/>
    <m/>
    <m/>
  </r>
  <r>
    <x v="198"/>
    <x v="0"/>
    <x v="1"/>
    <x v="1"/>
    <x v="0"/>
    <x v="1"/>
    <x v="3"/>
    <x v="2"/>
    <n v="3"/>
    <n v="8.7100000000000009"/>
    <n v="1"/>
    <n v="64.77"/>
    <n v="83"/>
    <x v="1"/>
    <n v="15"/>
    <n v="918"/>
    <s v=""/>
    <x v="1"/>
    <n v="1.63"/>
    <n v="93.74"/>
    <n v="89.6"/>
    <n v="26.130000000000003"/>
    <n v="154.37"/>
    <x v="0"/>
    <s v="10"/>
    <x v="11"/>
    <m/>
    <m/>
    <m/>
    <m/>
    <m/>
  </r>
  <r>
    <x v="199"/>
    <x v="1"/>
    <x v="2"/>
    <x v="5"/>
    <x v="3"/>
    <x v="18"/>
    <x v="2"/>
    <x v="2"/>
    <n v="1"/>
    <n v="1.78"/>
    <n v="3"/>
    <n v="260.54000000000002"/>
    <n v="84"/>
    <x v="0"/>
    <n v="42"/>
    <n v="401"/>
    <s v=""/>
    <x v="4"/>
    <n v="10.47"/>
    <n v="78.06"/>
    <n v="364.76"/>
    <n v="5.34"/>
    <n v="625.29999999999995"/>
    <x v="2"/>
    <s v="2"/>
    <x v="11"/>
    <m/>
    <m/>
    <m/>
    <m/>
    <m/>
  </r>
  <r>
    <x v="121"/>
    <x v="2"/>
    <x v="0"/>
    <x v="18"/>
    <x v="1"/>
    <x v="12"/>
    <x v="4"/>
    <x v="1"/>
    <n v="5"/>
    <n v="7.6"/>
    <n v="5"/>
    <n v="340.98"/>
    <n v="21"/>
    <x v="5"/>
    <n v="24"/>
    <n v="375"/>
    <s v=""/>
    <x v="4"/>
    <n v="6.4"/>
    <n v="82.2"/>
    <n v="119.34"/>
    <n v="190"/>
    <n v="460.32000000000005"/>
    <x v="0"/>
    <s v="8"/>
    <x v="11"/>
    <m/>
    <m/>
    <m/>
    <m/>
    <m/>
  </r>
  <r>
    <x v="178"/>
    <x v="0"/>
    <x v="2"/>
    <x v="12"/>
    <x v="4"/>
    <x v="16"/>
    <x v="3"/>
    <x v="3"/>
    <n v="3"/>
    <n v="6.04"/>
    <n v="1"/>
    <n v="423.51"/>
    <n v="87"/>
    <x v="3"/>
    <n v="26"/>
    <n v="195"/>
    <s v=""/>
    <x v="3"/>
    <n v="13.33"/>
    <n v="70.34"/>
    <n v="614.09"/>
    <n v="18.12"/>
    <n v="1037.5999999999999"/>
    <x v="0"/>
    <s v="8"/>
    <x v="11"/>
    <m/>
    <m/>
    <m/>
    <m/>
    <m/>
  </r>
  <r>
    <x v="106"/>
    <x v="2"/>
    <x v="0"/>
    <x v="15"/>
    <x v="1"/>
    <x v="3"/>
    <x v="4"/>
    <x v="4"/>
    <n v="4"/>
    <n v="14.04"/>
    <n v="3"/>
    <n v="72.17"/>
    <n v="15"/>
    <x v="3"/>
    <n v="26"/>
    <n v="393"/>
    <s v=""/>
    <x v="1"/>
    <n v="6.62"/>
    <n v="82.76"/>
    <n v="18.04"/>
    <n v="168.48"/>
    <n v="90.210000000000008"/>
    <x v="0"/>
    <s v="16"/>
    <x v="11"/>
    <m/>
    <m/>
    <m/>
    <m/>
    <m/>
  </r>
  <r>
    <x v="1"/>
    <x v="5"/>
    <x v="0"/>
    <x v="3"/>
    <x v="3"/>
    <x v="12"/>
    <x v="1"/>
    <x v="3"/>
    <n v="5"/>
    <n v="19.03"/>
    <n v="3"/>
    <n v="433.6"/>
    <n v="52"/>
    <x v="3"/>
    <n v="46"/>
    <n v="800"/>
    <s v=""/>
    <x v="4"/>
    <n v="5.75"/>
    <n v="83.5"/>
    <n v="375.79"/>
    <n v="285.45000000000005"/>
    <n v="809.3900000000001"/>
    <x v="1"/>
    <s v="20"/>
    <x v="11"/>
    <m/>
    <m/>
    <m/>
    <m/>
    <m/>
  </r>
  <r>
    <x v="200"/>
    <x v="5"/>
    <x v="2"/>
    <x v="12"/>
    <x v="0"/>
    <x v="12"/>
    <x v="1"/>
    <x v="0"/>
    <n v="3"/>
    <n v="6.09"/>
    <n v="5"/>
    <n v="296.77999999999997"/>
    <n v="9"/>
    <x v="0"/>
    <n v="26"/>
    <n v="459"/>
    <s v=""/>
    <x v="2"/>
    <n v="5.66"/>
    <n v="85.68"/>
    <n v="44.52"/>
    <n v="91.35"/>
    <n v="341.29999999999995"/>
    <x v="0"/>
    <s v="8"/>
    <x v="11"/>
    <m/>
    <m/>
    <m/>
    <m/>
    <m/>
  </r>
  <r>
    <x v="35"/>
    <x v="0"/>
    <x v="1"/>
    <x v="0"/>
    <x v="0"/>
    <x v="17"/>
    <x v="1"/>
    <x v="4"/>
    <n v="5"/>
    <n v="16.420000000000002"/>
    <n v="3"/>
    <n v="138.79"/>
    <n v="73"/>
    <x v="2"/>
    <n v="10"/>
    <n v="387"/>
    <s v=""/>
    <x v="2"/>
    <n v="2.58"/>
    <n v="89.84"/>
    <n v="168.86"/>
    <n v="246.3"/>
    <n v="307.64999999999998"/>
    <x v="1"/>
    <s v="18"/>
    <x v="11"/>
    <m/>
    <m/>
    <m/>
    <m/>
    <m/>
  </r>
  <r>
    <x v="118"/>
    <x v="0"/>
    <x v="0"/>
    <x v="15"/>
    <x v="3"/>
    <x v="2"/>
    <x v="1"/>
    <x v="3"/>
    <n v="2"/>
    <n v="2.0499999999999998"/>
    <n v="9"/>
    <n v="192.76"/>
    <n v="68"/>
    <x v="5"/>
    <n v="17"/>
    <n v="253"/>
    <s v=""/>
    <x v="1"/>
    <n v="6.72"/>
    <n v="84.56"/>
    <n v="218.46"/>
    <n v="36.9"/>
    <n v="411.22"/>
    <x v="2"/>
    <s v="4"/>
    <x v="11"/>
    <m/>
    <m/>
    <m/>
    <m/>
    <m/>
  </r>
  <r>
    <x v="201"/>
    <x v="4"/>
    <x v="1"/>
    <x v="11"/>
    <x v="4"/>
    <x v="8"/>
    <x v="0"/>
    <x v="1"/>
    <n v="3"/>
    <n v="11.22"/>
    <n v="1"/>
    <n v="176.87"/>
    <n v="18"/>
    <x v="0"/>
    <n v="14"/>
    <n v="669"/>
    <s v=""/>
    <x v="3"/>
    <n v="2.09"/>
    <n v="92.82"/>
    <n v="53.06"/>
    <n v="33.660000000000004"/>
    <n v="229.93"/>
    <x v="0"/>
    <s v="12"/>
    <x v="11"/>
    <m/>
    <m/>
    <m/>
    <m/>
    <m/>
  </r>
  <r>
    <x v="202"/>
    <x v="1"/>
    <x v="0"/>
    <x v="16"/>
    <x v="0"/>
    <x v="7"/>
    <x v="3"/>
    <x v="0"/>
    <n v="2"/>
    <n v="2.34"/>
    <n v="4"/>
    <n v="288.89"/>
    <n v="54"/>
    <x v="5"/>
    <n v="2"/>
    <n v="522"/>
    <s v=""/>
    <x v="3"/>
    <n v="0.38"/>
    <n v="97.24"/>
    <n v="260"/>
    <n v="18.72"/>
    <n v="548.89"/>
    <x v="2"/>
    <s v="4"/>
    <x v="11"/>
    <m/>
    <m/>
    <m/>
    <m/>
    <m/>
  </r>
  <r>
    <x v="203"/>
    <x v="4"/>
    <x v="2"/>
    <x v="2"/>
    <x v="2"/>
    <x v="16"/>
    <x v="3"/>
    <x v="0"/>
    <n v="2"/>
    <n v="18.75"/>
    <n v="4"/>
    <n v="73.260000000000005"/>
    <n v="30"/>
    <x v="0"/>
    <n v="48"/>
    <n v="949"/>
    <s v=""/>
    <x v="4"/>
    <n v="5.0599999999999996"/>
    <n v="87.88"/>
    <n v="36.630000000000003"/>
    <n v="150"/>
    <n v="109.89000000000001"/>
    <x v="1"/>
    <s v="20"/>
    <x v="11"/>
    <m/>
    <m/>
    <m/>
    <m/>
    <m/>
  </r>
  <r>
    <x v="90"/>
    <x v="1"/>
    <x v="2"/>
    <x v="15"/>
    <x v="0"/>
    <x v="13"/>
    <x v="1"/>
    <x v="0"/>
    <n v="3"/>
    <n v="15.56"/>
    <n v="1"/>
    <n v="121.34"/>
    <n v="76"/>
    <x v="0"/>
    <n v="13"/>
    <n v="149"/>
    <s v=""/>
    <x v="1"/>
    <n v="8.7200000000000006"/>
    <n v="79.56"/>
    <n v="153.69999999999999"/>
    <n v="46.68"/>
    <n v="275.03999999999996"/>
    <x v="1"/>
    <s v="16"/>
    <x v="11"/>
    <m/>
    <m/>
    <m/>
    <m/>
    <m/>
  </r>
  <r>
    <x v="204"/>
    <x v="4"/>
    <x v="0"/>
    <x v="1"/>
    <x v="2"/>
    <x v="1"/>
    <x v="0"/>
    <x v="4"/>
    <n v="1"/>
    <n v="13.5"/>
    <n v="2"/>
    <n v="415.71"/>
    <n v="73"/>
    <x v="2"/>
    <n v="27"/>
    <n v="306"/>
    <s v=""/>
    <x v="2"/>
    <n v="8.82"/>
    <n v="81.36"/>
    <n v="505.78"/>
    <n v="27"/>
    <n v="921.49"/>
    <x v="0"/>
    <s v="14"/>
    <x v="11"/>
    <m/>
    <m/>
    <m/>
    <m/>
    <m/>
  </r>
  <r>
    <x v="105"/>
    <x v="2"/>
    <x v="2"/>
    <x v="6"/>
    <x v="3"/>
    <x v="10"/>
    <x v="1"/>
    <x v="2"/>
    <n v="3"/>
    <n v="16.649999999999999"/>
    <n v="1"/>
    <n v="109.67"/>
    <n v="11"/>
    <x v="5"/>
    <n v="9"/>
    <n v="663"/>
    <s v=""/>
    <x v="4"/>
    <n v="1.36"/>
    <n v="94.28"/>
    <n v="20.11"/>
    <n v="49.949999999999996"/>
    <n v="129.78"/>
    <x v="1"/>
    <s v="18"/>
    <x v="11"/>
    <m/>
    <m/>
    <m/>
    <m/>
    <m/>
  </r>
  <r>
    <x v="205"/>
    <x v="0"/>
    <x v="0"/>
    <x v="7"/>
    <x v="3"/>
    <x v="0"/>
    <x v="0"/>
    <x v="4"/>
    <n v="1"/>
    <n v="13.3"/>
    <n v="6"/>
    <n v="155.03"/>
    <n v="20"/>
    <x v="0"/>
    <n v="7"/>
    <n v="953"/>
    <s v=""/>
    <x v="4"/>
    <n v="0.73"/>
    <n v="97.54"/>
    <n v="51.68"/>
    <n v="79.800000000000011"/>
    <n v="206.71"/>
    <x v="0"/>
    <s v="14"/>
    <x v="11"/>
    <m/>
    <m/>
    <m/>
    <m/>
    <m/>
  </r>
  <r>
    <x v="206"/>
    <x v="5"/>
    <x v="2"/>
    <x v="9"/>
    <x v="0"/>
    <x v="9"/>
    <x v="1"/>
    <x v="3"/>
    <n v="5"/>
    <n v="19.41"/>
    <n v="3"/>
    <n v="254.02"/>
    <n v="59"/>
    <x v="2"/>
    <n v="48"/>
    <n v="982"/>
    <s v=""/>
    <x v="0"/>
    <n v="4.8899999999999997"/>
    <n v="85.22"/>
    <n v="249.79"/>
    <n v="291.14999999999998"/>
    <n v="503.81"/>
    <x v="1"/>
    <s v="20"/>
    <x v="11"/>
    <m/>
    <m/>
    <m/>
    <m/>
    <m/>
  </r>
  <r>
    <x v="180"/>
    <x v="1"/>
    <x v="1"/>
    <x v="0"/>
    <x v="1"/>
    <x v="14"/>
    <x v="2"/>
    <x v="2"/>
    <n v="5"/>
    <n v="14.57"/>
    <n v="7"/>
    <n v="282.7"/>
    <n v="82"/>
    <x v="4"/>
    <n v="10"/>
    <n v="761"/>
    <s v=""/>
    <x v="1"/>
    <n v="1.31"/>
    <n v="92.38"/>
    <n v="386.36"/>
    <n v="509.95"/>
    <n v="669.06"/>
    <x v="0"/>
    <s v="16"/>
    <x v="11"/>
    <m/>
    <m/>
    <m/>
    <m/>
    <m/>
  </r>
  <r>
    <x v="207"/>
    <x v="1"/>
    <x v="2"/>
    <x v="15"/>
    <x v="2"/>
    <x v="1"/>
    <x v="2"/>
    <x v="3"/>
    <n v="3"/>
    <n v="18.57"/>
    <n v="5"/>
    <n v="393.62"/>
    <n v="60"/>
    <x v="1"/>
    <n v="9"/>
    <n v="664"/>
    <s v=""/>
    <x v="4"/>
    <n v="1.36"/>
    <n v="94.28"/>
    <n v="393.62"/>
    <n v="278.55"/>
    <n v="787.24"/>
    <x v="1"/>
    <s v="20"/>
    <x v="11"/>
    <m/>
    <m/>
    <m/>
    <m/>
    <m/>
  </r>
  <r>
    <x v="208"/>
    <x v="5"/>
    <x v="1"/>
    <x v="5"/>
    <x v="4"/>
    <x v="5"/>
    <x v="4"/>
    <x v="2"/>
    <n v="5"/>
    <n v="10.83"/>
    <n v="9"/>
    <n v="251.3"/>
    <n v="8"/>
    <x v="0"/>
    <n v="22"/>
    <n v="312"/>
    <s v=""/>
    <x v="2"/>
    <n v="7.05"/>
    <n v="80.900000000000006"/>
    <n v="33.51"/>
    <n v="487.35"/>
    <n v="284.81"/>
    <x v="0"/>
    <s v="12"/>
    <x v="11"/>
    <m/>
    <m/>
    <m/>
    <m/>
    <m/>
  </r>
  <r>
    <x v="45"/>
    <x v="4"/>
    <x v="2"/>
    <x v="1"/>
    <x v="0"/>
    <x v="2"/>
    <x v="1"/>
    <x v="4"/>
    <n v="4"/>
    <n v="3.22"/>
    <n v="7"/>
    <n v="405.44"/>
    <n v="52"/>
    <x v="3"/>
    <n v="23"/>
    <n v="165"/>
    <s v=""/>
    <x v="0"/>
    <n v="13.94"/>
    <n v="68.12"/>
    <n v="351.38"/>
    <n v="90.160000000000011"/>
    <n v="756.81999999999994"/>
    <x v="2"/>
    <s v="4"/>
    <x v="11"/>
    <m/>
    <m/>
    <m/>
    <m/>
    <m/>
  </r>
  <r>
    <x v="49"/>
    <x v="1"/>
    <x v="1"/>
    <x v="7"/>
    <x v="4"/>
    <x v="3"/>
    <x v="3"/>
    <x v="0"/>
    <n v="2"/>
    <n v="11.04"/>
    <n v="4"/>
    <n v="328.26"/>
    <n v="21"/>
    <x v="2"/>
    <n v="7"/>
    <n v="331"/>
    <s v=""/>
    <x v="2"/>
    <n v="2.11"/>
    <n v="93.78"/>
    <n v="114.89"/>
    <n v="88.32"/>
    <n v="443.15"/>
    <x v="0"/>
    <s v="12"/>
    <x v="11"/>
    <m/>
    <m/>
    <m/>
    <m/>
    <m/>
  </r>
  <r>
    <x v="73"/>
    <x v="2"/>
    <x v="2"/>
    <x v="8"/>
    <x v="0"/>
    <x v="5"/>
    <x v="4"/>
    <x v="1"/>
    <n v="2"/>
    <n v="3.41"/>
    <n v="5"/>
    <n v="100.89"/>
    <n v="40"/>
    <x v="2"/>
    <n v="48"/>
    <n v="984"/>
    <s v=""/>
    <x v="3"/>
    <n v="4.88"/>
    <n v="88.24"/>
    <n v="67.260000000000005"/>
    <n v="34.1"/>
    <n v="168.15"/>
    <x v="2"/>
    <s v="4"/>
    <x v="11"/>
    <m/>
    <m/>
    <m/>
    <m/>
    <m/>
  </r>
  <r>
    <x v="112"/>
    <x v="0"/>
    <x v="1"/>
    <x v="10"/>
    <x v="1"/>
    <x v="15"/>
    <x v="2"/>
    <x v="0"/>
    <n v="1"/>
    <n v="12.26"/>
    <n v="5"/>
    <n v="120.35"/>
    <n v="74"/>
    <x v="0"/>
    <n v="9"/>
    <n v="910"/>
    <s v=""/>
    <x v="0"/>
    <n v="0.99"/>
    <n v="97.02"/>
    <n v="148.43"/>
    <n v="61.3"/>
    <n v="268.77999999999997"/>
    <x v="0"/>
    <s v="14"/>
    <x v="11"/>
    <m/>
    <m/>
    <m/>
    <m/>
    <m/>
  </r>
  <r>
    <x v="198"/>
    <x v="5"/>
    <x v="0"/>
    <x v="14"/>
    <x v="1"/>
    <x v="7"/>
    <x v="1"/>
    <x v="4"/>
    <n v="5"/>
    <n v="10.17"/>
    <n v="5"/>
    <n v="246.67"/>
    <n v="84"/>
    <x v="2"/>
    <n v="27"/>
    <n v="949"/>
    <s v="Kontrol tekrarlandı"/>
    <x v="0"/>
    <n v="2.85"/>
    <n v="89.3"/>
    <n v="345.34"/>
    <n v="254.25"/>
    <n v="592.01"/>
    <x v="0"/>
    <s v="12"/>
    <x v="11"/>
    <m/>
    <m/>
    <m/>
    <m/>
    <m/>
  </r>
  <r>
    <x v="209"/>
    <x v="0"/>
    <x v="0"/>
    <x v="7"/>
    <x v="1"/>
    <x v="9"/>
    <x v="4"/>
    <x v="2"/>
    <n v="1"/>
    <n v="12.83"/>
    <n v="9"/>
    <n v="228.6"/>
    <n v="42"/>
    <x v="4"/>
    <n v="24"/>
    <n v="762"/>
    <s v=""/>
    <x v="4"/>
    <n v="3.15"/>
    <n v="92.7"/>
    <n v="160.02000000000001"/>
    <n v="115.47"/>
    <n v="388.62"/>
    <x v="0"/>
    <s v="14"/>
    <x v="11"/>
    <m/>
    <m/>
    <m/>
    <m/>
    <m/>
  </r>
  <r>
    <x v="143"/>
    <x v="1"/>
    <x v="1"/>
    <x v="12"/>
    <x v="1"/>
    <x v="10"/>
    <x v="1"/>
    <x v="0"/>
    <n v="2"/>
    <n v="1.19"/>
    <n v="3"/>
    <n v="384.59"/>
    <n v="66"/>
    <x v="2"/>
    <n v="29"/>
    <n v="816"/>
    <s v=""/>
    <x v="3"/>
    <n v="3.55"/>
    <n v="90.9"/>
    <n v="423.05"/>
    <n v="7.14"/>
    <n v="807.64"/>
    <x v="2"/>
    <s v="2"/>
    <x v="11"/>
    <m/>
    <m/>
    <m/>
    <m/>
    <m/>
  </r>
  <r>
    <x v="142"/>
    <x v="1"/>
    <x v="2"/>
    <x v="11"/>
    <x v="3"/>
    <x v="18"/>
    <x v="2"/>
    <x v="4"/>
    <n v="2"/>
    <n v="4.7"/>
    <n v="6"/>
    <n v="311.33"/>
    <n v="52"/>
    <x v="1"/>
    <n v="17"/>
    <n v="419"/>
    <s v=""/>
    <x v="4"/>
    <n v="4.0599999999999996"/>
    <n v="89.88"/>
    <n v="269.82"/>
    <n v="56.400000000000006"/>
    <n v="581.15"/>
    <x v="2"/>
    <s v="6"/>
    <x v="11"/>
    <m/>
    <m/>
    <m/>
    <m/>
    <m/>
  </r>
  <r>
    <x v="210"/>
    <x v="5"/>
    <x v="1"/>
    <x v="8"/>
    <x v="3"/>
    <x v="2"/>
    <x v="4"/>
    <x v="3"/>
    <n v="5"/>
    <n v="10.34"/>
    <n v="8"/>
    <n v="224.66"/>
    <n v="14"/>
    <x v="1"/>
    <n v="20"/>
    <n v="866"/>
    <s v=""/>
    <x v="1"/>
    <n v="2.31"/>
    <n v="90.38"/>
    <n v="52.42"/>
    <n v="413.6"/>
    <n v="277.08"/>
    <x v="0"/>
    <s v="12"/>
    <x v="11"/>
    <m/>
    <m/>
    <m/>
    <m/>
    <m/>
  </r>
  <r>
    <x v="168"/>
    <x v="2"/>
    <x v="2"/>
    <x v="14"/>
    <x v="2"/>
    <x v="5"/>
    <x v="2"/>
    <x v="1"/>
    <n v="4"/>
    <n v="19.059999999999999"/>
    <n v="9"/>
    <n v="126.84"/>
    <n v="40"/>
    <x v="3"/>
    <n v="7"/>
    <n v="236"/>
    <s v="Kritik hata"/>
    <x v="2"/>
    <n v="2.97"/>
    <n v="90.06"/>
    <n v="84.56"/>
    <n v="686.16"/>
    <n v="211.4"/>
    <x v="1"/>
    <s v="20"/>
    <x v="11"/>
    <m/>
    <m/>
    <m/>
    <m/>
    <m/>
  </r>
  <r>
    <x v="211"/>
    <x v="3"/>
    <x v="0"/>
    <x v="9"/>
    <x v="4"/>
    <x v="18"/>
    <x v="0"/>
    <x v="0"/>
    <n v="4"/>
    <n v="8.2899999999999991"/>
    <n v="7"/>
    <n v="152.08000000000001"/>
    <n v="33"/>
    <x v="4"/>
    <n v="43"/>
    <n v="980"/>
    <s v=""/>
    <x v="2"/>
    <n v="4.3899999999999997"/>
    <n v="87.22"/>
    <n v="83.64"/>
    <n v="232.11999999999998"/>
    <n v="235.72000000000003"/>
    <x v="0"/>
    <s v="10"/>
    <x v="11"/>
    <m/>
    <m/>
    <m/>
    <m/>
    <m/>
  </r>
  <r>
    <x v="71"/>
    <x v="5"/>
    <x v="2"/>
    <x v="11"/>
    <x v="0"/>
    <x v="7"/>
    <x v="2"/>
    <x v="2"/>
    <n v="5"/>
    <n v="9.06"/>
    <n v="3"/>
    <n v="308.98"/>
    <n v="82"/>
    <x v="1"/>
    <n v="40"/>
    <n v="746"/>
    <s v=""/>
    <x v="4"/>
    <n v="5.36"/>
    <n v="84.28"/>
    <n v="422.27"/>
    <n v="135.9"/>
    <n v="731.25"/>
    <x v="0"/>
    <s v="10"/>
    <x v="11"/>
    <m/>
    <m/>
    <m/>
    <m/>
    <m/>
  </r>
  <r>
    <x v="212"/>
    <x v="3"/>
    <x v="0"/>
    <x v="15"/>
    <x v="0"/>
    <x v="8"/>
    <x v="1"/>
    <x v="3"/>
    <n v="5"/>
    <n v="14.58"/>
    <n v="1"/>
    <n v="240.55"/>
    <n v="8"/>
    <x v="0"/>
    <n v="7"/>
    <n v="665"/>
    <s v=""/>
    <x v="2"/>
    <n v="1.05"/>
    <n v="92.9"/>
    <n v="32.07"/>
    <n v="72.900000000000006"/>
    <n v="272.62"/>
    <x v="0"/>
    <s v="16"/>
    <x v="11"/>
    <m/>
    <m/>
    <m/>
    <m/>
    <m/>
  </r>
  <r>
    <x v="48"/>
    <x v="4"/>
    <x v="2"/>
    <x v="7"/>
    <x v="3"/>
    <x v="7"/>
    <x v="3"/>
    <x v="4"/>
    <n v="1"/>
    <n v="12.47"/>
    <n v="4"/>
    <n v="281.72000000000003"/>
    <n v="48"/>
    <x v="5"/>
    <n v="28"/>
    <n v="164"/>
    <s v=""/>
    <x v="2"/>
    <n v="17.07"/>
    <n v="64.86"/>
    <n v="225.38"/>
    <n v="49.88"/>
    <n v="507.1"/>
    <x v="0"/>
    <s v="14"/>
    <x v="11"/>
    <m/>
    <m/>
    <m/>
    <m/>
    <m/>
  </r>
  <r>
    <x v="70"/>
    <x v="3"/>
    <x v="2"/>
    <x v="5"/>
    <x v="0"/>
    <x v="13"/>
    <x v="2"/>
    <x v="1"/>
    <n v="5"/>
    <n v="6.68"/>
    <n v="6"/>
    <n v="126.8"/>
    <n v="60"/>
    <x v="5"/>
    <n v="19"/>
    <n v="613"/>
    <s v=""/>
    <x v="1"/>
    <n v="3.1"/>
    <n v="88.8"/>
    <n v="126.8"/>
    <n v="200.39999999999998"/>
    <n v="253.6"/>
    <x v="0"/>
    <s v="8"/>
    <x v="11"/>
    <m/>
    <m/>
    <m/>
    <m/>
    <m/>
  </r>
  <r>
    <x v="213"/>
    <x v="2"/>
    <x v="2"/>
    <x v="16"/>
    <x v="3"/>
    <x v="17"/>
    <x v="3"/>
    <x v="2"/>
    <n v="4"/>
    <n v="8.81"/>
    <n v="3"/>
    <n v="348.31"/>
    <n v="46"/>
    <x v="5"/>
    <n v="20"/>
    <n v="231"/>
    <s v=""/>
    <x v="3"/>
    <n v="8.66"/>
    <n v="78.680000000000007"/>
    <n v="267.04000000000002"/>
    <n v="105.72"/>
    <n v="615.35"/>
    <x v="0"/>
    <s v="10"/>
    <x v="11"/>
    <m/>
    <m/>
    <m/>
    <m/>
    <m/>
  </r>
  <r>
    <x v="141"/>
    <x v="4"/>
    <x v="1"/>
    <x v="18"/>
    <x v="2"/>
    <x v="3"/>
    <x v="0"/>
    <x v="4"/>
    <n v="5"/>
    <n v="5.14"/>
    <n v="1"/>
    <n v="433.64"/>
    <n v="17"/>
    <x v="0"/>
    <n v="44"/>
    <n v="433"/>
    <s v=""/>
    <x v="0"/>
    <n v="10.16"/>
    <n v="74.680000000000007"/>
    <n v="122.86"/>
    <n v="25.7"/>
    <n v="556.5"/>
    <x v="2"/>
    <s v="6"/>
    <x v="11"/>
    <m/>
    <m/>
    <m/>
    <m/>
    <m/>
  </r>
  <r>
    <x v="211"/>
    <x v="3"/>
    <x v="1"/>
    <x v="10"/>
    <x v="4"/>
    <x v="8"/>
    <x v="4"/>
    <x v="4"/>
    <n v="1"/>
    <n v="19.350000000000001"/>
    <n v="6"/>
    <n v="166.07"/>
    <n v="50"/>
    <x v="2"/>
    <n v="39"/>
    <n v="131"/>
    <s v=""/>
    <x v="4"/>
    <n v="29.77"/>
    <n v="39.46"/>
    <n v="138.38999999999999"/>
    <n v="116.10000000000001"/>
    <n v="304.45999999999998"/>
    <x v="1"/>
    <s v="20"/>
    <x v="11"/>
    <m/>
    <m/>
    <m/>
    <m/>
    <m/>
  </r>
  <r>
    <x v="130"/>
    <x v="4"/>
    <x v="0"/>
    <x v="4"/>
    <x v="2"/>
    <x v="11"/>
    <x v="4"/>
    <x v="0"/>
    <n v="1"/>
    <n v="3.48"/>
    <n v="1"/>
    <n v="271.18"/>
    <n v="86"/>
    <x v="0"/>
    <n v="40"/>
    <n v="967"/>
    <s v=""/>
    <x v="4"/>
    <n v="4.1399999999999997"/>
    <n v="90.72"/>
    <n v="388.69"/>
    <n v="3.48"/>
    <n v="659.87"/>
    <x v="2"/>
    <s v="4"/>
    <x v="11"/>
    <m/>
    <m/>
    <m/>
    <m/>
    <m/>
  </r>
  <r>
    <x v="59"/>
    <x v="3"/>
    <x v="0"/>
    <x v="8"/>
    <x v="1"/>
    <x v="12"/>
    <x v="3"/>
    <x v="0"/>
    <n v="1"/>
    <n v="8.06"/>
    <n v="9"/>
    <n v="488.99"/>
    <n v="37"/>
    <x v="2"/>
    <n v="7"/>
    <n v="997"/>
    <s v=""/>
    <x v="1"/>
    <n v="0.7"/>
    <n v="97.6"/>
    <n v="301.54000000000002"/>
    <n v="72.540000000000006"/>
    <n v="790.53"/>
    <x v="0"/>
    <s v="10"/>
    <x v="11"/>
    <m/>
    <m/>
    <m/>
    <m/>
    <m/>
  </r>
  <r>
    <x v="214"/>
    <x v="2"/>
    <x v="1"/>
    <x v="9"/>
    <x v="1"/>
    <x v="14"/>
    <x v="4"/>
    <x v="2"/>
    <n v="1"/>
    <n v="1.49"/>
    <n v="1"/>
    <n v="199.96"/>
    <n v="25"/>
    <x v="5"/>
    <n v="6"/>
    <n v="971"/>
    <s v=""/>
    <x v="1"/>
    <n v="0.62"/>
    <n v="97.76"/>
    <n v="83.32"/>
    <n v="1.49"/>
    <n v="283.27999999999997"/>
    <x v="2"/>
    <s v="2"/>
    <x v="11"/>
    <m/>
    <m/>
    <m/>
    <m/>
    <m/>
  </r>
  <r>
    <x v="105"/>
    <x v="3"/>
    <x v="0"/>
    <x v="8"/>
    <x v="1"/>
    <x v="10"/>
    <x v="2"/>
    <x v="4"/>
    <n v="3"/>
    <n v="5.21"/>
    <n v="6"/>
    <n v="317.77"/>
    <n v="84"/>
    <x v="3"/>
    <n v="25"/>
    <n v="597"/>
    <s v=""/>
    <x v="0"/>
    <n v="4.1900000000000004"/>
    <n v="88.62"/>
    <n v="444.88"/>
    <n v="93.78"/>
    <n v="762.65"/>
    <x v="2"/>
    <s v="6"/>
    <x v="11"/>
    <m/>
    <m/>
    <m/>
    <m/>
    <m/>
  </r>
  <r>
    <x v="23"/>
    <x v="3"/>
    <x v="1"/>
    <x v="3"/>
    <x v="2"/>
    <x v="1"/>
    <x v="3"/>
    <x v="0"/>
    <n v="5"/>
    <n v="15.83"/>
    <n v="1"/>
    <n v="90.59"/>
    <n v="83"/>
    <x v="3"/>
    <n v="41"/>
    <n v="342"/>
    <s v=""/>
    <x v="3"/>
    <n v="11.99"/>
    <n v="71.02"/>
    <n v="125.32"/>
    <n v="79.150000000000006"/>
    <n v="215.91"/>
    <x v="1"/>
    <s v="16"/>
    <x v="11"/>
    <m/>
    <m/>
    <m/>
    <m/>
    <m/>
  </r>
  <r>
    <x v="74"/>
    <x v="3"/>
    <x v="2"/>
    <x v="12"/>
    <x v="0"/>
    <x v="13"/>
    <x v="1"/>
    <x v="1"/>
    <n v="2"/>
    <n v="4.82"/>
    <n v="7"/>
    <n v="322.70999999999998"/>
    <n v="61"/>
    <x v="2"/>
    <n v="13"/>
    <n v="291"/>
    <s v=""/>
    <x v="4"/>
    <n v="4.47"/>
    <n v="89.06"/>
    <n v="328.09"/>
    <n v="67.48"/>
    <n v="650.79999999999995"/>
    <x v="2"/>
    <s v="6"/>
    <x v="11"/>
    <m/>
    <m/>
    <m/>
    <m/>
    <m/>
  </r>
  <r>
    <x v="25"/>
    <x v="5"/>
    <x v="0"/>
    <x v="4"/>
    <x v="4"/>
    <x v="11"/>
    <x v="2"/>
    <x v="1"/>
    <n v="5"/>
    <n v="2.52"/>
    <n v="3"/>
    <n v="90.33"/>
    <n v="73"/>
    <x v="5"/>
    <n v="39"/>
    <n v="241"/>
    <s v=""/>
    <x v="1"/>
    <n v="16.18"/>
    <n v="62.64"/>
    <n v="109.9"/>
    <n v="37.799999999999997"/>
    <n v="200.23000000000002"/>
    <x v="2"/>
    <s v="4"/>
    <x v="11"/>
    <m/>
    <m/>
    <m/>
    <m/>
    <m/>
  </r>
  <r>
    <x v="167"/>
    <x v="5"/>
    <x v="0"/>
    <x v="12"/>
    <x v="1"/>
    <x v="2"/>
    <x v="2"/>
    <x v="4"/>
    <n v="3"/>
    <n v="10.01"/>
    <n v="6"/>
    <n v="481.66"/>
    <n v="74"/>
    <x v="0"/>
    <n v="40"/>
    <n v="759"/>
    <s v=""/>
    <x v="4"/>
    <n v="5.27"/>
    <n v="86.46"/>
    <n v="594.04999999999995"/>
    <n v="180.18"/>
    <n v="1075.71"/>
    <x v="0"/>
    <s v="12"/>
    <x v="11"/>
    <m/>
    <m/>
    <m/>
    <m/>
    <m/>
  </r>
  <r>
    <x v="140"/>
    <x v="5"/>
    <x v="1"/>
    <x v="9"/>
    <x v="1"/>
    <x v="7"/>
    <x v="2"/>
    <x v="0"/>
    <n v="1"/>
    <n v="1.19"/>
    <n v="7"/>
    <n v="372.05"/>
    <n v="71"/>
    <x v="3"/>
    <n v="22"/>
    <n v="700"/>
    <s v=""/>
    <x v="2"/>
    <n v="3.14"/>
    <n v="92.72"/>
    <n v="440.26"/>
    <n v="8.33"/>
    <n v="812.31"/>
    <x v="2"/>
    <s v="2"/>
    <x v="11"/>
    <m/>
    <m/>
    <m/>
    <m/>
    <m/>
  </r>
  <r>
    <x v="89"/>
    <x v="2"/>
    <x v="0"/>
    <x v="18"/>
    <x v="1"/>
    <x v="8"/>
    <x v="1"/>
    <x v="2"/>
    <n v="3"/>
    <n v="2.61"/>
    <n v="1"/>
    <n v="404.67"/>
    <n v="52"/>
    <x v="2"/>
    <n v="49"/>
    <n v="660"/>
    <s v=""/>
    <x v="4"/>
    <n v="7.42"/>
    <n v="82.16"/>
    <n v="350.71"/>
    <n v="7.83"/>
    <n v="755.38"/>
    <x v="2"/>
    <s v="4"/>
    <x v="11"/>
    <m/>
    <m/>
    <m/>
    <m/>
    <m/>
  </r>
  <r>
    <x v="215"/>
    <x v="4"/>
    <x v="0"/>
    <x v="4"/>
    <x v="4"/>
    <x v="15"/>
    <x v="0"/>
    <x v="2"/>
    <n v="4"/>
    <n v="16.34"/>
    <n v="1"/>
    <n v="366.85"/>
    <n v="80"/>
    <x v="0"/>
    <n v="17"/>
    <n v="747"/>
    <s v=""/>
    <x v="3"/>
    <n v="2.2799999999999998"/>
    <n v="91.44"/>
    <n v="489.13"/>
    <n v="65.36"/>
    <n v="855.98"/>
    <x v="1"/>
    <s v="18"/>
    <x v="11"/>
    <m/>
    <m/>
    <m/>
    <m/>
    <m/>
  </r>
  <r>
    <x v="216"/>
    <x v="1"/>
    <x v="2"/>
    <x v="18"/>
    <x v="1"/>
    <x v="17"/>
    <x v="4"/>
    <x v="2"/>
    <n v="4"/>
    <n v="15.66"/>
    <n v="5"/>
    <n v="315.38"/>
    <n v="37"/>
    <x v="5"/>
    <n v="48"/>
    <n v="290"/>
    <s v=""/>
    <x v="3"/>
    <n v="16.55"/>
    <n v="62.9"/>
    <n v="194.48"/>
    <n v="313.2"/>
    <n v="509.86"/>
    <x v="1"/>
    <s v="16"/>
    <x v="11"/>
    <m/>
    <m/>
    <m/>
    <m/>
    <m/>
  </r>
  <r>
    <x v="148"/>
    <x v="3"/>
    <x v="0"/>
    <x v="9"/>
    <x v="4"/>
    <x v="1"/>
    <x v="3"/>
    <x v="1"/>
    <n v="5"/>
    <n v="18.39"/>
    <n v="6"/>
    <n v="252.46"/>
    <n v="40"/>
    <x v="4"/>
    <n v="22"/>
    <n v="248"/>
    <s v=""/>
    <x v="4"/>
    <n v="8.8699999999999992"/>
    <n v="77.260000000000005"/>
    <n v="168.31"/>
    <n v="551.70000000000005"/>
    <n v="420.77"/>
    <x v="1"/>
    <s v="20"/>
    <x v="11"/>
    <m/>
    <m/>
    <m/>
    <m/>
    <m/>
  </r>
  <r>
    <x v="134"/>
    <x v="3"/>
    <x v="2"/>
    <x v="16"/>
    <x v="1"/>
    <x v="11"/>
    <x v="0"/>
    <x v="0"/>
    <n v="5"/>
    <n v="17.239999999999998"/>
    <n v="9"/>
    <n v="436.27"/>
    <n v="37"/>
    <x v="5"/>
    <n v="34"/>
    <n v="698"/>
    <s v=""/>
    <x v="2"/>
    <n v="4.87"/>
    <n v="85.26"/>
    <n v="269.02999999999997"/>
    <n v="775.8"/>
    <n v="705.3"/>
    <x v="1"/>
    <s v="18"/>
    <x v="11"/>
    <m/>
    <m/>
    <m/>
    <m/>
    <m/>
  </r>
  <r>
    <x v="13"/>
    <x v="2"/>
    <x v="1"/>
    <x v="12"/>
    <x v="2"/>
    <x v="0"/>
    <x v="3"/>
    <x v="0"/>
    <n v="2"/>
    <n v="13.98"/>
    <n v="1"/>
    <n v="480.58"/>
    <n v="35"/>
    <x v="5"/>
    <n v="8"/>
    <n v="515"/>
    <s v=""/>
    <x v="3"/>
    <n v="1.55"/>
    <n v="94.9"/>
    <n v="280.33999999999997"/>
    <n v="27.96"/>
    <n v="760.92"/>
    <x v="0"/>
    <s v="14"/>
    <x v="11"/>
    <m/>
    <m/>
    <m/>
    <m/>
    <m/>
  </r>
  <r>
    <x v="217"/>
    <x v="3"/>
    <x v="0"/>
    <x v="18"/>
    <x v="2"/>
    <x v="2"/>
    <x v="4"/>
    <x v="1"/>
    <n v="2"/>
    <n v="1.99"/>
    <n v="4"/>
    <n v="274.57"/>
    <n v="25"/>
    <x v="0"/>
    <n v="49"/>
    <n v="619"/>
    <s v=""/>
    <x v="1"/>
    <n v="7.92"/>
    <n v="82.16"/>
    <n v="114.4"/>
    <n v="15.92"/>
    <n v="388.97"/>
    <x v="2"/>
    <s v="2"/>
    <x v="11"/>
    <m/>
    <m/>
    <m/>
    <m/>
    <m/>
  </r>
  <r>
    <x v="27"/>
    <x v="5"/>
    <x v="2"/>
    <x v="17"/>
    <x v="4"/>
    <x v="10"/>
    <x v="1"/>
    <x v="2"/>
    <n v="4"/>
    <n v="15.87"/>
    <n v="8"/>
    <n v="469.19"/>
    <n v="31"/>
    <x v="0"/>
    <n v="45"/>
    <n v="834"/>
    <s v=""/>
    <x v="4"/>
    <n v="5.4"/>
    <n v="85.2"/>
    <n v="242.41"/>
    <n v="507.84"/>
    <n v="711.6"/>
    <x v="1"/>
    <s v="16"/>
    <x v="11"/>
    <m/>
    <m/>
    <m/>
    <m/>
    <m/>
  </r>
  <r>
    <x v="183"/>
    <x v="1"/>
    <x v="1"/>
    <x v="8"/>
    <x v="2"/>
    <x v="18"/>
    <x v="2"/>
    <x v="2"/>
    <n v="1"/>
    <n v="17.059999999999999"/>
    <n v="9"/>
    <n v="312.5"/>
    <n v="76"/>
    <x v="1"/>
    <n v="18"/>
    <n v="968"/>
    <s v=""/>
    <x v="2"/>
    <n v="1.86"/>
    <n v="95.28"/>
    <n v="395.83"/>
    <n v="153.54"/>
    <n v="708.32999999999993"/>
    <x v="1"/>
    <s v="18"/>
    <x v="11"/>
    <m/>
    <m/>
    <m/>
    <m/>
    <m/>
  </r>
  <r>
    <x v="218"/>
    <x v="0"/>
    <x v="0"/>
    <x v="4"/>
    <x v="4"/>
    <x v="9"/>
    <x v="2"/>
    <x v="4"/>
    <n v="3"/>
    <n v="16.18"/>
    <n v="3"/>
    <n v="292.27"/>
    <n v="66"/>
    <x v="1"/>
    <n v="24"/>
    <n v="115"/>
    <s v=""/>
    <x v="1"/>
    <n v="20.87"/>
    <n v="55.26"/>
    <n v="321.5"/>
    <n v="145.62"/>
    <n v="613.77"/>
    <x v="1"/>
    <s v="18"/>
    <x v="11"/>
    <m/>
    <m/>
    <m/>
    <m/>
    <m/>
  </r>
  <r>
    <x v="62"/>
    <x v="3"/>
    <x v="1"/>
    <x v="7"/>
    <x v="2"/>
    <x v="0"/>
    <x v="1"/>
    <x v="3"/>
    <n v="2"/>
    <n v="10.66"/>
    <n v="2"/>
    <n v="254.52"/>
    <n v="30"/>
    <x v="0"/>
    <n v="42"/>
    <n v="907"/>
    <s v=""/>
    <x v="4"/>
    <n v="4.63"/>
    <n v="88.74"/>
    <n v="127.26"/>
    <n v="42.64"/>
    <n v="381.78000000000003"/>
    <x v="0"/>
    <s v="12"/>
    <x v="11"/>
    <m/>
    <m/>
    <m/>
    <m/>
    <m/>
  </r>
  <r>
    <x v="193"/>
    <x v="5"/>
    <x v="0"/>
    <x v="10"/>
    <x v="2"/>
    <x v="17"/>
    <x v="0"/>
    <x v="0"/>
    <n v="2"/>
    <n v="5.43"/>
    <n v="4"/>
    <n v="144.18"/>
    <n v="70"/>
    <x v="0"/>
    <n v="2"/>
    <n v="205"/>
    <s v=""/>
    <x v="2"/>
    <n v="0.98"/>
    <n v="96.04"/>
    <n v="168.21"/>
    <n v="43.44"/>
    <n v="312.39"/>
    <x v="2"/>
    <s v="6"/>
    <x v="11"/>
    <m/>
    <m/>
    <m/>
    <m/>
    <m/>
  </r>
  <r>
    <x v="210"/>
    <x v="0"/>
    <x v="1"/>
    <x v="5"/>
    <x v="4"/>
    <x v="10"/>
    <x v="0"/>
    <x v="0"/>
    <n v="1"/>
    <n v="17.059999999999999"/>
    <n v="2"/>
    <n v="51.67"/>
    <n v="16"/>
    <x v="4"/>
    <n v="2"/>
    <n v="382"/>
    <s v=""/>
    <x v="1"/>
    <n v="0.52"/>
    <n v="97.96"/>
    <n v="13.78"/>
    <n v="34.119999999999997"/>
    <n v="65.45"/>
    <x v="1"/>
    <s v="18"/>
    <x v="11"/>
    <m/>
    <m/>
    <m/>
    <m/>
    <m/>
  </r>
  <r>
    <x v="50"/>
    <x v="1"/>
    <x v="1"/>
    <x v="13"/>
    <x v="0"/>
    <x v="8"/>
    <x v="3"/>
    <x v="0"/>
    <n v="1"/>
    <n v="14.82"/>
    <n v="1"/>
    <n v="158.68"/>
    <n v="26"/>
    <x v="4"/>
    <n v="27"/>
    <n v="203"/>
    <s v=""/>
    <x v="3"/>
    <n v="13.3"/>
    <n v="72.400000000000006"/>
    <n v="68.760000000000005"/>
    <n v="14.82"/>
    <n v="227.44"/>
    <x v="0"/>
    <s v="16"/>
    <x v="11"/>
    <m/>
    <m/>
    <m/>
    <m/>
    <m/>
  </r>
  <r>
    <x v="194"/>
    <x v="0"/>
    <x v="2"/>
    <x v="19"/>
    <x v="2"/>
    <x v="4"/>
    <x v="1"/>
    <x v="3"/>
    <n v="5"/>
    <n v="19.63"/>
    <n v="3"/>
    <n v="279.38"/>
    <n v="21"/>
    <x v="5"/>
    <n v="14"/>
    <n v="460"/>
    <s v=""/>
    <x v="4"/>
    <n v="3.04"/>
    <n v="88.92"/>
    <n v="97.78"/>
    <n v="294.45"/>
    <n v="377.15999999999997"/>
    <x v="1"/>
    <s v="20"/>
    <x v="11"/>
    <m/>
    <m/>
    <m/>
    <m/>
    <m/>
  </r>
  <r>
    <x v="141"/>
    <x v="5"/>
    <x v="1"/>
    <x v="0"/>
    <x v="1"/>
    <x v="6"/>
    <x v="0"/>
    <x v="4"/>
    <n v="3"/>
    <n v="3.96"/>
    <n v="7"/>
    <n v="220.98"/>
    <n v="11"/>
    <x v="3"/>
    <n v="48"/>
    <n v="757"/>
    <s v=""/>
    <x v="4"/>
    <n v="6.34"/>
    <n v="84.32"/>
    <n v="40.51"/>
    <n v="83.16"/>
    <n v="261.49"/>
    <x v="2"/>
    <s v="4"/>
    <x v="11"/>
    <m/>
    <m/>
    <m/>
    <m/>
    <m/>
  </r>
  <r>
    <x v="197"/>
    <x v="4"/>
    <x v="0"/>
    <x v="19"/>
    <x v="0"/>
    <x v="2"/>
    <x v="1"/>
    <x v="3"/>
    <n v="1"/>
    <n v="5.29"/>
    <n v="1"/>
    <n v="251.82"/>
    <n v="72"/>
    <x v="4"/>
    <n v="39"/>
    <n v="134"/>
    <s v=""/>
    <x v="3"/>
    <n v="29.1"/>
    <n v="40.799999999999997"/>
    <n v="302.18"/>
    <n v="5.29"/>
    <n v="554"/>
    <x v="2"/>
    <s v="6"/>
    <x v="11"/>
    <m/>
    <m/>
    <m/>
    <m/>
    <m/>
  </r>
  <r>
    <x v="219"/>
    <x v="4"/>
    <x v="0"/>
    <x v="4"/>
    <x v="4"/>
    <x v="12"/>
    <x v="4"/>
    <x v="2"/>
    <n v="2"/>
    <n v="5.0199999999999996"/>
    <n v="2"/>
    <n v="491.29"/>
    <n v="41"/>
    <x v="5"/>
    <n v="12"/>
    <n v="212"/>
    <s v=""/>
    <x v="0"/>
    <n v="5.66"/>
    <n v="86.68"/>
    <n v="335.71"/>
    <n v="20.079999999999998"/>
    <n v="827"/>
    <x v="2"/>
    <s v="6"/>
    <x v="11"/>
    <m/>
    <m/>
    <m/>
    <m/>
    <m/>
  </r>
  <r>
    <x v="83"/>
    <x v="0"/>
    <x v="2"/>
    <x v="16"/>
    <x v="0"/>
    <x v="15"/>
    <x v="2"/>
    <x v="2"/>
    <n v="2"/>
    <n v="16.059999999999999"/>
    <n v="1"/>
    <n v="207.62"/>
    <n v="42"/>
    <x v="2"/>
    <n v="32"/>
    <n v="407"/>
    <s v=""/>
    <x v="1"/>
    <n v="7.86"/>
    <n v="82.28"/>
    <n v="145.33000000000001"/>
    <n v="32.119999999999997"/>
    <n v="352.95000000000005"/>
    <x v="1"/>
    <s v="18"/>
    <x v="11"/>
    <m/>
    <m/>
    <m/>
    <m/>
    <m/>
  </r>
  <r>
    <x v="220"/>
    <x v="2"/>
    <x v="0"/>
    <x v="19"/>
    <x v="3"/>
    <x v="16"/>
    <x v="2"/>
    <x v="0"/>
    <n v="4"/>
    <n v="4.55"/>
    <n v="8"/>
    <n v="253.48"/>
    <n v="15"/>
    <x v="1"/>
    <n v="28"/>
    <n v="152"/>
    <s v=""/>
    <x v="3"/>
    <n v="18.420000000000002"/>
    <n v="59.16"/>
    <n v="63.37"/>
    <n v="145.6"/>
    <n v="316.84999999999997"/>
    <x v="2"/>
    <s v="6"/>
    <x v="11"/>
    <m/>
    <m/>
    <m/>
    <m/>
    <m/>
  </r>
  <r>
    <x v="5"/>
    <x v="0"/>
    <x v="0"/>
    <x v="4"/>
    <x v="3"/>
    <x v="3"/>
    <x v="2"/>
    <x v="1"/>
    <n v="1"/>
    <n v="2.27"/>
    <n v="5"/>
    <n v="110.08"/>
    <n v="5"/>
    <x v="3"/>
    <n v="28"/>
    <n v="958"/>
    <s v=""/>
    <x v="4"/>
    <n v="2.92"/>
    <n v="93.16"/>
    <n v="9.17"/>
    <n v="11.35"/>
    <n v="119.25"/>
    <x v="2"/>
    <s v="4"/>
    <x v="11"/>
    <m/>
    <m/>
    <m/>
    <m/>
    <m/>
  </r>
  <r>
    <x v="157"/>
    <x v="3"/>
    <x v="0"/>
    <x v="8"/>
    <x v="2"/>
    <x v="8"/>
    <x v="1"/>
    <x v="0"/>
    <n v="5"/>
    <n v="19.97"/>
    <n v="8"/>
    <n v="71.58"/>
    <n v="29"/>
    <x v="5"/>
    <n v="46"/>
    <n v="180"/>
    <s v=""/>
    <x v="1"/>
    <n v="25.56"/>
    <n v="43.88"/>
    <n v="34.6"/>
    <n v="798.8"/>
    <n v="106.18"/>
    <x v="1"/>
    <s v="20"/>
    <x v="11"/>
    <m/>
    <m/>
    <m/>
    <m/>
    <m/>
  </r>
  <r>
    <x v="221"/>
    <x v="3"/>
    <x v="1"/>
    <x v="17"/>
    <x v="2"/>
    <x v="19"/>
    <x v="1"/>
    <x v="1"/>
    <n v="3"/>
    <n v="1.47"/>
    <n v="3"/>
    <n v="398.93"/>
    <n v="46"/>
    <x v="0"/>
    <n v="25"/>
    <n v="715"/>
    <s v=""/>
    <x v="1"/>
    <n v="3.5"/>
    <n v="90"/>
    <n v="305.85000000000002"/>
    <n v="13.23"/>
    <n v="704.78"/>
    <x v="2"/>
    <s v="2"/>
    <x v="11"/>
    <m/>
    <m/>
    <m/>
    <m/>
    <m/>
  </r>
  <r>
    <x v="77"/>
    <x v="4"/>
    <x v="1"/>
    <x v="12"/>
    <x v="1"/>
    <x v="7"/>
    <x v="3"/>
    <x v="3"/>
    <n v="5"/>
    <n v="16.87"/>
    <n v="7"/>
    <n v="306.81"/>
    <n v="56"/>
    <x v="2"/>
    <n v="4"/>
    <n v="933"/>
    <s v=""/>
    <x v="0"/>
    <n v="0.43"/>
    <n v="94.14"/>
    <n v="286.36"/>
    <n v="590.45000000000005"/>
    <n v="593.17000000000007"/>
    <x v="1"/>
    <s v="18"/>
    <x v="11"/>
    <m/>
    <m/>
    <m/>
    <m/>
    <m/>
  </r>
  <r>
    <x v="95"/>
    <x v="2"/>
    <x v="0"/>
    <x v="19"/>
    <x v="0"/>
    <x v="14"/>
    <x v="2"/>
    <x v="2"/>
    <n v="2"/>
    <n v="7.94"/>
    <n v="8"/>
    <n v="392.32"/>
    <n v="28"/>
    <x v="1"/>
    <n v="26"/>
    <n v="468"/>
    <s v=""/>
    <x v="4"/>
    <n v="5.56"/>
    <n v="86.88"/>
    <n v="183.08"/>
    <n v="127.04"/>
    <n v="575.4"/>
    <x v="0"/>
    <s v="8"/>
    <x v="11"/>
    <m/>
    <m/>
    <m/>
    <m/>
    <m/>
  </r>
  <r>
    <x v="75"/>
    <x v="5"/>
    <x v="2"/>
    <x v="5"/>
    <x v="3"/>
    <x v="18"/>
    <x v="3"/>
    <x v="1"/>
    <n v="5"/>
    <n v="16.989999999999998"/>
    <n v="6"/>
    <n v="117.44"/>
    <n v="57"/>
    <x v="2"/>
    <n v="36"/>
    <n v="341"/>
    <s v=""/>
    <x v="2"/>
    <n v="10.56"/>
    <n v="73.88"/>
    <n v="111.57"/>
    <n v="509.69999999999993"/>
    <n v="229.01"/>
    <x v="1"/>
    <s v="18"/>
    <x v="11"/>
    <m/>
    <m/>
    <m/>
    <m/>
    <m/>
  </r>
  <r>
    <x v="222"/>
    <x v="3"/>
    <x v="1"/>
    <x v="6"/>
    <x v="2"/>
    <x v="7"/>
    <x v="2"/>
    <x v="3"/>
    <n v="2"/>
    <n v="11.54"/>
    <n v="7"/>
    <n v="307.32"/>
    <n v="60"/>
    <x v="5"/>
    <n v="3"/>
    <n v="130"/>
    <s v=""/>
    <x v="0"/>
    <n v="2.31"/>
    <n v="93.38"/>
    <n v="307.32"/>
    <n v="161.56"/>
    <n v="614.64"/>
    <x v="0"/>
    <s v="12"/>
    <x v="11"/>
    <m/>
    <m/>
    <m/>
    <m/>
    <m/>
  </r>
  <r>
    <x v="60"/>
    <x v="4"/>
    <x v="2"/>
    <x v="8"/>
    <x v="0"/>
    <x v="0"/>
    <x v="3"/>
    <x v="2"/>
    <n v="2"/>
    <n v="18.13"/>
    <n v="2"/>
    <n v="164.14"/>
    <n v="67"/>
    <x v="4"/>
    <n v="1"/>
    <n v="928"/>
    <s v=""/>
    <x v="0"/>
    <n v="0.11"/>
    <n v="97.78"/>
    <n v="183.29"/>
    <n v="72.52"/>
    <n v="347.42999999999995"/>
    <x v="1"/>
    <s v="20"/>
    <x v="11"/>
    <m/>
    <m/>
    <m/>
    <m/>
    <m/>
  </r>
  <r>
    <x v="223"/>
    <x v="1"/>
    <x v="0"/>
    <x v="10"/>
    <x v="2"/>
    <x v="14"/>
    <x v="3"/>
    <x v="1"/>
    <n v="2"/>
    <n v="18.600000000000001"/>
    <n v="8"/>
    <n v="152.63"/>
    <n v="85"/>
    <x v="1"/>
    <n v="17"/>
    <n v="803"/>
    <s v=""/>
    <x v="2"/>
    <n v="2.12"/>
    <n v="93.76"/>
    <n v="216.23"/>
    <n v="297.60000000000002"/>
    <n v="368.86"/>
    <x v="1"/>
    <s v="20"/>
    <x v="11"/>
    <m/>
    <m/>
    <m/>
    <m/>
    <m/>
  </r>
  <r>
    <x v="204"/>
    <x v="4"/>
    <x v="0"/>
    <x v="17"/>
    <x v="2"/>
    <x v="5"/>
    <x v="4"/>
    <x v="0"/>
    <n v="2"/>
    <n v="1.17"/>
    <n v="5"/>
    <n v="55.19"/>
    <n v="12"/>
    <x v="2"/>
    <n v="7"/>
    <n v="968"/>
    <s v=""/>
    <x v="2"/>
    <n v="0.72"/>
    <n v="96.56"/>
    <n v="11.04"/>
    <n v="11.7"/>
    <n v="66.22999999999999"/>
    <x v="2"/>
    <s v="2"/>
    <x v="11"/>
    <m/>
    <m/>
    <m/>
    <m/>
    <m/>
  </r>
  <r>
    <x v="14"/>
    <x v="3"/>
    <x v="1"/>
    <x v="8"/>
    <x v="3"/>
    <x v="6"/>
    <x v="3"/>
    <x v="0"/>
    <n v="2"/>
    <n v="2.4300000000000002"/>
    <n v="7"/>
    <n v="108.65"/>
    <n v="63"/>
    <x v="4"/>
    <n v="48"/>
    <n v="460"/>
    <s v=""/>
    <x v="0"/>
    <n v="10.43"/>
    <n v="77.14"/>
    <n v="114.08"/>
    <n v="34.020000000000003"/>
    <n v="222.73000000000002"/>
    <x v="2"/>
    <s v="4"/>
    <x v="11"/>
    <m/>
    <m/>
    <m/>
    <m/>
    <m/>
  </r>
  <r>
    <x v="106"/>
    <x v="3"/>
    <x v="0"/>
    <x v="4"/>
    <x v="3"/>
    <x v="11"/>
    <x v="1"/>
    <x v="0"/>
    <n v="4"/>
    <n v="5.76"/>
    <n v="1"/>
    <n v="189.17"/>
    <n v="49"/>
    <x v="3"/>
    <n v="5"/>
    <n v="332"/>
    <s v=""/>
    <x v="1"/>
    <n v="1.51"/>
    <n v="92.98"/>
    <n v="154.49"/>
    <n v="23.04"/>
    <n v="343.65999999999997"/>
    <x v="2"/>
    <s v="6"/>
    <x v="11"/>
    <m/>
    <m/>
    <m/>
    <m/>
    <m/>
  </r>
  <r>
    <x v="16"/>
    <x v="4"/>
    <x v="1"/>
    <x v="14"/>
    <x v="2"/>
    <x v="7"/>
    <x v="3"/>
    <x v="3"/>
    <n v="5"/>
    <n v="13.72"/>
    <n v="5"/>
    <n v="102.6"/>
    <n v="31"/>
    <x v="5"/>
    <n v="19"/>
    <n v="709"/>
    <s v="Kritik hata"/>
    <x v="3"/>
    <n v="2.68"/>
    <n v="89.64"/>
    <n v="53.01"/>
    <n v="343"/>
    <n v="155.60999999999999"/>
    <x v="0"/>
    <s v="14"/>
    <x v="11"/>
    <m/>
    <m/>
    <m/>
    <m/>
    <m/>
  </r>
  <r>
    <x v="224"/>
    <x v="5"/>
    <x v="0"/>
    <x v="17"/>
    <x v="4"/>
    <x v="19"/>
    <x v="2"/>
    <x v="0"/>
    <n v="4"/>
    <n v="17.88"/>
    <n v="1"/>
    <n v="493.64"/>
    <n v="56"/>
    <x v="5"/>
    <n v="39"/>
    <n v="133"/>
    <s v=""/>
    <x v="3"/>
    <n v="29.32"/>
    <n v="37.36"/>
    <n v="460.73"/>
    <n v="71.52"/>
    <n v="954.37"/>
    <x v="1"/>
    <s v="18"/>
    <x v="11"/>
    <m/>
    <m/>
    <m/>
    <m/>
    <m/>
  </r>
  <r>
    <x v="206"/>
    <x v="0"/>
    <x v="0"/>
    <x v="9"/>
    <x v="2"/>
    <x v="18"/>
    <x v="3"/>
    <x v="4"/>
    <n v="4"/>
    <n v="9.74"/>
    <n v="8"/>
    <n v="188.88"/>
    <n v="22"/>
    <x v="1"/>
    <n v="46"/>
    <n v="342"/>
    <s v=""/>
    <x v="0"/>
    <n v="13.45"/>
    <n v="69.099999999999994"/>
    <n v="69.260000000000005"/>
    <n v="311.68"/>
    <n v="258.14"/>
    <x v="0"/>
    <s v="10"/>
    <x v="11"/>
    <m/>
    <m/>
    <m/>
    <m/>
    <m/>
  </r>
  <r>
    <x v="132"/>
    <x v="3"/>
    <x v="1"/>
    <x v="3"/>
    <x v="2"/>
    <x v="13"/>
    <x v="0"/>
    <x v="2"/>
    <n v="1"/>
    <n v="12.53"/>
    <n v="4"/>
    <n v="108.65"/>
    <n v="20"/>
    <x v="2"/>
    <n v="34"/>
    <n v="158"/>
    <s v=""/>
    <x v="1"/>
    <n v="21.52"/>
    <n v="55.96"/>
    <n v="36.22"/>
    <n v="50.12"/>
    <n v="144.87"/>
    <x v="0"/>
    <s v="14"/>
    <x v="11"/>
    <m/>
    <m/>
    <m/>
    <m/>
    <m/>
  </r>
  <r>
    <x v="83"/>
    <x v="4"/>
    <x v="1"/>
    <x v="8"/>
    <x v="1"/>
    <x v="0"/>
    <x v="2"/>
    <x v="3"/>
    <n v="1"/>
    <n v="4.58"/>
    <n v="4"/>
    <n v="139.59"/>
    <n v="70"/>
    <x v="3"/>
    <n v="35"/>
    <n v="870"/>
    <s v=""/>
    <x v="2"/>
    <n v="4.0199999999999996"/>
    <n v="90.96"/>
    <n v="162.86000000000001"/>
    <n v="18.32"/>
    <n v="302.45000000000005"/>
    <x v="2"/>
    <s v="6"/>
    <x v="11"/>
    <m/>
    <m/>
    <m/>
    <m/>
    <m/>
  </r>
  <r>
    <x v="115"/>
    <x v="4"/>
    <x v="1"/>
    <x v="15"/>
    <x v="1"/>
    <x v="14"/>
    <x v="0"/>
    <x v="0"/>
    <n v="1"/>
    <n v="16.29"/>
    <n v="2"/>
    <n v="314.47000000000003"/>
    <n v="9"/>
    <x v="0"/>
    <n v="49"/>
    <n v="628"/>
    <s v=""/>
    <x v="0"/>
    <n v="7.8"/>
    <n v="83.4"/>
    <n v="47.17"/>
    <n v="32.58"/>
    <n v="361.64000000000004"/>
    <x v="1"/>
    <s v="18"/>
    <x v="11"/>
    <m/>
    <m/>
    <m/>
    <m/>
    <m/>
  </r>
  <r>
    <x v="213"/>
    <x v="2"/>
    <x v="0"/>
    <x v="14"/>
    <x v="1"/>
    <x v="0"/>
    <x v="2"/>
    <x v="2"/>
    <n v="3"/>
    <n v="19.38"/>
    <n v="5"/>
    <n v="78.819999999999993"/>
    <n v="86"/>
    <x v="1"/>
    <n v="16"/>
    <n v="177"/>
    <s v="Kontrol tekrarlandı"/>
    <x v="4"/>
    <n v="9.0399999999999991"/>
    <n v="78.92"/>
    <n v="112.98"/>
    <n v="290.7"/>
    <n v="191.8"/>
    <x v="1"/>
    <s v="20"/>
    <x v="11"/>
    <m/>
    <m/>
    <m/>
    <m/>
    <m/>
  </r>
  <r>
    <x v="26"/>
    <x v="0"/>
    <x v="0"/>
    <x v="19"/>
    <x v="4"/>
    <x v="4"/>
    <x v="1"/>
    <x v="1"/>
    <n v="1"/>
    <n v="6.1"/>
    <n v="1"/>
    <n v="438.1"/>
    <n v="7"/>
    <x v="0"/>
    <n v="40"/>
    <n v="817"/>
    <s v=""/>
    <x v="1"/>
    <n v="4.9000000000000004"/>
    <n v="89.2"/>
    <n v="51.11"/>
    <n v="6.1"/>
    <n v="489.21000000000004"/>
    <x v="0"/>
    <s v="8"/>
    <x v="11"/>
    <m/>
    <m/>
    <m/>
    <m/>
    <m/>
  </r>
  <r>
    <x v="160"/>
    <x v="1"/>
    <x v="2"/>
    <x v="4"/>
    <x v="4"/>
    <x v="19"/>
    <x v="1"/>
    <x v="0"/>
    <n v="5"/>
    <n v="10.4"/>
    <n v="9"/>
    <n v="482.67"/>
    <n v="85"/>
    <x v="1"/>
    <n v="47"/>
    <n v="401"/>
    <s v=""/>
    <x v="4"/>
    <n v="11.72"/>
    <n v="71.56"/>
    <n v="683.78"/>
    <n v="468"/>
    <n v="1166.45"/>
    <x v="0"/>
    <s v="12"/>
    <x v="11"/>
    <m/>
    <m/>
    <m/>
    <m/>
    <m/>
  </r>
  <r>
    <x v="74"/>
    <x v="5"/>
    <x v="1"/>
    <x v="9"/>
    <x v="2"/>
    <x v="11"/>
    <x v="1"/>
    <x v="2"/>
    <n v="4"/>
    <n v="2.64"/>
    <n v="5"/>
    <n v="161.04"/>
    <n v="84"/>
    <x v="2"/>
    <n v="39"/>
    <n v="777"/>
    <s v=""/>
    <x v="4"/>
    <n v="5.0199999999999996"/>
    <n v="85.96"/>
    <n v="225.46"/>
    <n v="52.800000000000004"/>
    <n v="386.5"/>
    <x v="2"/>
    <s v="4"/>
    <x v="11"/>
    <m/>
    <m/>
    <m/>
    <m/>
    <m/>
  </r>
  <r>
    <x v="225"/>
    <x v="1"/>
    <x v="0"/>
    <x v="17"/>
    <x v="1"/>
    <x v="0"/>
    <x v="0"/>
    <x v="4"/>
    <n v="5"/>
    <n v="11.62"/>
    <n v="6"/>
    <n v="252.54"/>
    <n v="74"/>
    <x v="3"/>
    <n v="27"/>
    <n v="902"/>
    <s v=""/>
    <x v="0"/>
    <n v="2.99"/>
    <n v="89.02"/>
    <n v="311.47000000000003"/>
    <n v="348.59999999999997"/>
    <n v="564.01"/>
    <x v="0"/>
    <s v="12"/>
    <x v="11"/>
    <m/>
    <m/>
    <m/>
    <m/>
    <m/>
  </r>
  <r>
    <x v="96"/>
    <x v="0"/>
    <x v="0"/>
    <x v="18"/>
    <x v="4"/>
    <x v="3"/>
    <x v="4"/>
    <x v="1"/>
    <n v="1"/>
    <n v="10.55"/>
    <n v="2"/>
    <n v="59.96"/>
    <n v="11"/>
    <x v="2"/>
    <n v="41"/>
    <n v="996"/>
    <s v=""/>
    <x v="1"/>
    <n v="4.12"/>
    <n v="90.76"/>
    <n v="10.99"/>
    <n v="21.1"/>
    <n v="70.95"/>
    <x v="0"/>
    <s v="12"/>
    <x v="11"/>
    <m/>
    <m/>
    <m/>
    <m/>
    <m/>
  </r>
  <r>
    <x v="226"/>
    <x v="0"/>
    <x v="1"/>
    <x v="1"/>
    <x v="3"/>
    <x v="3"/>
    <x v="2"/>
    <x v="4"/>
    <n v="3"/>
    <n v="3.74"/>
    <n v="1"/>
    <n v="338.32"/>
    <n v="54"/>
    <x v="5"/>
    <n v="38"/>
    <n v="211"/>
    <s v=""/>
    <x v="4"/>
    <n v="18.010000000000002"/>
    <n v="60.98"/>
    <n v="304.49"/>
    <n v="11.22"/>
    <n v="642.80999999999995"/>
    <x v="2"/>
    <s v="4"/>
    <x v="11"/>
    <m/>
    <m/>
    <m/>
    <m/>
    <m/>
  </r>
  <r>
    <x v="109"/>
    <x v="0"/>
    <x v="2"/>
    <x v="7"/>
    <x v="2"/>
    <x v="14"/>
    <x v="1"/>
    <x v="2"/>
    <n v="3"/>
    <n v="9.4"/>
    <n v="4"/>
    <n v="236.27"/>
    <n v="18"/>
    <x v="0"/>
    <n v="25"/>
    <n v="512"/>
    <s v=""/>
    <x v="1"/>
    <n v="4.88"/>
    <n v="87.24"/>
    <n v="70.88"/>
    <n v="112.80000000000001"/>
    <n v="307.14999999999998"/>
    <x v="0"/>
    <s v="10"/>
    <x v="11"/>
    <m/>
    <m/>
    <m/>
    <m/>
    <m/>
  </r>
  <r>
    <x v="130"/>
    <x v="1"/>
    <x v="1"/>
    <x v="14"/>
    <x v="0"/>
    <x v="1"/>
    <x v="2"/>
    <x v="4"/>
    <n v="4"/>
    <n v="7.35"/>
    <n v="7"/>
    <n v="171.53"/>
    <n v="42"/>
    <x v="4"/>
    <n v="26"/>
    <n v="999"/>
    <s v="Kritik hata"/>
    <x v="3"/>
    <n v="2.6"/>
    <n v="90.8"/>
    <n v="120.07"/>
    <n v="205.79999999999998"/>
    <n v="291.60000000000002"/>
    <x v="0"/>
    <s v="8"/>
    <x v="11"/>
    <m/>
    <m/>
    <m/>
    <m/>
    <m/>
  </r>
  <r>
    <x v="73"/>
    <x v="0"/>
    <x v="2"/>
    <x v="3"/>
    <x v="2"/>
    <x v="7"/>
    <x v="0"/>
    <x v="2"/>
    <n v="5"/>
    <n v="10.91"/>
    <n v="6"/>
    <n v="143.08000000000001"/>
    <n v="83"/>
    <x v="5"/>
    <n v="14"/>
    <n v="416"/>
    <s v=""/>
    <x v="4"/>
    <n v="3.37"/>
    <n v="88.26"/>
    <n v="197.93"/>
    <n v="327.3"/>
    <n v="341.01"/>
    <x v="0"/>
    <s v="12"/>
    <x v="11"/>
    <m/>
    <m/>
    <m/>
    <m/>
    <m/>
  </r>
  <r>
    <x v="157"/>
    <x v="4"/>
    <x v="0"/>
    <x v="5"/>
    <x v="0"/>
    <x v="4"/>
    <x v="4"/>
    <x v="2"/>
    <n v="2"/>
    <n v="12.13"/>
    <n v="1"/>
    <n v="344.31"/>
    <n v="51"/>
    <x v="5"/>
    <n v="14"/>
    <n v="964"/>
    <s v=""/>
    <x v="4"/>
    <n v="1.45"/>
    <n v="95.1"/>
    <n v="292.66000000000003"/>
    <n v="24.26"/>
    <n v="636.97"/>
    <x v="0"/>
    <s v="14"/>
    <x v="11"/>
    <m/>
    <m/>
    <m/>
    <m/>
    <m/>
  </r>
  <r>
    <x v="227"/>
    <x v="1"/>
    <x v="2"/>
    <x v="18"/>
    <x v="1"/>
    <x v="0"/>
    <x v="0"/>
    <x v="4"/>
    <n v="5"/>
    <n v="1.1599999999999999"/>
    <n v="1"/>
    <n v="237.3"/>
    <n v="37"/>
    <x v="0"/>
    <n v="14"/>
    <n v="244"/>
    <s v=""/>
    <x v="1"/>
    <n v="5.74"/>
    <n v="83.52"/>
    <n v="146.34"/>
    <n v="5.8"/>
    <n v="383.64"/>
    <x v="2"/>
    <s v="2"/>
    <x v="11"/>
    <m/>
    <m/>
    <m/>
    <m/>
    <m/>
  </r>
  <r>
    <x v="207"/>
    <x v="0"/>
    <x v="0"/>
    <x v="11"/>
    <x v="0"/>
    <x v="7"/>
    <x v="2"/>
    <x v="2"/>
    <n v="1"/>
    <n v="15.46"/>
    <n v="8"/>
    <n v="130.85"/>
    <n v="47"/>
    <x v="1"/>
    <n v="25"/>
    <n v="767"/>
    <s v=""/>
    <x v="3"/>
    <n v="3.26"/>
    <n v="92.48"/>
    <n v="102.5"/>
    <n v="123.68"/>
    <n v="233.35"/>
    <x v="1"/>
    <s v="16"/>
    <x v="11"/>
    <m/>
    <m/>
    <m/>
    <m/>
    <m/>
  </r>
  <r>
    <x v="154"/>
    <x v="4"/>
    <x v="1"/>
    <x v="18"/>
    <x v="1"/>
    <x v="3"/>
    <x v="4"/>
    <x v="0"/>
    <n v="2"/>
    <n v="14.55"/>
    <n v="4"/>
    <n v="360.1"/>
    <n v="33"/>
    <x v="5"/>
    <n v="36"/>
    <n v="789"/>
    <s v=""/>
    <x v="4"/>
    <n v="4.5599999999999996"/>
    <n v="88.88"/>
    <n v="198.06"/>
    <n v="116.4"/>
    <n v="558.16000000000008"/>
    <x v="0"/>
    <s v="16"/>
    <x v="11"/>
    <m/>
    <m/>
    <m/>
    <m/>
    <m/>
  </r>
  <r>
    <x v="228"/>
    <x v="2"/>
    <x v="1"/>
    <x v="11"/>
    <x v="3"/>
    <x v="16"/>
    <x v="4"/>
    <x v="2"/>
    <n v="3"/>
    <n v="7.96"/>
    <n v="5"/>
    <n v="304.27999999999997"/>
    <n v="61"/>
    <x v="3"/>
    <n v="4"/>
    <n v="957"/>
    <s v=""/>
    <x v="0"/>
    <n v="0.42"/>
    <n v="96.16"/>
    <n v="309.35000000000002"/>
    <n v="119.4"/>
    <n v="613.63"/>
    <x v="0"/>
    <s v="8"/>
    <x v="11"/>
    <m/>
    <m/>
    <m/>
    <m/>
    <m/>
  </r>
  <r>
    <x v="128"/>
    <x v="0"/>
    <x v="1"/>
    <x v="14"/>
    <x v="0"/>
    <x v="6"/>
    <x v="0"/>
    <x v="3"/>
    <n v="4"/>
    <n v="2.0099999999999998"/>
    <n v="7"/>
    <n v="436.4"/>
    <n v="9"/>
    <x v="5"/>
    <n v="47"/>
    <n v="747"/>
    <s v="Kontrol tekrarlandı"/>
    <x v="1"/>
    <n v="6.29"/>
    <n v="83.42"/>
    <n v="65.459999999999994"/>
    <n v="56.279999999999994"/>
    <n v="501.85999999999996"/>
    <x v="2"/>
    <s v="4"/>
    <x v="11"/>
    <m/>
    <m/>
    <m/>
    <m/>
    <m/>
  </r>
  <r>
    <x v="229"/>
    <x v="1"/>
    <x v="2"/>
    <x v="2"/>
    <x v="2"/>
    <x v="14"/>
    <x v="1"/>
    <x v="2"/>
    <n v="4"/>
    <n v="15.34"/>
    <n v="8"/>
    <n v="102.86"/>
    <n v="64"/>
    <x v="3"/>
    <n v="15"/>
    <n v="926"/>
    <s v=""/>
    <x v="1"/>
    <n v="1.62"/>
    <n v="92.76"/>
    <n v="109.72"/>
    <n v="490.88"/>
    <n v="212.57999999999998"/>
    <x v="1"/>
    <s v="16"/>
    <x v="11"/>
    <m/>
    <m/>
    <m/>
    <m/>
    <m/>
  </r>
  <r>
    <x v="37"/>
    <x v="3"/>
    <x v="0"/>
    <x v="12"/>
    <x v="1"/>
    <x v="10"/>
    <x v="2"/>
    <x v="3"/>
    <n v="3"/>
    <n v="19.149999999999999"/>
    <n v="7"/>
    <n v="403.55"/>
    <n v="74"/>
    <x v="2"/>
    <n v="32"/>
    <n v="117"/>
    <s v=""/>
    <x v="4"/>
    <n v="27.35"/>
    <n v="42.3"/>
    <n v="497.71"/>
    <n v="402.15"/>
    <n v="901.26"/>
    <x v="1"/>
    <s v="20"/>
    <x v="11"/>
    <m/>
    <m/>
    <m/>
    <m/>
    <m/>
  </r>
  <r>
    <x v="15"/>
    <x v="0"/>
    <x v="1"/>
    <x v="17"/>
    <x v="2"/>
    <x v="3"/>
    <x v="3"/>
    <x v="2"/>
    <n v="1"/>
    <n v="5.56"/>
    <n v="2"/>
    <n v="353.08"/>
    <n v="6"/>
    <x v="1"/>
    <n v="18"/>
    <n v="450"/>
    <s v=""/>
    <x v="3"/>
    <n v="4"/>
    <n v="91"/>
    <n v="35.31"/>
    <n v="11.12"/>
    <n v="388.39"/>
    <x v="2"/>
    <s v="6"/>
    <x v="11"/>
    <m/>
    <m/>
    <m/>
    <m/>
    <m/>
  </r>
  <r>
    <x v="230"/>
    <x v="3"/>
    <x v="1"/>
    <x v="7"/>
    <x v="4"/>
    <x v="6"/>
    <x v="3"/>
    <x v="2"/>
    <n v="3"/>
    <n v="7.15"/>
    <n v="4"/>
    <n v="101.75"/>
    <n v="74"/>
    <x v="3"/>
    <n v="14"/>
    <n v="254"/>
    <s v=""/>
    <x v="4"/>
    <n v="5.51"/>
    <n v="85.98"/>
    <n v="125.49"/>
    <n v="85.800000000000011"/>
    <n v="227.24"/>
    <x v="0"/>
    <s v="8"/>
    <x v="11"/>
    <m/>
    <m/>
    <m/>
    <m/>
    <m/>
  </r>
  <r>
    <x v="197"/>
    <x v="4"/>
    <x v="0"/>
    <x v="3"/>
    <x v="1"/>
    <x v="17"/>
    <x v="0"/>
    <x v="4"/>
    <n v="1"/>
    <n v="4.49"/>
    <n v="1"/>
    <n v="362.67"/>
    <n v="47"/>
    <x v="5"/>
    <n v="1"/>
    <n v="883"/>
    <s v=""/>
    <x v="2"/>
    <n v="0.11"/>
    <n v="98.78"/>
    <n v="284.08999999999997"/>
    <n v="4.49"/>
    <n v="646.76"/>
    <x v="2"/>
    <s v="6"/>
    <x v="11"/>
    <m/>
    <m/>
    <m/>
    <m/>
    <m/>
  </r>
  <r>
    <x v="117"/>
    <x v="2"/>
    <x v="1"/>
    <x v="9"/>
    <x v="0"/>
    <x v="0"/>
    <x v="2"/>
    <x v="0"/>
    <n v="2"/>
    <n v="11.96"/>
    <n v="9"/>
    <n v="248.7"/>
    <n v="8"/>
    <x v="1"/>
    <n v="42"/>
    <n v="605"/>
    <s v=""/>
    <x v="4"/>
    <n v="6.94"/>
    <n v="84.12"/>
    <n v="33.159999999999997"/>
    <n v="215.28000000000003"/>
    <n v="281.86"/>
    <x v="0"/>
    <s v="12"/>
    <x v="11"/>
    <m/>
    <m/>
    <m/>
    <m/>
    <m/>
  </r>
  <r>
    <x v="125"/>
    <x v="5"/>
    <x v="0"/>
    <x v="12"/>
    <x v="1"/>
    <x v="10"/>
    <x v="2"/>
    <x v="0"/>
    <n v="3"/>
    <n v="3.94"/>
    <n v="3"/>
    <n v="475.24"/>
    <n v="60"/>
    <x v="1"/>
    <n v="20"/>
    <n v="877"/>
    <s v=""/>
    <x v="2"/>
    <n v="2.2799999999999998"/>
    <n v="92.44"/>
    <n v="475.24"/>
    <n v="35.46"/>
    <n v="950.48"/>
    <x v="2"/>
    <s v="4"/>
    <x v="11"/>
    <m/>
    <m/>
    <m/>
    <m/>
    <m/>
  </r>
  <r>
    <x v="206"/>
    <x v="2"/>
    <x v="0"/>
    <x v="2"/>
    <x v="2"/>
    <x v="17"/>
    <x v="0"/>
    <x v="1"/>
    <n v="1"/>
    <n v="7.77"/>
    <n v="3"/>
    <n v="113.73"/>
    <n v="63"/>
    <x v="3"/>
    <n v="10"/>
    <n v="459"/>
    <s v=""/>
    <x v="0"/>
    <n v="2.1800000000000002"/>
    <n v="94.64"/>
    <n v="119.42"/>
    <n v="23.31"/>
    <n v="233.15"/>
    <x v="0"/>
    <s v="8"/>
    <x v="11"/>
    <m/>
    <m/>
    <m/>
    <m/>
    <m/>
  </r>
  <r>
    <x v="20"/>
    <x v="0"/>
    <x v="0"/>
    <x v="13"/>
    <x v="3"/>
    <x v="8"/>
    <x v="2"/>
    <x v="4"/>
    <n v="2"/>
    <n v="14.24"/>
    <n v="9"/>
    <n v="339.28"/>
    <n v="13"/>
    <x v="3"/>
    <n v="10"/>
    <n v="431"/>
    <s v=""/>
    <x v="1"/>
    <n v="2.3199999999999998"/>
    <n v="93.36"/>
    <n v="73.510000000000005"/>
    <n v="256.32"/>
    <n v="412.78999999999996"/>
    <x v="0"/>
    <s v="16"/>
    <x v="11"/>
    <m/>
    <m/>
    <m/>
    <m/>
    <m/>
  </r>
  <r>
    <x v="66"/>
    <x v="3"/>
    <x v="0"/>
    <x v="10"/>
    <x v="1"/>
    <x v="13"/>
    <x v="1"/>
    <x v="4"/>
    <n v="3"/>
    <n v="11.64"/>
    <n v="3"/>
    <n v="221.89"/>
    <n v="7"/>
    <x v="4"/>
    <n v="24"/>
    <n v="627"/>
    <s v=""/>
    <x v="1"/>
    <n v="3.83"/>
    <n v="89.34"/>
    <n v="25.89"/>
    <n v="104.76"/>
    <n v="247.77999999999997"/>
    <x v="0"/>
    <s v="12"/>
    <x v="11"/>
    <m/>
    <m/>
    <m/>
    <m/>
    <m/>
  </r>
  <r>
    <x v="231"/>
    <x v="3"/>
    <x v="0"/>
    <x v="17"/>
    <x v="0"/>
    <x v="8"/>
    <x v="0"/>
    <x v="0"/>
    <n v="4"/>
    <n v="8.34"/>
    <n v="8"/>
    <n v="480.57"/>
    <n v="52"/>
    <x v="4"/>
    <n v="34"/>
    <n v="111"/>
    <s v=""/>
    <x v="3"/>
    <n v="30.63"/>
    <n v="34.74"/>
    <n v="416.49"/>
    <n v="266.88"/>
    <n v="897.06"/>
    <x v="0"/>
    <s v="10"/>
    <x v="11"/>
    <m/>
    <m/>
    <m/>
    <m/>
    <m/>
  </r>
  <r>
    <x v="141"/>
    <x v="1"/>
    <x v="2"/>
    <x v="0"/>
    <x v="4"/>
    <x v="13"/>
    <x v="1"/>
    <x v="4"/>
    <n v="3"/>
    <n v="8.98"/>
    <n v="2"/>
    <n v="198.49"/>
    <n v="47"/>
    <x v="1"/>
    <n v="28"/>
    <n v="174"/>
    <s v=""/>
    <x v="4"/>
    <n v="16.09"/>
    <n v="64.819999999999993"/>
    <n v="155.47999999999999"/>
    <n v="53.88"/>
    <n v="353.97"/>
    <x v="0"/>
    <s v="10"/>
    <x v="11"/>
    <m/>
    <m/>
    <m/>
    <m/>
    <m/>
  </r>
  <r>
    <x v="42"/>
    <x v="3"/>
    <x v="1"/>
    <x v="4"/>
    <x v="3"/>
    <x v="10"/>
    <x v="2"/>
    <x v="0"/>
    <n v="5"/>
    <n v="11.68"/>
    <n v="3"/>
    <n v="482.98"/>
    <n v="5"/>
    <x v="0"/>
    <n v="27"/>
    <n v="311"/>
    <s v=""/>
    <x v="0"/>
    <n v="8.68"/>
    <n v="77.64"/>
    <n v="40.25"/>
    <n v="175.2"/>
    <n v="523.23"/>
    <x v="0"/>
    <s v="12"/>
    <x v="11"/>
    <m/>
    <m/>
    <m/>
    <m/>
    <m/>
  </r>
  <r>
    <x v="232"/>
    <x v="1"/>
    <x v="2"/>
    <x v="13"/>
    <x v="4"/>
    <x v="2"/>
    <x v="0"/>
    <x v="4"/>
    <n v="3"/>
    <n v="1.1100000000000001"/>
    <n v="2"/>
    <n v="455.67"/>
    <n v="61"/>
    <x v="0"/>
    <n v="40"/>
    <n v="790"/>
    <s v=""/>
    <x v="2"/>
    <n v="5.0599999999999996"/>
    <n v="86.88"/>
    <n v="463.26"/>
    <n v="6.66"/>
    <n v="918.93000000000006"/>
    <x v="2"/>
    <s v="2"/>
    <x v="11"/>
    <m/>
    <m/>
    <m/>
    <m/>
    <m/>
  </r>
  <r>
    <x v="67"/>
    <x v="4"/>
    <x v="1"/>
    <x v="16"/>
    <x v="1"/>
    <x v="8"/>
    <x v="2"/>
    <x v="2"/>
    <n v="5"/>
    <n v="2.4900000000000002"/>
    <n v="1"/>
    <n v="171.67"/>
    <n v="57"/>
    <x v="4"/>
    <n v="1"/>
    <n v="740"/>
    <s v=""/>
    <x v="3"/>
    <n v="0.14000000000000001"/>
    <n v="94.72"/>
    <n v="163.09"/>
    <n v="12.450000000000001"/>
    <n v="334.76"/>
    <x v="2"/>
    <s v="4"/>
    <x v="11"/>
    <m/>
    <m/>
    <m/>
    <m/>
    <m/>
  </r>
  <r>
    <x v="233"/>
    <x v="5"/>
    <x v="2"/>
    <x v="0"/>
    <x v="2"/>
    <x v="1"/>
    <x v="0"/>
    <x v="0"/>
    <n v="2"/>
    <n v="17.739999999999998"/>
    <n v="2"/>
    <n v="411.59"/>
    <n v="20"/>
    <x v="5"/>
    <n v="33"/>
    <n v="382"/>
    <s v=""/>
    <x v="0"/>
    <n v="8.64"/>
    <n v="80.72"/>
    <n v="137.19999999999999"/>
    <n v="70.959999999999994"/>
    <n v="548.79"/>
    <x v="1"/>
    <s v="18"/>
    <x v="11"/>
    <m/>
    <m/>
    <m/>
    <m/>
    <m/>
  </r>
  <r>
    <x v="234"/>
    <x v="0"/>
    <x v="0"/>
    <x v="9"/>
    <x v="2"/>
    <x v="13"/>
    <x v="2"/>
    <x v="0"/>
    <n v="3"/>
    <n v="2.48"/>
    <n v="8"/>
    <n v="498.02"/>
    <n v="55"/>
    <x v="2"/>
    <n v="4"/>
    <n v="294"/>
    <s v=""/>
    <x v="0"/>
    <n v="1.36"/>
    <n v="94.28"/>
    <n v="456.52"/>
    <n v="59.519999999999996"/>
    <n v="954.54"/>
    <x v="2"/>
    <s v="4"/>
    <x v="11"/>
    <m/>
    <m/>
    <m/>
    <m/>
    <m/>
  </r>
  <r>
    <x v="235"/>
    <x v="1"/>
    <x v="1"/>
    <x v="3"/>
    <x v="0"/>
    <x v="8"/>
    <x v="1"/>
    <x v="3"/>
    <n v="2"/>
    <n v="14.43"/>
    <n v="9"/>
    <n v="163.69999999999999"/>
    <n v="79"/>
    <x v="1"/>
    <n v="7"/>
    <n v="879"/>
    <s v=""/>
    <x v="2"/>
    <n v="0.8"/>
    <n v="96.4"/>
    <n v="215.54"/>
    <n v="259.74"/>
    <n v="379.24"/>
    <x v="0"/>
    <s v="16"/>
    <x v="11"/>
    <m/>
    <m/>
    <m/>
    <m/>
    <m/>
  </r>
  <r>
    <x v="25"/>
    <x v="5"/>
    <x v="1"/>
    <x v="5"/>
    <x v="2"/>
    <x v="13"/>
    <x v="1"/>
    <x v="4"/>
    <n v="2"/>
    <n v="18.48"/>
    <n v="2"/>
    <n v="246.55"/>
    <n v="59"/>
    <x v="2"/>
    <n v="9"/>
    <n v="129"/>
    <s v=""/>
    <x v="2"/>
    <n v="6.98"/>
    <n v="84.04"/>
    <n v="242.44"/>
    <n v="73.92"/>
    <n v="488.99"/>
    <x v="1"/>
    <s v="20"/>
    <x v="11"/>
    <m/>
    <m/>
    <m/>
    <m/>
    <m/>
  </r>
  <r>
    <x v="131"/>
    <x v="3"/>
    <x v="2"/>
    <x v="12"/>
    <x v="3"/>
    <x v="3"/>
    <x v="2"/>
    <x v="4"/>
    <n v="1"/>
    <n v="6.14"/>
    <n v="7"/>
    <n v="284.08"/>
    <n v="5"/>
    <x v="4"/>
    <n v="16"/>
    <n v="108"/>
    <s v=""/>
    <x v="1"/>
    <n v="14.81"/>
    <n v="69.38"/>
    <n v="23.67"/>
    <n v="42.98"/>
    <n v="307.75"/>
    <x v="0"/>
    <s v="8"/>
    <x v="11"/>
    <m/>
    <m/>
    <m/>
    <m/>
    <m/>
  </r>
  <r>
    <x v="236"/>
    <x v="3"/>
    <x v="2"/>
    <x v="0"/>
    <x v="2"/>
    <x v="8"/>
    <x v="0"/>
    <x v="0"/>
    <n v="2"/>
    <n v="8.0399999999999991"/>
    <n v="5"/>
    <n v="182.72"/>
    <n v="32"/>
    <x v="3"/>
    <n v="5"/>
    <n v="408"/>
    <s v=""/>
    <x v="4"/>
    <n v="1.23"/>
    <n v="95.54"/>
    <n v="97.45"/>
    <n v="80.399999999999991"/>
    <n v="280.17"/>
    <x v="0"/>
    <s v="10"/>
    <x v="11"/>
    <m/>
    <m/>
    <m/>
    <m/>
    <m/>
  </r>
  <r>
    <x v="237"/>
    <x v="5"/>
    <x v="1"/>
    <x v="1"/>
    <x v="0"/>
    <x v="8"/>
    <x v="3"/>
    <x v="2"/>
    <n v="2"/>
    <n v="11.81"/>
    <n v="3"/>
    <n v="56.87"/>
    <n v="57"/>
    <x v="1"/>
    <n v="34"/>
    <n v="544"/>
    <s v=""/>
    <x v="3"/>
    <n v="6.25"/>
    <n v="85.5"/>
    <n v="54.03"/>
    <n v="70.86"/>
    <n v="110.9"/>
    <x v="0"/>
    <s v="12"/>
    <x v="11"/>
    <m/>
    <m/>
    <m/>
    <m/>
    <m/>
  </r>
  <r>
    <x v="100"/>
    <x v="3"/>
    <x v="2"/>
    <x v="9"/>
    <x v="1"/>
    <x v="19"/>
    <x v="1"/>
    <x v="2"/>
    <n v="3"/>
    <n v="17.75"/>
    <n v="9"/>
    <n v="149.06"/>
    <n v="62"/>
    <x v="4"/>
    <n v="23"/>
    <n v="409"/>
    <s v=""/>
    <x v="4"/>
    <n v="5.62"/>
    <n v="85.76"/>
    <n v="154.03"/>
    <n v="479.25"/>
    <n v="303.09000000000003"/>
    <x v="1"/>
    <s v="18"/>
    <x v="11"/>
    <m/>
    <m/>
    <m/>
    <m/>
    <m/>
  </r>
  <r>
    <x v="133"/>
    <x v="4"/>
    <x v="2"/>
    <x v="12"/>
    <x v="1"/>
    <x v="1"/>
    <x v="1"/>
    <x v="2"/>
    <n v="3"/>
    <n v="18.899999999999999"/>
    <n v="6"/>
    <n v="176.87"/>
    <n v="77"/>
    <x v="5"/>
    <n v="43"/>
    <n v="776"/>
    <s v=""/>
    <x v="3"/>
    <n v="5.54"/>
    <n v="85.92"/>
    <n v="226.98"/>
    <n v="340.2"/>
    <n v="403.85"/>
    <x v="1"/>
    <s v="20"/>
    <x v="11"/>
    <m/>
    <m/>
    <m/>
    <m/>
    <m/>
  </r>
  <r>
    <x v="118"/>
    <x v="4"/>
    <x v="2"/>
    <x v="19"/>
    <x v="2"/>
    <x v="0"/>
    <x v="3"/>
    <x v="4"/>
    <n v="4"/>
    <n v="15.05"/>
    <n v="1"/>
    <n v="249.62"/>
    <n v="64"/>
    <x v="1"/>
    <n v="25"/>
    <n v="804"/>
    <s v=""/>
    <x v="0"/>
    <n v="3.11"/>
    <n v="89.78"/>
    <n v="266.26"/>
    <n v="60.2"/>
    <n v="515.88"/>
    <x v="1"/>
    <s v="16"/>
    <x v="11"/>
    <m/>
    <m/>
    <m/>
    <m/>
    <m/>
  </r>
  <r>
    <x v="116"/>
    <x v="5"/>
    <x v="0"/>
    <x v="15"/>
    <x v="4"/>
    <x v="19"/>
    <x v="2"/>
    <x v="3"/>
    <n v="1"/>
    <n v="2.65"/>
    <n v="5"/>
    <n v="127"/>
    <n v="63"/>
    <x v="1"/>
    <n v="13"/>
    <n v="525"/>
    <s v=""/>
    <x v="2"/>
    <n v="2.48"/>
    <n v="94.04"/>
    <n v="133.35"/>
    <n v="13.25"/>
    <n v="260.35000000000002"/>
    <x v="2"/>
    <s v="4"/>
    <x v="11"/>
    <m/>
    <m/>
    <m/>
    <m/>
    <m/>
  </r>
  <r>
    <x v="225"/>
    <x v="1"/>
    <x v="0"/>
    <x v="17"/>
    <x v="1"/>
    <x v="17"/>
    <x v="0"/>
    <x v="0"/>
    <n v="2"/>
    <n v="13.71"/>
    <n v="7"/>
    <n v="442.96"/>
    <n v="26"/>
    <x v="0"/>
    <n v="24"/>
    <n v="916"/>
    <s v=""/>
    <x v="2"/>
    <n v="2.62"/>
    <n v="92.76"/>
    <n v="191.95"/>
    <n v="191.94"/>
    <n v="634.91"/>
    <x v="0"/>
    <s v="14"/>
    <x v="11"/>
    <m/>
    <m/>
    <m/>
    <m/>
    <m/>
  </r>
  <r>
    <x v="238"/>
    <x v="1"/>
    <x v="2"/>
    <x v="1"/>
    <x v="2"/>
    <x v="11"/>
    <x v="2"/>
    <x v="1"/>
    <n v="1"/>
    <n v="8.8000000000000007"/>
    <n v="4"/>
    <n v="367.21"/>
    <n v="12"/>
    <x v="3"/>
    <n v="11"/>
    <n v="871"/>
    <s v=""/>
    <x v="0"/>
    <n v="1.26"/>
    <n v="96.48"/>
    <n v="73.44"/>
    <n v="35.200000000000003"/>
    <n v="440.65"/>
    <x v="0"/>
    <s v="10"/>
    <x v="11"/>
    <m/>
    <m/>
    <m/>
    <m/>
    <m/>
  </r>
  <r>
    <x v="11"/>
    <x v="5"/>
    <x v="2"/>
    <x v="11"/>
    <x v="0"/>
    <x v="3"/>
    <x v="4"/>
    <x v="3"/>
    <n v="5"/>
    <n v="9.94"/>
    <n v="8"/>
    <n v="88.34"/>
    <n v="53"/>
    <x v="1"/>
    <n v="17"/>
    <n v="803"/>
    <s v=""/>
    <x v="0"/>
    <n v="2.12"/>
    <n v="90.76"/>
    <n v="78.03"/>
    <n v="397.59999999999997"/>
    <n v="166.37"/>
    <x v="0"/>
    <s v="10"/>
    <x v="11"/>
    <m/>
    <m/>
    <m/>
    <m/>
    <m/>
  </r>
  <r>
    <x v="51"/>
    <x v="1"/>
    <x v="0"/>
    <x v="13"/>
    <x v="2"/>
    <x v="17"/>
    <x v="1"/>
    <x v="1"/>
    <n v="2"/>
    <n v="1.93"/>
    <n v="5"/>
    <n v="342.54"/>
    <n v="46"/>
    <x v="3"/>
    <n v="37"/>
    <n v="690"/>
    <s v=""/>
    <x v="3"/>
    <n v="5.36"/>
    <n v="87.28"/>
    <n v="262.61"/>
    <n v="19.3"/>
    <n v="605.15000000000009"/>
    <x v="2"/>
    <s v="2"/>
    <x v="11"/>
    <m/>
    <m/>
    <m/>
    <m/>
    <m/>
  </r>
  <r>
    <x v="51"/>
    <x v="1"/>
    <x v="0"/>
    <x v="12"/>
    <x v="1"/>
    <x v="11"/>
    <x v="4"/>
    <x v="3"/>
    <n v="1"/>
    <n v="4.63"/>
    <n v="9"/>
    <n v="344.15"/>
    <n v="31"/>
    <x v="4"/>
    <n v="13"/>
    <n v="790"/>
    <s v=""/>
    <x v="0"/>
    <n v="1.65"/>
    <n v="95.7"/>
    <n v="177.81"/>
    <n v="41.67"/>
    <n v="521.96"/>
    <x v="2"/>
    <s v="6"/>
    <x v="11"/>
    <m/>
    <m/>
    <m/>
    <m/>
    <m/>
  </r>
  <r>
    <x v="153"/>
    <x v="4"/>
    <x v="1"/>
    <x v="18"/>
    <x v="0"/>
    <x v="14"/>
    <x v="1"/>
    <x v="2"/>
    <n v="4"/>
    <n v="16.02"/>
    <n v="9"/>
    <n v="480.3"/>
    <n v="43"/>
    <x v="5"/>
    <n v="27"/>
    <n v="190"/>
    <s v=""/>
    <x v="3"/>
    <n v="14.21"/>
    <n v="67.58"/>
    <n v="344.22"/>
    <n v="576.72"/>
    <n v="824.52"/>
    <x v="1"/>
    <s v="18"/>
    <x v="11"/>
    <m/>
    <m/>
    <m/>
    <m/>
    <m/>
  </r>
  <r>
    <x v="152"/>
    <x v="1"/>
    <x v="1"/>
    <x v="18"/>
    <x v="2"/>
    <x v="15"/>
    <x v="1"/>
    <x v="4"/>
    <n v="4"/>
    <n v="9.6300000000000008"/>
    <n v="9"/>
    <n v="51.36"/>
    <n v="87"/>
    <x v="5"/>
    <n v="20"/>
    <n v="555"/>
    <s v=""/>
    <x v="4"/>
    <n v="3.6"/>
    <n v="88.8"/>
    <n v="74.47"/>
    <n v="346.68"/>
    <n v="125.83"/>
    <x v="0"/>
    <s v="10"/>
    <x v="11"/>
    <m/>
    <m/>
    <m/>
    <m/>
    <m/>
  </r>
  <r>
    <x v="137"/>
    <x v="2"/>
    <x v="0"/>
    <x v="12"/>
    <x v="3"/>
    <x v="14"/>
    <x v="4"/>
    <x v="1"/>
    <n v="2"/>
    <n v="6.73"/>
    <n v="1"/>
    <n v="161.57"/>
    <n v="29"/>
    <x v="1"/>
    <n v="33"/>
    <n v="543"/>
    <s v=""/>
    <x v="2"/>
    <n v="6.08"/>
    <n v="85.84"/>
    <n v="78.09"/>
    <n v="13.46"/>
    <n v="239.66"/>
    <x v="0"/>
    <s v="8"/>
    <x v="11"/>
    <m/>
    <m/>
    <m/>
    <m/>
    <m/>
  </r>
  <r>
    <x v="69"/>
    <x v="0"/>
    <x v="2"/>
    <x v="3"/>
    <x v="0"/>
    <x v="11"/>
    <x v="4"/>
    <x v="3"/>
    <n v="5"/>
    <n v="8.3000000000000007"/>
    <n v="2"/>
    <n v="467.51"/>
    <n v="42"/>
    <x v="1"/>
    <n v="42"/>
    <n v="826"/>
    <s v=""/>
    <x v="2"/>
    <n v="5.08"/>
    <n v="84.84"/>
    <n v="327.26"/>
    <n v="83"/>
    <n v="794.77"/>
    <x v="0"/>
    <s v="10"/>
    <x v="11"/>
    <m/>
    <m/>
    <m/>
    <m/>
    <m/>
  </r>
  <r>
    <x v="239"/>
    <x v="3"/>
    <x v="2"/>
    <x v="1"/>
    <x v="3"/>
    <x v="13"/>
    <x v="2"/>
    <x v="4"/>
    <n v="4"/>
    <n v="17.23"/>
    <n v="3"/>
    <n v="469.46"/>
    <n v="89"/>
    <x v="4"/>
    <n v="32"/>
    <n v="178"/>
    <s v=""/>
    <x v="2"/>
    <n v="17.98"/>
    <n v="60.04"/>
    <n v="696.37"/>
    <n v="206.76"/>
    <n v="1165.83"/>
    <x v="1"/>
    <s v="18"/>
    <x v="11"/>
    <m/>
    <m/>
    <m/>
    <m/>
    <m/>
  </r>
  <r>
    <x v="85"/>
    <x v="2"/>
    <x v="2"/>
    <x v="17"/>
    <x v="4"/>
    <x v="18"/>
    <x v="4"/>
    <x v="1"/>
    <n v="4"/>
    <n v="15.23"/>
    <n v="4"/>
    <n v="374.26"/>
    <n v="28"/>
    <x v="0"/>
    <n v="8"/>
    <n v="574"/>
    <s v=""/>
    <x v="4"/>
    <n v="1.39"/>
    <n v="93.22"/>
    <n v="174.65"/>
    <n v="243.68"/>
    <n v="548.91"/>
    <x v="1"/>
    <s v="16"/>
    <x v="11"/>
    <m/>
    <m/>
    <m/>
    <m/>
    <m/>
  </r>
  <r>
    <x v="240"/>
    <x v="1"/>
    <x v="2"/>
    <x v="3"/>
    <x v="0"/>
    <x v="14"/>
    <x v="2"/>
    <x v="0"/>
    <n v="5"/>
    <n v="6.17"/>
    <n v="9"/>
    <n v="394.59"/>
    <n v="28"/>
    <x v="0"/>
    <n v="29"/>
    <n v="202"/>
    <s v=""/>
    <x v="4"/>
    <n v="14.36"/>
    <n v="66.28"/>
    <n v="184.14"/>
    <n v="277.64999999999998"/>
    <n v="578.73"/>
    <x v="0"/>
    <s v="8"/>
    <x v="11"/>
    <m/>
    <m/>
    <m/>
    <m/>
    <m/>
  </r>
  <r>
    <x v="129"/>
    <x v="4"/>
    <x v="1"/>
    <x v="0"/>
    <x v="3"/>
    <x v="14"/>
    <x v="2"/>
    <x v="3"/>
    <n v="1"/>
    <n v="3.23"/>
    <n v="6"/>
    <n v="91.17"/>
    <n v="64"/>
    <x v="0"/>
    <n v="40"/>
    <n v="722"/>
    <s v=""/>
    <x v="1"/>
    <n v="5.54"/>
    <n v="87.92"/>
    <n v="97.25"/>
    <n v="19.38"/>
    <n v="188.42000000000002"/>
    <x v="2"/>
    <s v="4"/>
    <x v="11"/>
    <m/>
    <m/>
    <m/>
    <m/>
    <m/>
  </r>
  <r>
    <x v="241"/>
    <x v="5"/>
    <x v="0"/>
    <x v="18"/>
    <x v="1"/>
    <x v="6"/>
    <x v="2"/>
    <x v="0"/>
    <n v="4"/>
    <n v="5.79"/>
    <n v="1"/>
    <n v="281.24"/>
    <n v="87"/>
    <x v="3"/>
    <n v="19"/>
    <n v="555"/>
    <s v=""/>
    <x v="3"/>
    <n v="3.42"/>
    <n v="89.16"/>
    <n v="407.8"/>
    <n v="23.16"/>
    <n v="689.04"/>
    <x v="2"/>
    <s v="6"/>
    <x v="11"/>
    <m/>
    <m/>
    <m/>
    <m/>
    <m/>
  </r>
  <r>
    <x v="140"/>
    <x v="1"/>
    <x v="2"/>
    <x v="14"/>
    <x v="1"/>
    <x v="11"/>
    <x v="1"/>
    <x v="2"/>
    <n v="3"/>
    <n v="18.489999999999998"/>
    <n v="9"/>
    <n v="154.21"/>
    <n v="54"/>
    <x v="0"/>
    <n v="6"/>
    <n v="413"/>
    <s v="Eğitim önerildi"/>
    <x v="3"/>
    <n v="1.45"/>
    <n v="94.1"/>
    <n v="138.79"/>
    <n v="499.22999999999996"/>
    <n v="293"/>
    <x v="1"/>
    <s v="20"/>
    <x v="11"/>
    <m/>
    <m/>
    <m/>
    <m/>
    <m/>
  </r>
  <r>
    <x v="130"/>
    <x v="4"/>
    <x v="1"/>
    <x v="7"/>
    <x v="4"/>
    <x v="10"/>
    <x v="1"/>
    <x v="0"/>
    <n v="4"/>
    <n v="12.05"/>
    <n v="6"/>
    <n v="131.55000000000001"/>
    <n v="70"/>
    <x v="5"/>
    <n v="44"/>
    <n v="346"/>
    <s v=""/>
    <x v="1"/>
    <n v="12.72"/>
    <n v="70.56"/>
    <n v="153.47999999999999"/>
    <n v="289.20000000000005"/>
    <n v="285.02999999999997"/>
    <x v="0"/>
    <s v="14"/>
    <x v="11"/>
    <m/>
    <m/>
    <m/>
    <m/>
    <m/>
  </r>
  <r>
    <x v="191"/>
    <x v="0"/>
    <x v="2"/>
    <x v="1"/>
    <x v="0"/>
    <x v="0"/>
    <x v="4"/>
    <x v="0"/>
    <n v="1"/>
    <n v="11.14"/>
    <n v="4"/>
    <n v="414.64"/>
    <n v="18"/>
    <x v="3"/>
    <n v="39"/>
    <n v="333"/>
    <s v=""/>
    <x v="2"/>
    <n v="11.71"/>
    <n v="75.58"/>
    <n v="124.39"/>
    <n v="44.56"/>
    <n v="539.03"/>
    <x v="0"/>
    <s v="12"/>
    <x v="11"/>
    <m/>
    <m/>
    <m/>
    <m/>
    <m/>
  </r>
  <r>
    <x v="62"/>
    <x v="1"/>
    <x v="0"/>
    <x v="14"/>
    <x v="0"/>
    <x v="1"/>
    <x v="1"/>
    <x v="3"/>
    <n v="1"/>
    <n v="12.33"/>
    <n v="4"/>
    <n v="110.77"/>
    <n v="57"/>
    <x v="4"/>
    <n v="48"/>
    <n v="693"/>
    <s v="Makine ayarı değiştirildi"/>
    <x v="3"/>
    <n v="6.93"/>
    <n v="85.14"/>
    <n v="105.23"/>
    <n v="49.32"/>
    <n v="216"/>
    <x v="0"/>
    <s v="14"/>
    <x v="11"/>
    <m/>
    <m/>
    <m/>
    <m/>
    <m/>
  </r>
  <r>
    <x v="98"/>
    <x v="5"/>
    <x v="1"/>
    <x v="1"/>
    <x v="0"/>
    <x v="19"/>
    <x v="4"/>
    <x v="2"/>
    <n v="2"/>
    <n v="7.95"/>
    <n v="3"/>
    <n v="260.89"/>
    <n v="36"/>
    <x v="5"/>
    <n v="41"/>
    <n v="743"/>
    <s v=""/>
    <x v="3"/>
    <n v="5.52"/>
    <n v="86.96"/>
    <n v="156.53"/>
    <n v="47.7"/>
    <n v="417.41999999999996"/>
    <x v="0"/>
    <s v="8"/>
    <x v="11"/>
    <m/>
    <m/>
    <m/>
    <m/>
    <m/>
  </r>
  <r>
    <x v="202"/>
    <x v="4"/>
    <x v="0"/>
    <x v="19"/>
    <x v="4"/>
    <x v="18"/>
    <x v="1"/>
    <x v="0"/>
    <n v="3"/>
    <n v="16.34"/>
    <n v="7"/>
    <n v="472.36"/>
    <n v="52"/>
    <x v="5"/>
    <n v="21"/>
    <n v="334"/>
    <s v=""/>
    <x v="2"/>
    <n v="6.29"/>
    <n v="84.42"/>
    <n v="409.38"/>
    <n v="343.14"/>
    <n v="881.74"/>
    <x v="1"/>
    <s v="18"/>
    <x v="11"/>
    <m/>
    <m/>
    <m/>
    <m/>
    <m/>
  </r>
  <r>
    <x v="221"/>
    <x v="4"/>
    <x v="0"/>
    <x v="1"/>
    <x v="0"/>
    <x v="4"/>
    <x v="0"/>
    <x v="4"/>
    <n v="1"/>
    <n v="10.94"/>
    <n v="3"/>
    <n v="133.62"/>
    <n v="43"/>
    <x v="2"/>
    <n v="22"/>
    <n v="889"/>
    <s v=""/>
    <x v="0"/>
    <n v="2.4700000000000002"/>
    <n v="94.06"/>
    <n v="95.76"/>
    <n v="32.82"/>
    <n v="229.38"/>
    <x v="0"/>
    <s v="12"/>
    <x v="11"/>
    <m/>
    <m/>
    <m/>
    <m/>
    <m/>
  </r>
  <r>
    <x v="23"/>
    <x v="4"/>
    <x v="1"/>
    <x v="17"/>
    <x v="1"/>
    <x v="16"/>
    <x v="0"/>
    <x v="1"/>
    <n v="5"/>
    <n v="3.22"/>
    <n v="2"/>
    <n v="490.1"/>
    <n v="44"/>
    <x v="4"/>
    <n v="42"/>
    <n v="486"/>
    <s v=""/>
    <x v="0"/>
    <n v="8.64"/>
    <n v="77.72"/>
    <n v="359.41"/>
    <n v="32.200000000000003"/>
    <n v="849.51"/>
    <x v="2"/>
    <s v="4"/>
    <x v="11"/>
    <m/>
    <m/>
    <m/>
    <m/>
    <m/>
  </r>
  <r>
    <x v="42"/>
    <x v="0"/>
    <x v="1"/>
    <x v="12"/>
    <x v="3"/>
    <x v="14"/>
    <x v="4"/>
    <x v="0"/>
    <n v="3"/>
    <n v="3.45"/>
    <n v="8"/>
    <n v="497.43"/>
    <n v="46"/>
    <x v="4"/>
    <n v="10"/>
    <n v="946"/>
    <s v=""/>
    <x v="1"/>
    <n v="1.06"/>
    <n v="94.88"/>
    <n v="381.36"/>
    <n v="82.800000000000011"/>
    <n v="878.79"/>
    <x v="2"/>
    <s v="4"/>
    <x v="11"/>
    <m/>
    <m/>
    <m/>
    <m/>
    <m/>
  </r>
  <r>
    <x v="33"/>
    <x v="1"/>
    <x v="1"/>
    <x v="12"/>
    <x v="1"/>
    <x v="17"/>
    <x v="1"/>
    <x v="2"/>
    <n v="3"/>
    <n v="11.2"/>
    <n v="4"/>
    <n v="300.02999999999997"/>
    <n v="81"/>
    <x v="2"/>
    <n v="10"/>
    <n v="710"/>
    <s v=""/>
    <x v="4"/>
    <n v="1.41"/>
    <n v="94.18"/>
    <n v="405.04"/>
    <n v="134.39999999999998"/>
    <n v="705.06999999999994"/>
    <x v="0"/>
    <s v="12"/>
    <x v="11"/>
    <m/>
    <m/>
    <m/>
    <m/>
    <m/>
  </r>
  <r>
    <x v="168"/>
    <x v="0"/>
    <x v="1"/>
    <x v="11"/>
    <x v="1"/>
    <x v="6"/>
    <x v="1"/>
    <x v="0"/>
    <n v="5"/>
    <n v="18.79"/>
    <n v="8"/>
    <n v="126.56"/>
    <n v="80"/>
    <x v="3"/>
    <n v="29"/>
    <n v="137"/>
    <s v=""/>
    <x v="3"/>
    <n v="21.17"/>
    <n v="52.66"/>
    <n v="168.75"/>
    <n v="751.59999999999991"/>
    <n v="295.31"/>
    <x v="1"/>
    <s v="20"/>
    <x v="11"/>
    <m/>
    <m/>
    <m/>
    <m/>
    <m/>
  </r>
  <r>
    <x v="128"/>
    <x v="3"/>
    <x v="1"/>
    <x v="9"/>
    <x v="3"/>
    <x v="4"/>
    <x v="2"/>
    <x v="1"/>
    <n v="4"/>
    <n v="6.86"/>
    <n v="1"/>
    <n v="192.25"/>
    <n v="12"/>
    <x v="0"/>
    <n v="16"/>
    <n v="260"/>
    <s v=""/>
    <x v="3"/>
    <n v="6.15"/>
    <n v="83.7"/>
    <n v="38.450000000000003"/>
    <n v="27.44"/>
    <n v="230.7"/>
    <x v="0"/>
    <s v="8"/>
    <x v="11"/>
    <m/>
    <m/>
    <m/>
    <m/>
    <m/>
  </r>
  <r>
    <x v="170"/>
    <x v="3"/>
    <x v="1"/>
    <x v="5"/>
    <x v="1"/>
    <x v="12"/>
    <x v="3"/>
    <x v="2"/>
    <n v="5"/>
    <n v="17.52"/>
    <n v="5"/>
    <n v="241.02"/>
    <n v="83"/>
    <x v="0"/>
    <n v="1"/>
    <n v="561"/>
    <s v=""/>
    <x v="1"/>
    <n v="0.18"/>
    <n v="94.64"/>
    <n v="333.41"/>
    <n v="438"/>
    <n v="574.43000000000006"/>
    <x v="1"/>
    <s v="18"/>
    <x v="11"/>
    <m/>
    <m/>
    <m/>
    <m/>
    <m/>
  </r>
  <r>
    <x v="21"/>
    <x v="1"/>
    <x v="1"/>
    <x v="18"/>
    <x v="4"/>
    <x v="15"/>
    <x v="4"/>
    <x v="3"/>
    <n v="5"/>
    <n v="15.52"/>
    <n v="9"/>
    <n v="189.2"/>
    <n v="30"/>
    <x v="0"/>
    <n v="17"/>
    <n v="548"/>
    <s v=""/>
    <x v="1"/>
    <n v="3.1"/>
    <n v="88.8"/>
    <n v="94.6"/>
    <n v="698.4"/>
    <n v="283.79999999999995"/>
    <x v="1"/>
    <s v="16"/>
    <x v="11"/>
    <m/>
    <m/>
    <m/>
    <m/>
    <m/>
  </r>
  <r>
    <x v="37"/>
    <x v="0"/>
    <x v="2"/>
    <x v="8"/>
    <x v="3"/>
    <x v="0"/>
    <x v="3"/>
    <x v="2"/>
    <n v="4"/>
    <n v="5.71"/>
    <n v="1"/>
    <n v="176.29"/>
    <n v="16"/>
    <x v="0"/>
    <n v="30"/>
    <n v="216"/>
    <s v=""/>
    <x v="3"/>
    <n v="13.89"/>
    <n v="68.22"/>
    <n v="47.01"/>
    <n v="22.84"/>
    <n v="223.29999999999998"/>
    <x v="2"/>
    <s v="6"/>
    <x v="11"/>
    <m/>
    <m/>
    <m/>
    <m/>
    <m/>
  </r>
  <r>
    <x v="94"/>
    <x v="5"/>
    <x v="0"/>
    <x v="18"/>
    <x v="1"/>
    <x v="4"/>
    <x v="3"/>
    <x v="3"/>
    <n v="4"/>
    <n v="1.69"/>
    <n v="4"/>
    <n v="487.5"/>
    <n v="47"/>
    <x v="0"/>
    <n v="26"/>
    <n v="340"/>
    <s v=""/>
    <x v="2"/>
    <n v="7.65"/>
    <n v="80.7"/>
    <n v="381.88"/>
    <n v="27.04"/>
    <n v="869.38"/>
    <x v="2"/>
    <s v="2"/>
    <x v="11"/>
    <m/>
    <m/>
    <m/>
    <m/>
    <m/>
  </r>
  <r>
    <x v="242"/>
    <x v="4"/>
    <x v="1"/>
    <x v="7"/>
    <x v="2"/>
    <x v="5"/>
    <x v="4"/>
    <x v="2"/>
    <n v="4"/>
    <n v="2.94"/>
    <n v="6"/>
    <n v="119.01"/>
    <n v="55"/>
    <x v="2"/>
    <n v="46"/>
    <n v="125"/>
    <s v=""/>
    <x v="2"/>
    <n v="36.799999999999997"/>
    <n v="22.4"/>
    <n v="109.09"/>
    <n v="70.56"/>
    <n v="228.10000000000002"/>
    <x v="2"/>
    <s v="4"/>
    <x v="11"/>
    <m/>
    <m/>
    <m/>
    <m/>
    <m/>
  </r>
  <r>
    <x v="125"/>
    <x v="4"/>
    <x v="2"/>
    <x v="13"/>
    <x v="1"/>
    <x v="0"/>
    <x v="1"/>
    <x v="1"/>
    <n v="4"/>
    <n v="14.84"/>
    <n v="8"/>
    <n v="380"/>
    <n v="86"/>
    <x v="4"/>
    <n v="19"/>
    <n v="747"/>
    <s v=""/>
    <x v="4"/>
    <n v="2.54"/>
    <n v="90.92"/>
    <n v="544.66999999999996"/>
    <n v="474.88"/>
    <n v="924.67"/>
    <x v="0"/>
    <s v="16"/>
    <x v="11"/>
    <m/>
    <m/>
    <m/>
    <m/>
    <m/>
  </r>
  <r>
    <x v="226"/>
    <x v="1"/>
    <x v="2"/>
    <x v="7"/>
    <x v="4"/>
    <x v="9"/>
    <x v="4"/>
    <x v="1"/>
    <n v="4"/>
    <n v="4.79"/>
    <n v="3"/>
    <n v="50.18"/>
    <n v="67"/>
    <x v="3"/>
    <n v="21"/>
    <n v="661"/>
    <s v=""/>
    <x v="3"/>
    <n v="3.18"/>
    <n v="89.64"/>
    <n v="56.03"/>
    <n v="57.480000000000004"/>
    <n v="106.21000000000001"/>
    <x v="2"/>
    <s v="6"/>
    <x v="11"/>
    <m/>
    <m/>
    <m/>
    <m/>
    <m/>
  </r>
  <r>
    <x v="7"/>
    <x v="3"/>
    <x v="2"/>
    <x v="5"/>
    <x v="0"/>
    <x v="8"/>
    <x v="3"/>
    <x v="2"/>
    <n v="5"/>
    <n v="8.0500000000000007"/>
    <n v="5"/>
    <n v="318.27999999999997"/>
    <n v="53"/>
    <x v="5"/>
    <n v="17"/>
    <n v="905"/>
    <s v=""/>
    <x v="3"/>
    <n v="1.88"/>
    <n v="91.24"/>
    <n v="281.14999999999998"/>
    <n v="201.25000000000003"/>
    <n v="599.42999999999995"/>
    <x v="0"/>
    <s v="10"/>
    <x v="11"/>
    <m/>
    <m/>
    <m/>
    <m/>
    <m/>
  </r>
  <r>
    <x v="243"/>
    <x v="3"/>
    <x v="0"/>
    <x v="4"/>
    <x v="1"/>
    <x v="10"/>
    <x v="1"/>
    <x v="0"/>
    <n v="2"/>
    <n v="10.53"/>
    <n v="7"/>
    <n v="462.17"/>
    <n v="31"/>
    <x v="0"/>
    <n v="46"/>
    <n v="397"/>
    <s v=""/>
    <x v="3"/>
    <n v="11.59"/>
    <n v="74.819999999999993"/>
    <n v="238.79"/>
    <n v="147.41999999999999"/>
    <n v="700.96"/>
    <x v="0"/>
    <s v="12"/>
    <x v="11"/>
    <m/>
    <m/>
    <m/>
    <m/>
    <m/>
  </r>
  <r>
    <x v="168"/>
    <x v="4"/>
    <x v="1"/>
    <x v="5"/>
    <x v="0"/>
    <x v="16"/>
    <x v="0"/>
    <x v="1"/>
    <n v="2"/>
    <n v="14.78"/>
    <n v="1"/>
    <n v="179.57"/>
    <n v="13"/>
    <x v="2"/>
    <n v="40"/>
    <n v="904"/>
    <s v=""/>
    <x v="3"/>
    <n v="4.42"/>
    <n v="89.16"/>
    <n v="38.909999999999997"/>
    <n v="29.56"/>
    <n v="218.48"/>
    <x v="0"/>
    <s v="16"/>
    <x v="11"/>
    <m/>
    <m/>
    <m/>
    <m/>
    <m/>
  </r>
  <r>
    <x v="84"/>
    <x v="1"/>
    <x v="2"/>
    <x v="1"/>
    <x v="2"/>
    <x v="6"/>
    <x v="4"/>
    <x v="3"/>
    <n v="1"/>
    <n v="3.15"/>
    <n v="7"/>
    <n v="133.49"/>
    <n v="43"/>
    <x v="3"/>
    <n v="21"/>
    <n v="253"/>
    <s v=""/>
    <x v="1"/>
    <n v="8.3000000000000007"/>
    <n v="82.4"/>
    <n v="95.67"/>
    <n v="22.05"/>
    <n v="229.16000000000003"/>
    <x v="2"/>
    <s v="4"/>
    <x v="11"/>
    <m/>
    <m/>
    <m/>
    <m/>
    <m/>
  </r>
  <r>
    <x v="106"/>
    <x v="0"/>
    <x v="0"/>
    <x v="17"/>
    <x v="1"/>
    <x v="10"/>
    <x v="4"/>
    <x v="3"/>
    <n v="2"/>
    <n v="8.7200000000000006"/>
    <n v="8"/>
    <n v="343.26"/>
    <n v="69"/>
    <x v="3"/>
    <n v="41"/>
    <n v="831"/>
    <s v=""/>
    <x v="0"/>
    <n v="4.93"/>
    <n v="88.14"/>
    <n v="394.75"/>
    <n v="139.52000000000001"/>
    <n v="738.01"/>
    <x v="0"/>
    <s v="10"/>
    <x v="11"/>
    <m/>
    <m/>
    <m/>
    <m/>
    <m/>
  </r>
  <r>
    <x v="244"/>
    <x v="3"/>
    <x v="0"/>
    <x v="3"/>
    <x v="3"/>
    <x v="10"/>
    <x v="1"/>
    <x v="4"/>
    <n v="2"/>
    <n v="10.220000000000001"/>
    <n v="8"/>
    <n v="370.67"/>
    <n v="75"/>
    <x v="3"/>
    <n v="40"/>
    <n v="751"/>
    <s v=""/>
    <x v="3"/>
    <n v="5.33"/>
    <n v="87.34"/>
    <n v="463.34"/>
    <n v="163.52000000000001"/>
    <n v="834.01"/>
    <x v="0"/>
    <s v="12"/>
    <x v="11"/>
    <m/>
    <m/>
    <m/>
    <m/>
    <m/>
  </r>
  <r>
    <x v="201"/>
    <x v="0"/>
    <x v="0"/>
    <x v="9"/>
    <x v="0"/>
    <x v="0"/>
    <x v="0"/>
    <x v="3"/>
    <n v="5"/>
    <n v="11.28"/>
    <n v="9"/>
    <n v="359.61"/>
    <n v="75"/>
    <x v="2"/>
    <n v="45"/>
    <n v="567"/>
    <s v=""/>
    <x v="0"/>
    <n v="7.94"/>
    <n v="79.12"/>
    <n v="449.51"/>
    <n v="507.59999999999997"/>
    <n v="809.12"/>
    <x v="0"/>
    <s v="12"/>
    <x v="11"/>
    <m/>
    <m/>
    <m/>
    <m/>
    <m/>
  </r>
  <r>
    <x v="245"/>
    <x v="3"/>
    <x v="2"/>
    <x v="2"/>
    <x v="2"/>
    <x v="9"/>
    <x v="0"/>
    <x v="4"/>
    <n v="4"/>
    <n v="16.55"/>
    <n v="6"/>
    <n v="193.69"/>
    <n v="11"/>
    <x v="5"/>
    <n v="49"/>
    <n v="148"/>
    <s v=""/>
    <x v="2"/>
    <n v="33.11"/>
    <n v="29.78"/>
    <n v="35.51"/>
    <n v="397.20000000000005"/>
    <n v="229.2"/>
    <x v="1"/>
    <s v="18"/>
    <x v="11"/>
    <m/>
    <m/>
    <m/>
    <m/>
    <m/>
  </r>
  <r>
    <x v="246"/>
    <x v="3"/>
    <x v="1"/>
    <x v="18"/>
    <x v="3"/>
    <x v="7"/>
    <x v="1"/>
    <x v="2"/>
    <n v="4"/>
    <n v="4.26"/>
    <n v="6"/>
    <n v="163.49"/>
    <n v="76"/>
    <x v="0"/>
    <n v="19"/>
    <n v="753"/>
    <s v=""/>
    <x v="4"/>
    <n v="2.52"/>
    <n v="90.96"/>
    <n v="207.09"/>
    <n v="102.24"/>
    <n v="370.58000000000004"/>
    <x v="2"/>
    <s v="6"/>
    <x v="11"/>
    <m/>
    <m/>
    <m/>
    <m/>
    <m/>
  </r>
  <r>
    <x v="247"/>
    <x v="2"/>
    <x v="2"/>
    <x v="6"/>
    <x v="3"/>
    <x v="1"/>
    <x v="2"/>
    <x v="2"/>
    <n v="5"/>
    <n v="16.350000000000001"/>
    <n v="2"/>
    <n v="480.16"/>
    <n v="84"/>
    <x v="3"/>
    <n v="7"/>
    <n v="145"/>
    <s v=""/>
    <x v="2"/>
    <n v="4.83"/>
    <n v="85.34"/>
    <n v="672.22"/>
    <n v="163.5"/>
    <n v="1152.3800000000001"/>
    <x v="1"/>
    <s v="18"/>
    <x v="11"/>
    <m/>
    <m/>
    <m/>
    <m/>
    <m/>
  </r>
  <r>
    <x v="179"/>
    <x v="3"/>
    <x v="2"/>
    <x v="6"/>
    <x v="3"/>
    <x v="14"/>
    <x v="4"/>
    <x v="2"/>
    <n v="2"/>
    <n v="14.16"/>
    <n v="3"/>
    <n v="465.48"/>
    <n v="71"/>
    <x v="2"/>
    <n v="17"/>
    <n v="774"/>
    <s v=""/>
    <x v="3"/>
    <n v="2.2000000000000002"/>
    <n v="93.6"/>
    <n v="550.82000000000005"/>
    <n v="84.960000000000008"/>
    <n v="1016.3000000000001"/>
    <x v="0"/>
    <s v="16"/>
    <x v="11"/>
    <m/>
    <m/>
    <m/>
    <m/>
    <m/>
  </r>
  <r>
    <x v="227"/>
    <x v="5"/>
    <x v="1"/>
    <x v="10"/>
    <x v="3"/>
    <x v="1"/>
    <x v="4"/>
    <x v="0"/>
    <n v="5"/>
    <n v="11.56"/>
    <n v="4"/>
    <n v="255.79"/>
    <n v="14"/>
    <x v="4"/>
    <n v="1"/>
    <n v="384"/>
    <s v=""/>
    <x v="2"/>
    <n v="0.26"/>
    <n v="94.48"/>
    <n v="59.68"/>
    <n v="231.20000000000002"/>
    <n v="315.46999999999997"/>
    <x v="0"/>
    <s v="12"/>
    <x v="11"/>
    <m/>
    <m/>
    <m/>
    <m/>
    <m/>
  </r>
  <r>
    <x v="248"/>
    <x v="1"/>
    <x v="1"/>
    <x v="6"/>
    <x v="1"/>
    <x v="18"/>
    <x v="3"/>
    <x v="0"/>
    <n v="1"/>
    <n v="14.29"/>
    <n v="4"/>
    <n v="430.79"/>
    <n v="75"/>
    <x v="2"/>
    <n v="37"/>
    <n v="879"/>
    <s v=""/>
    <x v="1"/>
    <n v="4.21"/>
    <n v="90.58"/>
    <n v="538.49"/>
    <n v="57.16"/>
    <n v="969.28"/>
    <x v="0"/>
    <s v="16"/>
    <x v="11"/>
    <m/>
    <m/>
    <m/>
    <m/>
    <m/>
  </r>
  <r>
    <x v="77"/>
    <x v="1"/>
    <x v="1"/>
    <x v="18"/>
    <x v="1"/>
    <x v="4"/>
    <x v="1"/>
    <x v="4"/>
    <n v="4"/>
    <n v="8.83"/>
    <n v="8"/>
    <n v="253.55"/>
    <n v="89"/>
    <x v="2"/>
    <n v="6"/>
    <n v="727"/>
    <s v=""/>
    <x v="0"/>
    <n v="0.83"/>
    <n v="94.34"/>
    <n v="376.1"/>
    <n v="282.56"/>
    <n v="629.65000000000009"/>
    <x v="0"/>
    <s v="10"/>
    <x v="11"/>
    <m/>
    <m/>
    <m/>
    <m/>
    <m/>
  </r>
  <r>
    <x v="65"/>
    <x v="0"/>
    <x v="0"/>
    <x v="0"/>
    <x v="1"/>
    <x v="5"/>
    <x v="3"/>
    <x v="3"/>
    <n v="3"/>
    <n v="3.63"/>
    <n v="1"/>
    <n v="240.98"/>
    <n v="57"/>
    <x v="2"/>
    <n v="26"/>
    <n v="181"/>
    <s v=""/>
    <x v="3"/>
    <n v="14.36"/>
    <n v="68.28"/>
    <n v="228.93"/>
    <n v="10.89"/>
    <n v="469.90999999999997"/>
    <x v="2"/>
    <s v="4"/>
    <x v="11"/>
    <m/>
    <m/>
    <m/>
    <m/>
    <m/>
  </r>
  <r>
    <x v="58"/>
    <x v="3"/>
    <x v="1"/>
    <x v="18"/>
    <x v="2"/>
    <x v="9"/>
    <x v="3"/>
    <x v="3"/>
    <n v="1"/>
    <n v="13.65"/>
    <n v="4"/>
    <n v="120.54"/>
    <n v="61"/>
    <x v="3"/>
    <n v="2"/>
    <n v="143"/>
    <s v=""/>
    <x v="1"/>
    <n v="1.4"/>
    <n v="96.2"/>
    <n v="122.55"/>
    <n v="54.6"/>
    <n v="243.09"/>
    <x v="0"/>
    <s v="14"/>
    <x v="11"/>
    <m/>
    <m/>
    <m/>
    <m/>
    <m/>
  </r>
  <r>
    <x v="225"/>
    <x v="5"/>
    <x v="2"/>
    <x v="2"/>
    <x v="2"/>
    <x v="19"/>
    <x v="0"/>
    <x v="2"/>
    <n v="1"/>
    <n v="10.97"/>
    <n v="4"/>
    <n v="241.88"/>
    <n v="31"/>
    <x v="2"/>
    <n v="32"/>
    <n v="805"/>
    <s v=""/>
    <x v="0"/>
    <n v="3.98"/>
    <n v="91.04"/>
    <n v="124.97"/>
    <n v="43.88"/>
    <n v="366.85"/>
    <x v="0"/>
    <s v="12"/>
    <x v="11"/>
    <m/>
    <m/>
    <m/>
    <m/>
    <m/>
  </r>
  <r>
    <x v="151"/>
    <x v="0"/>
    <x v="1"/>
    <x v="3"/>
    <x v="2"/>
    <x v="19"/>
    <x v="4"/>
    <x v="1"/>
    <n v="5"/>
    <n v="13.15"/>
    <n v="1"/>
    <n v="291.83999999999997"/>
    <n v="58"/>
    <x v="4"/>
    <n v="48"/>
    <n v="869"/>
    <s v=""/>
    <x v="1"/>
    <n v="5.52"/>
    <n v="83.96"/>
    <n v="282.11"/>
    <n v="65.75"/>
    <n v="573.95000000000005"/>
    <x v="0"/>
    <s v="14"/>
    <x v="11"/>
    <m/>
    <m/>
    <m/>
    <m/>
    <m/>
  </r>
  <r>
    <x v="94"/>
    <x v="2"/>
    <x v="2"/>
    <x v="13"/>
    <x v="4"/>
    <x v="19"/>
    <x v="3"/>
    <x v="0"/>
    <n v="2"/>
    <n v="7.42"/>
    <n v="3"/>
    <n v="60.13"/>
    <n v="8"/>
    <x v="3"/>
    <n v="5"/>
    <n v="372"/>
    <s v=""/>
    <x v="2"/>
    <n v="1.34"/>
    <n v="95.32"/>
    <n v="8.02"/>
    <n v="44.519999999999996"/>
    <n v="68.150000000000006"/>
    <x v="0"/>
    <s v="8"/>
    <x v="11"/>
    <m/>
    <m/>
    <m/>
    <m/>
    <m/>
  </r>
  <r>
    <x v="224"/>
    <x v="0"/>
    <x v="0"/>
    <x v="11"/>
    <x v="2"/>
    <x v="6"/>
    <x v="0"/>
    <x v="0"/>
    <n v="4"/>
    <n v="18.23"/>
    <n v="5"/>
    <n v="249.85"/>
    <n v="27"/>
    <x v="4"/>
    <n v="37"/>
    <n v="493"/>
    <s v=""/>
    <x v="3"/>
    <n v="7.51"/>
    <n v="80.98"/>
    <n v="112.43"/>
    <n v="364.6"/>
    <n v="362.28"/>
    <x v="1"/>
    <s v="20"/>
    <x v="11"/>
    <m/>
    <m/>
    <m/>
    <m/>
    <m/>
  </r>
  <r>
    <x v="86"/>
    <x v="0"/>
    <x v="2"/>
    <x v="6"/>
    <x v="1"/>
    <x v="8"/>
    <x v="1"/>
    <x v="2"/>
    <n v="3"/>
    <n v="12.16"/>
    <n v="6"/>
    <n v="401.61"/>
    <n v="52"/>
    <x v="1"/>
    <n v="31"/>
    <n v="885"/>
    <s v=""/>
    <x v="2"/>
    <n v="3.5"/>
    <n v="90"/>
    <n v="348.06"/>
    <n v="218.88"/>
    <n v="749.67000000000007"/>
    <x v="0"/>
    <s v="14"/>
    <x v="11"/>
    <m/>
    <m/>
    <m/>
    <m/>
    <m/>
  </r>
  <r>
    <x v="249"/>
    <x v="3"/>
    <x v="2"/>
    <x v="11"/>
    <x v="1"/>
    <x v="11"/>
    <x v="3"/>
    <x v="0"/>
    <n v="1"/>
    <n v="2.62"/>
    <n v="9"/>
    <n v="356.02"/>
    <n v="87"/>
    <x v="2"/>
    <n v="12"/>
    <n v="889"/>
    <s v=""/>
    <x v="4"/>
    <n v="1.35"/>
    <n v="96.3"/>
    <n v="516.23"/>
    <n v="23.580000000000002"/>
    <n v="872.25"/>
    <x v="2"/>
    <s v="4"/>
    <x v="11"/>
    <m/>
    <m/>
    <m/>
    <m/>
    <m/>
  </r>
  <r>
    <x v="207"/>
    <x v="2"/>
    <x v="1"/>
    <x v="12"/>
    <x v="4"/>
    <x v="6"/>
    <x v="4"/>
    <x v="2"/>
    <n v="3"/>
    <n v="9.5500000000000007"/>
    <n v="9"/>
    <n v="335.82"/>
    <n v="46"/>
    <x v="0"/>
    <n v="35"/>
    <n v="694"/>
    <s v=""/>
    <x v="3"/>
    <n v="5.04"/>
    <n v="86.92"/>
    <n v="257.45999999999998"/>
    <n v="257.85000000000002"/>
    <n v="593.28"/>
    <x v="0"/>
    <s v="10"/>
    <x v="11"/>
    <m/>
    <m/>
    <m/>
    <m/>
    <m/>
  </r>
  <r>
    <x v="67"/>
    <x v="0"/>
    <x v="1"/>
    <x v="11"/>
    <x v="4"/>
    <x v="0"/>
    <x v="3"/>
    <x v="4"/>
    <n v="2"/>
    <n v="15.37"/>
    <n v="9"/>
    <n v="459.3"/>
    <n v="7"/>
    <x v="0"/>
    <n v="30"/>
    <n v="157"/>
    <s v=""/>
    <x v="2"/>
    <n v="19.11"/>
    <n v="59.78"/>
    <n v="53.58"/>
    <n v="276.65999999999997"/>
    <n v="512.88"/>
    <x v="1"/>
    <s v="16"/>
    <x v="11"/>
    <m/>
    <m/>
    <m/>
    <m/>
    <m/>
  </r>
  <r>
    <x v="168"/>
    <x v="5"/>
    <x v="2"/>
    <x v="1"/>
    <x v="2"/>
    <x v="17"/>
    <x v="1"/>
    <x v="3"/>
    <n v="2"/>
    <n v="16.09"/>
    <n v="1"/>
    <n v="58.11"/>
    <n v="7"/>
    <x v="3"/>
    <n v="48"/>
    <n v="664"/>
    <s v=""/>
    <x v="3"/>
    <n v="7.23"/>
    <n v="83.54"/>
    <n v="6.78"/>
    <n v="32.18"/>
    <n v="64.89"/>
    <x v="1"/>
    <s v="18"/>
    <x v="11"/>
    <m/>
    <m/>
    <m/>
    <m/>
    <m/>
  </r>
  <r>
    <x v="83"/>
    <x v="5"/>
    <x v="1"/>
    <x v="6"/>
    <x v="0"/>
    <x v="5"/>
    <x v="3"/>
    <x v="1"/>
    <n v="3"/>
    <n v="10.4"/>
    <n v="9"/>
    <n v="300.67"/>
    <n v="32"/>
    <x v="0"/>
    <n v="6"/>
    <n v="100"/>
    <s v=""/>
    <x v="0"/>
    <n v="6"/>
    <n v="85"/>
    <n v="160.36000000000001"/>
    <n v="280.8"/>
    <n v="461.03000000000003"/>
    <x v="0"/>
    <s v="12"/>
    <x v="11"/>
    <m/>
    <m/>
    <m/>
    <m/>
    <m/>
  </r>
  <r>
    <x v="94"/>
    <x v="1"/>
    <x v="0"/>
    <x v="15"/>
    <x v="4"/>
    <x v="4"/>
    <x v="4"/>
    <x v="3"/>
    <n v="4"/>
    <n v="18"/>
    <n v="8"/>
    <n v="404.31"/>
    <n v="67"/>
    <x v="3"/>
    <n v="15"/>
    <n v="315"/>
    <s v=""/>
    <x v="3"/>
    <n v="4.76"/>
    <n v="86.48"/>
    <n v="451.48"/>
    <n v="576"/>
    <n v="855.79"/>
    <x v="1"/>
    <s v="18"/>
    <x v="11"/>
    <m/>
    <m/>
    <m/>
    <m/>
    <m/>
  </r>
  <r>
    <x v="25"/>
    <x v="2"/>
    <x v="0"/>
    <x v="19"/>
    <x v="3"/>
    <x v="11"/>
    <x v="0"/>
    <x v="3"/>
    <n v="2"/>
    <n v="6.09"/>
    <n v="2"/>
    <n v="293.60000000000002"/>
    <n v="85"/>
    <x v="2"/>
    <n v="15"/>
    <n v="416"/>
    <s v=""/>
    <x v="3"/>
    <n v="3.61"/>
    <n v="90.78"/>
    <n v="415.93"/>
    <n v="24.36"/>
    <n v="709.53"/>
    <x v="0"/>
    <s v="8"/>
    <x v="11"/>
    <m/>
    <m/>
    <m/>
    <m/>
    <m/>
  </r>
  <r>
    <x v="57"/>
    <x v="2"/>
    <x v="1"/>
    <x v="19"/>
    <x v="1"/>
    <x v="2"/>
    <x v="4"/>
    <x v="4"/>
    <n v="3"/>
    <n v="8.8000000000000007"/>
    <n v="1"/>
    <n v="195.75"/>
    <n v="35"/>
    <x v="5"/>
    <n v="16"/>
    <n v="327"/>
    <s v=""/>
    <x v="0"/>
    <n v="4.8899999999999997"/>
    <n v="87.22"/>
    <n v="114.19"/>
    <n v="26.400000000000002"/>
    <n v="309.94"/>
    <x v="0"/>
    <s v="10"/>
    <x v="11"/>
    <m/>
    <m/>
    <m/>
    <m/>
    <m/>
  </r>
  <r>
    <x v="250"/>
    <x v="1"/>
    <x v="0"/>
    <x v="14"/>
    <x v="3"/>
    <x v="17"/>
    <x v="0"/>
    <x v="0"/>
    <n v="1"/>
    <n v="18.07"/>
    <n v="1"/>
    <n v="111.31"/>
    <n v="14"/>
    <x v="5"/>
    <n v="20"/>
    <n v="572"/>
    <s v="Kontrol tekrarlandı"/>
    <x v="2"/>
    <n v="3.5"/>
    <n v="92"/>
    <n v="25.97"/>
    <n v="18.07"/>
    <n v="137.28"/>
    <x v="1"/>
    <s v="20"/>
    <x v="11"/>
    <m/>
    <m/>
    <m/>
    <m/>
    <m/>
  </r>
  <r>
    <x v="44"/>
    <x v="0"/>
    <x v="1"/>
    <x v="7"/>
    <x v="1"/>
    <x v="10"/>
    <x v="2"/>
    <x v="1"/>
    <n v="3"/>
    <n v="18.03"/>
    <n v="6"/>
    <n v="449.4"/>
    <n v="53"/>
    <x v="4"/>
    <n v="13"/>
    <n v="583"/>
    <s v=""/>
    <x v="3"/>
    <n v="2.23"/>
    <n v="92.54"/>
    <n v="396.97"/>
    <n v="324.54000000000002"/>
    <n v="846.37"/>
    <x v="1"/>
    <s v="20"/>
    <x v="11"/>
    <m/>
    <m/>
    <m/>
    <m/>
    <m/>
  </r>
  <r>
    <x v="230"/>
    <x v="2"/>
    <x v="2"/>
    <x v="7"/>
    <x v="1"/>
    <x v="13"/>
    <x v="4"/>
    <x v="0"/>
    <n v="3"/>
    <n v="14.03"/>
    <n v="9"/>
    <n v="261.83999999999997"/>
    <n v="25"/>
    <x v="2"/>
    <n v="44"/>
    <n v="865"/>
    <s v=""/>
    <x v="1"/>
    <n v="5.09"/>
    <n v="86.82"/>
    <n v="109.1"/>
    <n v="378.81"/>
    <n v="370.93999999999994"/>
    <x v="0"/>
    <s v="16"/>
    <x v="11"/>
    <m/>
    <m/>
    <m/>
    <m/>
    <m/>
  </r>
  <r>
    <x v="222"/>
    <x v="5"/>
    <x v="2"/>
    <x v="15"/>
    <x v="4"/>
    <x v="9"/>
    <x v="4"/>
    <x v="3"/>
    <n v="5"/>
    <n v="17.32"/>
    <n v="7"/>
    <n v="445.15"/>
    <n v="57"/>
    <x v="0"/>
    <n v="42"/>
    <n v="770"/>
    <s v=""/>
    <x v="3"/>
    <n v="5.45"/>
    <n v="84.1"/>
    <n v="422.89"/>
    <n v="606.20000000000005"/>
    <n v="868.04"/>
    <x v="1"/>
    <s v="18"/>
    <x v="11"/>
    <m/>
    <m/>
    <m/>
    <m/>
    <m/>
  </r>
  <r>
    <x v="215"/>
    <x v="5"/>
    <x v="0"/>
    <x v="8"/>
    <x v="4"/>
    <x v="8"/>
    <x v="1"/>
    <x v="2"/>
    <n v="2"/>
    <n v="2.69"/>
    <n v="5"/>
    <n v="313.63"/>
    <n v="80"/>
    <x v="2"/>
    <n v="46"/>
    <n v="386"/>
    <s v=""/>
    <x v="2"/>
    <n v="11.92"/>
    <n v="74.16"/>
    <n v="418.17"/>
    <n v="26.9"/>
    <n v="731.8"/>
    <x v="2"/>
    <s v="4"/>
    <x v="11"/>
    <m/>
    <m/>
    <m/>
    <m/>
    <m/>
  </r>
  <r>
    <x v="251"/>
    <x v="3"/>
    <x v="1"/>
    <x v="16"/>
    <x v="3"/>
    <x v="1"/>
    <x v="3"/>
    <x v="3"/>
    <n v="4"/>
    <n v="17.43"/>
    <n v="2"/>
    <n v="353.39"/>
    <n v="58"/>
    <x v="1"/>
    <n v="31"/>
    <n v="610"/>
    <s v=""/>
    <x v="0"/>
    <n v="5.08"/>
    <n v="85.84"/>
    <n v="341.61"/>
    <n v="139.44"/>
    <n v="695"/>
    <x v="1"/>
    <s v="18"/>
    <x v="11"/>
    <m/>
    <m/>
    <m/>
    <m/>
    <m/>
  </r>
  <r>
    <x v="25"/>
    <x v="2"/>
    <x v="1"/>
    <x v="10"/>
    <x v="1"/>
    <x v="2"/>
    <x v="0"/>
    <x v="0"/>
    <n v="4"/>
    <n v="7.09"/>
    <n v="1"/>
    <n v="411.92"/>
    <n v="61"/>
    <x v="5"/>
    <n v="34"/>
    <n v="677"/>
    <s v=""/>
    <x v="2"/>
    <n v="5.0199999999999996"/>
    <n v="85.96"/>
    <n v="418.79"/>
    <n v="28.36"/>
    <n v="830.71"/>
    <x v="0"/>
    <s v="8"/>
    <x v="11"/>
    <m/>
    <m/>
    <m/>
    <m/>
    <m/>
  </r>
  <r>
    <x v="252"/>
    <x v="0"/>
    <x v="0"/>
    <x v="15"/>
    <x v="3"/>
    <x v="14"/>
    <x v="0"/>
    <x v="3"/>
    <n v="5"/>
    <n v="4.3899999999999997"/>
    <n v="2"/>
    <n v="346.62"/>
    <n v="24"/>
    <x v="0"/>
    <n v="29"/>
    <n v="920"/>
    <s v=""/>
    <x v="4"/>
    <n v="3.15"/>
    <n v="88.7"/>
    <n v="138.65"/>
    <n v="43.9"/>
    <n v="485.27"/>
    <x v="2"/>
    <s v="6"/>
    <x v="11"/>
    <m/>
    <m/>
    <m/>
    <m/>
    <m/>
  </r>
  <r>
    <x v="135"/>
    <x v="1"/>
    <x v="2"/>
    <x v="17"/>
    <x v="0"/>
    <x v="15"/>
    <x v="1"/>
    <x v="2"/>
    <n v="4"/>
    <n v="5.55"/>
    <n v="1"/>
    <n v="229.12"/>
    <n v="53"/>
    <x v="5"/>
    <n v="3"/>
    <n v="557"/>
    <s v=""/>
    <x v="3"/>
    <n v="0.54"/>
    <n v="94.92"/>
    <n v="202.39"/>
    <n v="22.2"/>
    <n v="431.51"/>
    <x v="2"/>
    <s v="6"/>
    <x v="11"/>
    <m/>
    <m/>
    <m/>
    <m/>
    <m/>
  </r>
  <r>
    <x v="253"/>
    <x v="1"/>
    <x v="0"/>
    <x v="17"/>
    <x v="3"/>
    <x v="13"/>
    <x v="1"/>
    <x v="4"/>
    <n v="3"/>
    <n v="8.94"/>
    <n v="3"/>
    <n v="281.14"/>
    <n v="11"/>
    <x v="2"/>
    <n v="9"/>
    <n v="194"/>
    <s v=""/>
    <x v="3"/>
    <n v="4.6399999999999997"/>
    <n v="87.72"/>
    <n v="51.54"/>
    <n v="80.459999999999994"/>
    <n v="332.68"/>
    <x v="0"/>
    <s v="10"/>
    <x v="11"/>
    <m/>
    <m/>
    <m/>
    <m/>
    <m/>
  </r>
  <r>
    <x v="60"/>
    <x v="0"/>
    <x v="2"/>
    <x v="7"/>
    <x v="2"/>
    <x v="11"/>
    <x v="3"/>
    <x v="0"/>
    <n v="5"/>
    <n v="5.77"/>
    <n v="6"/>
    <n v="411.37"/>
    <n v="33"/>
    <x v="0"/>
    <n v="11"/>
    <n v="592"/>
    <s v=""/>
    <x v="0"/>
    <n v="1.86"/>
    <n v="91.28"/>
    <n v="226.25"/>
    <n v="173.1"/>
    <n v="637.62"/>
    <x v="2"/>
    <s v="6"/>
    <x v="11"/>
    <m/>
    <m/>
    <m/>
    <m/>
    <m/>
  </r>
  <r>
    <x v="143"/>
    <x v="4"/>
    <x v="1"/>
    <x v="9"/>
    <x v="3"/>
    <x v="12"/>
    <x v="3"/>
    <x v="3"/>
    <n v="1"/>
    <n v="7.09"/>
    <n v="8"/>
    <n v="218.14"/>
    <n v="52"/>
    <x v="4"/>
    <n v="11"/>
    <n v="864"/>
    <s v=""/>
    <x v="3"/>
    <n v="1.27"/>
    <n v="96.46"/>
    <n v="189.05"/>
    <n v="56.72"/>
    <n v="407.19"/>
    <x v="0"/>
    <s v="8"/>
    <x v="11"/>
    <m/>
    <m/>
    <m/>
    <m/>
    <m/>
  </r>
  <r>
    <x v="99"/>
    <x v="3"/>
    <x v="2"/>
    <x v="15"/>
    <x v="2"/>
    <x v="8"/>
    <x v="4"/>
    <x v="0"/>
    <n v="2"/>
    <n v="3.56"/>
    <n v="3"/>
    <n v="224.65"/>
    <n v="17"/>
    <x v="2"/>
    <n v="25"/>
    <n v="249"/>
    <s v=""/>
    <x v="1"/>
    <n v="10.039999999999999"/>
    <n v="77.92"/>
    <n v="63.65"/>
    <n v="21.36"/>
    <n v="288.3"/>
    <x v="2"/>
    <s v="4"/>
    <x v="11"/>
    <m/>
    <m/>
    <m/>
    <m/>
    <m/>
  </r>
  <r>
    <x v="164"/>
    <x v="1"/>
    <x v="0"/>
    <x v="3"/>
    <x v="2"/>
    <x v="17"/>
    <x v="2"/>
    <x v="4"/>
    <n v="2"/>
    <n v="6.63"/>
    <n v="9"/>
    <n v="93.06"/>
    <n v="7"/>
    <x v="4"/>
    <n v="22"/>
    <n v="122"/>
    <s v=""/>
    <x v="1"/>
    <n v="18.03"/>
    <n v="61.94"/>
    <n v="10.86"/>
    <n v="119.34"/>
    <n v="103.92"/>
    <x v="0"/>
    <s v="8"/>
    <x v="11"/>
    <m/>
    <m/>
    <m/>
    <m/>
    <m/>
  </r>
  <r>
    <x v="254"/>
    <x v="2"/>
    <x v="1"/>
    <x v="10"/>
    <x v="2"/>
    <x v="1"/>
    <x v="3"/>
    <x v="3"/>
    <n v="2"/>
    <n v="11.87"/>
    <n v="5"/>
    <n v="461.56"/>
    <n v="6"/>
    <x v="0"/>
    <n v="42"/>
    <n v="855"/>
    <s v=""/>
    <x v="2"/>
    <n v="4.91"/>
    <n v="88.18"/>
    <n v="46.16"/>
    <n v="118.69999999999999"/>
    <n v="507.72"/>
    <x v="0"/>
    <s v="12"/>
    <x v="11"/>
    <m/>
    <m/>
    <m/>
    <m/>
    <m/>
  </r>
  <r>
    <x v="73"/>
    <x v="3"/>
    <x v="0"/>
    <x v="17"/>
    <x v="0"/>
    <x v="5"/>
    <x v="1"/>
    <x v="3"/>
    <n v="3"/>
    <n v="9.4"/>
    <n v="7"/>
    <n v="90.97"/>
    <n v="20"/>
    <x v="5"/>
    <n v="46"/>
    <n v="314"/>
    <s v=""/>
    <x v="0"/>
    <n v="14.65"/>
    <n v="67.7"/>
    <n v="30.32"/>
    <n v="197.4"/>
    <n v="121.28999999999999"/>
    <x v="0"/>
    <s v="10"/>
    <x v="11"/>
    <m/>
    <m/>
    <m/>
    <m/>
    <m/>
  </r>
  <r>
    <x v="255"/>
    <x v="2"/>
    <x v="0"/>
    <x v="12"/>
    <x v="3"/>
    <x v="7"/>
    <x v="3"/>
    <x v="0"/>
    <n v="1"/>
    <n v="7.59"/>
    <n v="8"/>
    <n v="341.69"/>
    <n v="10"/>
    <x v="1"/>
    <n v="9"/>
    <n v="498"/>
    <s v=""/>
    <x v="4"/>
    <n v="1.81"/>
    <n v="95.38"/>
    <n v="56.95"/>
    <n v="60.72"/>
    <n v="398.64"/>
    <x v="0"/>
    <s v="8"/>
    <x v="11"/>
    <m/>
    <m/>
    <m/>
    <m/>
    <m/>
  </r>
  <r>
    <x v="98"/>
    <x v="5"/>
    <x v="2"/>
    <x v="15"/>
    <x v="3"/>
    <x v="2"/>
    <x v="0"/>
    <x v="0"/>
    <n v="5"/>
    <n v="15.18"/>
    <n v="3"/>
    <n v="235.94"/>
    <n v="49"/>
    <x v="3"/>
    <n v="20"/>
    <n v="509"/>
    <s v=""/>
    <x v="2"/>
    <n v="3.93"/>
    <n v="87.14"/>
    <n v="192.68"/>
    <n v="227.7"/>
    <n v="428.62"/>
    <x v="1"/>
    <s v="16"/>
    <x v="11"/>
    <m/>
    <m/>
    <m/>
    <m/>
    <m/>
  </r>
  <r>
    <x v="192"/>
    <x v="3"/>
    <x v="0"/>
    <x v="1"/>
    <x v="0"/>
    <x v="7"/>
    <x v="2"/>
    <x v="2"/>
    <n v="5"/>
    <n v="17.98"/>
    <n v="2"/>
    <n v="232.53"/>
    <n v="75"/>
    <x v="5"/>
    <n v="21"/>
    <n v="230"/>
    <s v=""/>
    <x v="0"/>
    <n v="9.1300000000000008"/>
    <n v="76.739999999999995"/>
    <n v="290.66000000000003"/>
    <n v="179.8"/>
    <n v="523.19000000000005"/>
    <x v="1"/>
    <s v="18"/>
    <x v="11"/>
    <m/>
    <m/>
    <m/>
    <m/>
    <m/>
  </r>
  <r>
    <x v="249"/>
    <x v="1"/>
    <x v="2"/>
    <x v="15"/>
    <x v="1"/>
    <x v="15"/>
    <x v="4"/>
    <x v="4"/>
    <n v="2"/>
    <n v="15.38"/>
    <n v="2"/>
    <n v="355.8"/>
    <n v="9"/>
    <x v="4"/>
    <n v="10"/>
    <n v="954"/>
    <s v=""/>
    <x v="0"/>
    <n v="1.05"/>
    <n v="95.9"/>
    <n v="53.37"/>
    <n v="61.52"/>
    <n v="409.17"/>
    <x v="1"/>
    <s v="16"/>
    <x v="11"/>
    <m/>
    <m/>
    <m/>
    <m/>
    <m/>
  </r>
  <r>
    <x v="109"/>
    <x v="3"/>
    <x v="1"/>
    <x v="10"/>
    <x v="4"/>
    <x v="7"/>
    <x v="0"/>
    <x v="2"/>
    <n v="1"/>
    <n v="7.31"/>
    <n v="5"/>
    <n v="80.19"/>
    <n v="60"/>
    <x v="2"/>
    <n v="22"/>
    <n v="247"/>
    <s v=""/>
    <x v="2"/>
    <n v="8.91"/>
    <n v="81.180000000000007"/>
    <n v="80.19"/>
    <n v="36.549999999999997"/>
    <n v="160.38"/>
    <x v="0"/>
    <s v="8"/>
    <x v="11"/>
    <m/>
    <m/>
    <m/>
    <m/>
    <m/>
  </r>
  <r>
    <x v="216"/>
    <x v="3"/>
    <x v="2"/>
    <x v="10"/>
    <x v="3"/>
    <x v="10"/>
    <x v="0"/>
    <x v="3"/>
    <n v="1"/>
    <n v="15.14"/>
    <n v="1"/>
    <n v="317.17"/>
    <n v="75"/>
    <x v="0"/>
    <n v="29"/>
    <n v="480"/>
    <s v=""/>
    <x v="2"/>
    <n v="6.04"/>
    <n v="86.92"/>
    <n v="396.46"/>
    <n v="15.14"/>
    <n v="713.63"/>
    <x v="1"/>
    <s v="16"/>
    <x v="11"/>
    <m/>
    <m/>
    <m/>
    <m/>
    <m/>
  </r>
  <r>
    <x v="102"/>
    <x v="3"/>
    <x v="1"/>
    <x v="18"/>
    <x v="4"/>
    <x v="19"/>
    <x v="2"/>
    <x v="0"/>
    <n v="1"/>
    <n v="3.89"/>
    <n v="2"/>
    <n v="397.41"/>
    <n v="36"/>
    <x v="5"/>
    <n v="9"/>
    <n v="208"/>
    <s v=""/>
    <x v="3"/>
    <n v="4.33"/>
    <n v="90.34"/>
    <n v="238.45"/>
    <n v="7.78"/>
    <n v="635.86"/>
    <x v="2"/>
    <s v="4"/>
    <x v="11"/>
    <m/>
    <m/>
    <m/>
    <m/>
    <m/>
  </r>
  <r>
    <x v="195"/>
    <x v="4"/>
    <x v="2"/>
    <x v="9"/>
    <x v="0"/>
    <x v="17"/>
    <x v="4"/>
    <x v="3"/>
    <n v="4"/>
    <n v="3.48"/>
    <n v="9"/>
    <n v="422.7"/>
    <n v="53"/>
    <x v="1"/>
    <n v="5"/>
    <n v="651"/>
    <s v=""/>
    <x v="4"/>
    <n v="0.77"/>
    <n v="94.46"/>
    <n v="373.38"/>
    <n v="125.28"/>
    <n v="796.07999999999993"/>
    <x v="2"/>
    <s v="4"/>
    <x v="11"/>
    <m/>
    <m/>
    <m/>
    <m/>
    <m/>
  </r>
  <r>
    <x v="175"/>
    <x v="3"/>
    <x v="0"/>
    <x v="13"/>
    <x v="1"/>
    <x v="4"/>
    <x v="1"/>
    <x v="3"/>
    <n v="4"/>
    <n v="7.57"/>
    <n v="7"/>
    <n v="126.74"/>
    <n v="17"/>
    <x v="0"/>
    <n v="40"/>
    <n v="220"/>
    <s v=""/>
    <x v="1"/>
    <n v="18.18"/>
    <n v="59.64"/>
    <n v="35.909999999999997"/>
    <n v="211.96"/>
    <n v="162.64999999999998"/>
    <x v="0"/>
    <s v="8"/>
    <x v="11"/>
    <m/>
    <m/>
    <m/>
    <m/>
    <m/>
  </r>
  <r>
    <x v="209"/>
    <x v="2"/>
    <x v="2"/>
    <x v="0"/>
    <x v="1"/>
    <x v="4"/>
    <x v="4"/>
    <x v="1"/>
    <n v="2"/>
    <n v="16.350000000000001"/>
    <n v="6"/>
    <n v="453.84"/>
    <n v="34"/>
    <x v="4"/>
    <n v="11"/>
    <n v="394"/>
    <s v=""/>
    <x v="3"/>
    <n v="2.79"/>
    <n v="92.42"/>
    <n v="257.18"/>
    <n v="196.20000000000002"/>
    <n v="711.02"/>
    <x v="1"/>
    <s v="18"/>
    <x v="11"/>
    <m/>
    <m/>
    <m/>
    <m/>
    <m/>
  </r>
  <r>
    <x v="221"/>
    <x v="5"/>
    <x v="2"/>
    <x v="15"/>
    <x v="1"/>
    <x v="4"/>
    <x v="3"/>
    <x v="1"/>
    <n v="1"/>
    <n v="5.68"/>
    <n v="9"/>
    <n v="345.27"/>
    <n v="29"/>
    <x v="0"/>
    <n v="1"/>
    <n v="219"/>
    <s v=""/>
    <x v="0"/>
    <n v="0.46"/>
    <n v="98.08"/>
    <n v="166.88"/>
    <n v="51.12"/>
    <n v="512.15"/>
    <x v="2"/>
    <s v="6"/>
    <x v="11"/>
    <m/>
    <m/>
    <m/>
    <m/>
    <m/>
  </r>
  <r>
    <x v="118"/>
    <x v="0"/>
    <x v="1"/>
    <x v="10"/>
    <x v="0"/>
    <x v="10"/>
    <x v="0"/>
    <x v="3"/>
    <n v="1"/>
    <n v="2.2000000000000002"/>
    <n v="7"/>
    <n v="446.83"/>
    <n v="89"/>
    <x v="0"/>
    <n v="42"/>
    <n v="555"/>
    <s v=""/>
    <x v="4"/>
    <n v="7.57"/>
    <n v="83.86"/>
    <n v="662.8"/>
    <n v="15.400000000000002"/>
    <n v="1109.6299999999999"/>
    <x v="2"/>
    <s v="4"/>
    <x v="11"/>
    <m/>
    <m/>
    <m/>
    <m/>
    <m/>
  </r>
  <r>
    <x v="256"/>
    <x v="3"/>
    <x v="0"/>
    <x v="14"/>
    <x v="2"/>
    <x v="6"/>
    <x v="3"/>
    <x v="0"/>
    <n v="5"/>
    <n v="3.5"/>
    <n v="5"/>
    <n v="268.38"/>
    <n v="64"/>
    <x v="2"/>
    <n v="1"/>
    <n v="629"/>
    <s v="Rutin kontrol"/>
    <x v="4"/>
    <n v="0.16"/>
    <n v="94.68"/>
    <n v="286.27"/>
    <n v="87.5"/>
    <n v="554.65"/>
    <x v="2"/>
    <s v="4"/>
    <x v="11"/>
    <m/>
    <m/>
    <m/>
    <m/>
    <m/>
  </r>
  <r>
    <x v="13"/>
    <x v="1"/>
    <x v="2"/>
    <x v="5"/>
    <x v="2"/>
    <x v="15"/>
    <x v="1"/>
    <x v="3"/>
    <n v="5"/>
    <n v="17.32"/>
    <n v="9"/>
    <n v="293.92"/>
    <n v="63"/>
    <x v="3"/>
    <n v="39"/>
    <n v="268"/>
    <s v=""/>
    <x v="2"/>
    <n v="14.55"/>
    <n v="65.900000000000006"/>
    <n v="308.62"/>
    <n v="779.4"/>
    <n v="602.54"/>
    <x v="1"/>
    <s v="18"/>
    <x v="11"/>
    <m/>
    <m/>
    <m/>
    <m/>
    <m/>
  </r>
  <r>
    <x v="257"/>
    <x v="3"/>
    <x v="0"/>
    <x v="3"/>
    <x v="4"/>
    <x v="7"/>
    <x v="3"/>
    <x v="1"/>
    <n v="2"/>
    <n v="13.04"/>
    <n v="6"/>
    <n v="463.57"/>
    <n v="89"/>
    <x v="4"/>
    <n v="46"/>
    <n v="809"/>
    <s v=""/>
    <x v="4"/>
    <n v="5.69"/>
    <n v="86.62"/>
    <n v="687.63"/>
    <n v="156.47999999999999"/>
    <n v="1151.2"/>
    <x v="0"/>
    <s v="14"/>
    <x v="11"/>
    <m/>
    <m/>
    <m/>
    <m/>
    <m/>
  </r>
  <r>
    <x v="222"/>
    <x v="1"/>
    <x v="2"/>
    <x v="5"/>
    <x v="2"/>
    <x v="15"/>
    <x v="4"/>
    <x v="0"/>
    <n v="1"/>
    <n v="5.81"/>
    <n v="6"/>
    <n v="454.96"/>
    <n v="32"/>
    <x v="2"/>
    <n v="5"/>
    <n v="242"/>
    <s v=""/>
    <x v="4"/>
    <n v="2.0699999999999998"/>
    <n v="94.86"/>
    <n v="242.65"/>
    <n v="34.86"/>
    <n v="697.61"/>
    <x v="2"/>
    <s v="6"/>
    <x v="11"/>
    <m/>
    <m/>
    <m/>
    <m/>
    <m/>
  </r>
  <r>
    <x v="248"/>
    <x v="2"/>
    <x v="2"/>
    <x v="3"/>
    <x v="2"/>
    <x v="19"/>
    <x v="3"/>
    <x v="3"/>
    <n v="2"/>
    <n v="11.55"/>
    <n v="4"/>
    <n v="251.67"/>
    <n v="62"/>
    <x v="3"/>
    <n v="49"/>
    <n v="136"/>
    <s v=""/>
    <x v="0"/>
    <n v="36.03"/>
    <n v="25.94"/>
    <n v="260.06"/>
    <n v="92.4"/>
    <n v="511.73"/>
    <x v="0"/>
    <s v="12"/>
    <x v="11"/>
    <m/>
    <m/>
    <m/>
    <m/>
    <m/>
  </r>
  <r>
    <x v="258"/>
    <x v="1"/>
    <x v="0"/>
    <x v="10"/>
    <x v="1"/>
    <x v="0"/>
    <x v="1"/>
    <x v="4"/>
    <n v="5"/>
    <n v="11.02"/>
    <n v="1"/>
    <n v="173.49"/>
    <n v="24"/>
    <x v="2"/>
    <n v="22"/>
    <n v="797"/>
    <s v=""/>
    <x v="3"/>
    <n v="2.76"/>
    <n v="89.48"/>
    <n v="69.400000000000006"/>
    <n v="55.099999999999994"/>
    <n v="242.89000000000001"/>
    <x v="0"/>
    <s v="12"/>
    <x v="11"/>
    <m/>
    <m/>
    <m/>
    <m/>
    <m/>
  </r>
  <r>
    <x v="13"/>
    <x v="0"/>
    <x v="2"/>
    <x v="5"/>
    <x v="1"/>
    <x v="17"/>
    <x v="1"/>
    <x v="4"/>
    <n v="5"/>
    <n v="13.45"/>
    <n v="5"/>
    <n v="226.93"/>
    <n v="38"/>
    <x v="3"/>
    <n v="26"/>
    <n v="360"/>
    <s v=""/>
    <x v="4"/>
    <n v="7.22"/>
    <n v="80.56"/>
    <n v="143.72"/>
    <n v="336.25"/>
    <n v="370.65"/>
    <x v="0"/>
    <s v="14"/>
    <x v="11"/>
    <m/>
    <m/>
    <m/>
    <m/>
    <m/>
  </r>
  <r>
    <x v="117"/>
    <x v="5"/>
    <x v="0"/>
    <x v="7"/>
    <x v="4"/>
    <x v="8"/>
    <x v="1"/>
    <x v="3"/>
    <n v="4"/>
    <n v="5.43"/>
    <n v="9"/>
    <n v="224.49"/>
    <n v="9"/>
    <x v="3"/>
    <n v="6"/>
    <n v="330"/>
    <s v=""/>
    <x v="2"/>
    <n v="1.82"/>
    <n v="92.36"/>
    <n v="33.67"/>
    <n v="195.48"/>
    <n v="258.16000000000003"/>
    <x v="2"/>
    <s v="6"/>
    <x v="11"/>
    <m/>
    <m/>
    <m/>
    <m/>
    <m/>
  </r>
  <r>
    <x v="259"/>
    <x v="1"/>
    <x v="2"/>
    <x v="16"/>
    <x v="3"/>
    <x v="6"/>
    <x v="4"/>
    <x v="0"/>
    <n v="2"/>
    <n v="17.420000000000002"/>
    <n v="8"/>
    <n v="179.09"/>
    <n v="86"/>
    <x v="3"/>
    <n v="32"/>
    <n v="353"/>
    <s v=""/>
    <x v="3"/>
    <n v="9.07"/>
    <n v="79.86"/>
    <n v="256.7"/>
    <n v="278.72000000000003"/>
    <n v="435.78999999999996"/>
    <x v="1"/>
    <s v="18"/>
    <x v="11"/>
    <m/>
    <m/>
    <m/>
    <m/>
    <m/>
  </r>
  <r>
    <x v="97"/>
    <x v="1"/>
    <x v="1"/>
    <x v="12"/>
    <x v="4"/>
    <x v="16"/>
    <x v="1"/>
    <x v="3"/>
    <n v="2"/>
    <n v="6.88"/>
    <n v="8"/>
    <n v="170.86"/>
    <n v="64"/>
    <x v="2"/>
    <n v="48"/>
    <n v="428"/>
    <s v=""/>
    <x v="2"/>
    <n v="11.21"/>
    <n v="75.58"/>
    <n v="182.25"/>
    <n v="110.08"/>
    <n v="353.11"/>
    <x v="0"/>
    <s v="8"/>
    <x v="11"/>
    <m/>
    <m/>
    <m/>
    <m/>
    <m/>
  </r>
  <r>
    <x v="165"/>
    <x v="5"/>
    <x v="0"/>
    <x v="16"/>
    <x v="4"/>
    <x v="15"/>
    <x v="0"/>
    <x v="3"/>
    <n v="1"/>
    <n v="14.19"/>
    <n v="5"/>
    <n v="437.48"/>
    <n v="47"/>
    <x v="0"/>
    <n v="11"/>
    <n v="396"/>
    <s v=""/>
    <x v="4"/>
    <n v="2.78"/>
    <n v="93.44"/>
    <n v="342.69"/>
    <n v="70.95"/>
    <n v="780.17000000000007"/>
    <x v="0"/>
    <s v="16"/>
    <x v="11"/>
    <m/>
    <m/>
    <m/>
    <m/>
    <m/>
  </r>
  <r>
    <x v="252"/>
    <x v="0"/>
    <x v="2"/>
    <x v="2"/>
    <x v="0"/>
    <x v="14"/>
    <x v="1"/>
    <x v="1"/>
    <n v="1"/>
    <n v="1.31"/>
    <n v="9"/>
    <n v="81.44"/>
    <n v="61"/>
    <x v="3"/>
    <n v="10"/>
    <n v="109"/>
    <s v=""/>
    <x v="3"/>
    <n v="9.17"/>
    <n v="80.66"/>
    <n v="82.8"/>
    <n v="11.790000000000001"/>
    <n v="164.24"/>
    <x v="2"/>
    <s v="2"/>
    <x v="11"/>
    <m/>
    <m/>
    <m/>
    <m/>
    <m/>
  </r>
  <r>
    <x v="231"/>
    <x v="3"/>
    <x v="2"/>
    <x v="17"/>
    <x v="0"/>
    <x v="16"/>
    <x v="3"/>
    <x v="4"/>
    <n v="4"/>
    <n v="8.08"/>
    <n v="3"/>
    <n v="354.93"/>
    <n v="61"/>
    <x v="0"/>
    <n v="47"/>
    <n v="545"/>
    <s v=""/>
    <x v="4"/>
    <n v="8.6199999999999992"/>
    <n v="78.760000000000005"/>
    <n v="360.85"/>
    <n v="96.960000000000008"/>
    <n v="715.78"/>
    <x v="0"/>
    <s v="10"/>
    <x v="11"/>
    <m/>
    <m/>
    <m/>
    <m/>
    <m/>
  </r>
  <r>
    <x v="254"/>
    <x v="1"/>
    <x v="1"/>
    <x v="7"/>
    <x v="4"/>
    <x v="8"/>
    <x v="3"/>
    <x v="1"/>
    <n v="3"/>
    <n v="7.68"/>
    <n v="3"/>
    <n v="127.77"/>
    <n v="79"/>
    <x v="4"/>
    <n v="39"/>
    <n v="935"/>
    <s v=""/>
    <x v="0"/>
    <n v="4.17"/>
    <n v="88.66"/>
    <n v="168.23"/>
    <n v="69.12"/>
    <n v="296"/>
    <x v="0"/>
    <s v="8"/>
    <x v="11"/>
    <m/>
    <m/>
    <m/>
    <m/>
    <m/>
  </r>
  <r>
    <x v="183"/>
    <x v="5"/>
    <x v="0"/>
    <x v="18"/>
    <x v="4"/>
    <x v="12"/>
    <x v="3"/>
    <x v="1"/>
    <n v="3"/>
    <n v="11.33"/>
    <n v="1"/>
    <n v="205.03"/>
    <n v="58"/>
    <x v="1"/>
    <n v="34"/>
    <n v="329"/>
    <s v=""/>
    <x v="3"/>
    <n v="10.33"/>
    <n v="76.34"/>
    <n v="198.2"/>
    <n v="33.99"/>
    <n v="403.23"/>
    <x v="0"/>
    <s v="12"/>
    <x v="11"/>
    <m/>
    <m/>
    <m/>
    <m/>
    <m/>
  </r>
  <r>
    <x v="70"/>
    <x v="2"/>
    <x v="2"/>
    <x v="17"/>
    <x v="4"/>
    <x v="0"/>
    <x v="4"/>
    <x v="3"/>
    <n v="3"/>
    <n v="2.38"/>
    <n v="9"/>
    <n v="77.69"/>
    <n v="85"/>
    <x v="0"/>
    <n v="31"/>
    <n v="635"/>
    <s v=""/>
    <x v="2"/>
    <n v="4.88"/>
    <n v="87.24"/>
    <n v="110.06"/>
    <n v="64.259999999999991"/>
    <n v="187.75"/>
    <x v="2"/>
    <s v="4"/>
    <x v="11"/>
    <m/>
    <m/>
    <m/>
    <m/>
    <m/>
  </r>
  <r>
    <x v="13"/>
    <x v="5"/>
    <x v="1"/>
    <x v="19"/>
    <x v="2"/>
    <x v="1"/>
    <x v="3"/>
    <x v="1"/>
    <n v="2"/>
    <n v="16.010000000000002"/>
    <n v="6"/>
    <n v="171.49"/>
    <n v="49"/>
    <x v="1"/>
    <n v="12"/>
    <n v="177"/>
    <s v=""/>
    <x v="0"/>
    <n v="6.78"/>
    <n v="84.44"/>
    <n v="140.05000000000001"/>
    <n v="192.12"/>
    <n v="311.54000000000002"/>
    <x v="1"/>
    <s v="18"/>
    <x v="11"/>
    <m/>
    <m/>
    <m/>
    <m/>
    <m/>
  </r>
  <r>
    <x v="244"/>
    <x v="2"/>
    <x v="2"/>
    <x v="3"/>
    <x v="0"/>
    <x v="12"/>
    <x v="4"/>
    <x v="4"/>
    <n v="2"/>
    <n v="5.14"/>
    <n v="2"/>
    <n v="395.79"/>
    <n v="41"/>
    <x v="3"/>
    <n v="44"/>
    <n v="524"/>
    <s v=""/>
    <x v="1"/>
    <n v="8.4"/>
    <n v="81.2"/>
    <n v="270.45999999999998"/>
    <n v="20.56"/>
    <n v="666.25"/>
    <x v="2"/>
    <s v="6"/>
    <x v="11"/>
    <m/>
    <m/>
    <m/>
    <m/>
    <m/>
  </r>
  <r>
    <x v="166"/>
    <x v="0"/>
    <x v="0"/>
    <x v="8"/>
    <x v="4"/>
    <x v="1"/>
    <x v="4"/>
    <x v="1"/>
    <n v="5"/>
    <n v="13.86"/>
    <n v="8"/>
    <n v="448.26"/>
    <n v="88"/>
    <x v="1"/>
    <n v="16"/>
    <n v="292"/>
    <s v=""/>
    <x v="2"/>
    <n v="5.48"/>
    <n v="84.04"/>
    <n v="657.45"/>
    <n v="554.4"/>
    <n v="1105.71"/>
    <x v="0"/>
    <s v="14"/>
    <x v="11"/>
    <m/>
    <m/>
    <m/>
    <m/>
    <m/>
  </r>
  <r>
    <x v="192"/>
    <x v="3"/>
    <x v="2"/>
    <x v="12"/>
    <x v="1"/>
    <x v="3"/>
    <x v="1"/>
    <x v="4"/>
    <n v="2"/>
    <n v="16.260000000000002"/>
    <n v="9"/>
    <n v="149.69"/>
    <n v="52"/>
    <x v="1"/>
    <n v="38"/>
    <n v="500"/>
    <s v=""/>
    <x v="4"/>
    <n v="7.6"/>
    <n v="82.8"/>
    <n v="129.72999999999999"/>
    <n v="292.68"/>
    <n v="279.41999999999996"/>
    <x v="1"/>
    <s v="18"/>
    <x v="11"/>
    <m/>
    <m/>
    <m/>
    <m/>
    <m/>
  </r>
  <r>
    <x v="155"/>
    <x v="5"/>
    <x v="2"/>
    <x v="11"/>
    <x v="1"/>
    <x v="10"/>
    <x v="0"/>
    <x v="1"/>
    <n v="2"/>
    <n v="11.68"/>
    <n v="9"/>
    <n v="258.60000000000002"/>
    <n v="58"/>
    <x v="3"/>
    <n v="3"/>
    <n v="208"/>
    <s v=""/>
    <x v="2"/>
    <n v="1.44"/>
    <n v="95.12"/>
    <n v="249.98"/>
    <n v="210.24"/>
    <n v="508.58000000000004"/>
    <x v="0"/>
    <s v="12"/>
    <x v="11"/>
    <m/>
    <m/>
    <m/>
    <m/>
    <m/>
  </r>
  <r>
    <x v="16"/>
    <x v="4"/>
    <x v="2"/>
    <x v="17"/>
    <x v="2"/>
    <x v="18"/>
    <x v="1"/>
    <x v="4"/>
    <n v="2"/>
    <n v="15.08"/>
    <n v="2"/>
    <n v="261.64999999999998"/>
    <n v="52"/>
    <x v="0"/>
    <n v="2"/>
    <n v="891"/>
    <s v=""/>
    <x v="1"/>
    <n v="0.22"/>
    <n v="97.56"/>
    <n v="226.76"/>
    <n v="60.32"/>
    <n v="488.40999999999997"/>
    <x v="1"/>
    <s v="16"/>
    <x v="11"/>
    <m/>
    <m/>
    <m/>
    <m/>
    <m/>
  </r>
  <r>
    <x v="151"/>
    <x v="1"/>
    <x v="2"/>
    <x v="9"/>
    <x v="2"/>
    <x v="10"/>
    <x v="1"/>
    <x v="1"/>
    <n v="4"/>
    <n v="13.58"/>
    <n v="2"/>
    <n v="443.11"/>
    <n v="10"/>
    <x v="3"/>
    <n v="5"/>
    <n v="362"/>
    <s v=""/>
    <x v="2"/>
    <n v="1.38"/>
    <n v="93.24"/>
    <n v="73.849999999999994"/>
    <n v="108.64"/>
    <n v="516.96"/>
    <x v="0"/>
    <s v="14"/>
    <x v="11"/>
    <m/>
    <m/>
    <m/>
    <m/>
    <m/>
  </r>
  <r>
    <x v="11"/>
    <x v="0"/>
    <x v="1"/>
    <x v="0"/>
    <x v="3"/>
    <x v="5"/>
    <x v="4"/>
    <x v="1"/>
    <n v="2"/>
    <n v="7.76"/>
    <n v="7"/>
    <n v="393.26"/>
    <n v="38"/>
    <x v="4"/>
    <n v="11"/>
    <n v="428"/>
    <s v=""/>
    <x v="0"/>
    <n v="2.57"/>
    <n v="92.86"/>
    <n v="249.06"/>
    <n v="108.64"/>
    <n v="642.31999999999994"/>
    <x v="0"/>
    <s v="8"/>
    <x v="11"/>
    <m/>
    <m/>
    <m/>
    <m/>
    <m/>
  </r>
  <r>
    <x v="143"/>
    <x v="5"/>
    <x v="1"/>
    <x v="0"/>
    <x v="3"/>
    <x v="13"/>
    <x v="4"/>
    <x v="0"/>
    <n v="1"/>
    <n v="16.37"/>
    <n v="4"/>
    <n v="280.88"/>
    <n v="67"/>
    <x v="5"/>
    <n v="25"/>
    <n v="462"/>
    <s v=""/>
    <x v="2"/>
    <n v="5.41"/>
    <n v="88.18"/>
    <n v="313.64999999999998"/>
    <n v="65.48"/>
    <n v="594.53"/>
    <x v="1"/>
    <s v="18"/>
    <x v="11"/>
    <m/>
    <m/>
    <m/>
    <m/>
    <m/>
  </r>
  <r>
    <x v="260"/>
    <x v="1"/>
    <x v="0"/>
    <x v="5"/>
    <x v="3"/>
    <x v="7"/>
    <x v="3"/>
    <x v="4"/>
    <n v="1"/>
    <n v="6.6"/>
    <n v="1"/>
    <n v="351.84"/>
    <n v="82"/>
    <x v="2"/>
    <n v="35"/>
    <n v="966"/>
    <s v=""/>
    <x v="3"/>
    <n v="3.62"/>
    <n v="91.76"/>
    <n v="480.85"/>
    <n v="6.6"/>
    <n v="832.69"/>
    <x v="0"/>
    <s v="8"/>
    <x v="11"/>
    <m/>
    <m/>
    <m/>
    <m/>
    <m/>
  </r>
  <r>
    <x v="28"/>
    <x v="5"/>
    <x v="1"/>
    <x v="16"/>
    <x v="2"/>
    <x v="13"/>
    <x v="3"/>
    <x v="4"/>
    <n v="5"/>
    <n v="11.85"/>
    <n v="8"/>
    <n v="431.31"/>
    <n v="52"/>
    <x v="3"/>
    <n v="35"/>
    <n v="477"/>
    <s v=""/>
    <x v="1"/>
    <n v="7.34"/>
    <n v="80.319999999999993"/>
    <n v="373.8"/>
    <n v="474"/>
    <n v="805.11"/>
    <x v="0"/>
    <s v="12"/>
    <x v="11"/>
    <m/>
    <m/>
    <m/>
    <m/>
    <m/>
  </r>
  <r>
    <x v="123"/>
    <x v="2"/>
    <x v="1"/>
    <x v="11"/>
    <x v="2"/>
    <x v="0"/>
    <x v="1"/>
    <x v="4"/>
    <n v="4"/>
    <n v="15.16"/>
    <n v="2"/>
    <n v="54.29"/>
    <n v="27"/>
    <x v="3"/>
    <n v="22"/>
    <n v="879"/>
    <s v=""/>
    <x v="2"/>
    <n v="2.5"/>
    <n v="91"/>
    <n v="24.43"/>
    <n v="121.28"/>
    <n v="78.72"/>
    <x v="1"/>
    <s v="16"/>
    <x v="11"/>
    <m/>
    <m/>
    <m/>
    <m/>
    <m/>
  </r>
  <r>
    <x v="113"/>
    <x v="5"/>
    <x v="0"/>
    <x v="16"/>
    <x v="2"/>
    <x v="0"/>
    <x v="2"/>
    <x v="2"/>
    <n v="1"/>
    <n v="8.1999999999999993"/>
    <n v="3"/>
    <n v="231.3"/>
    <n v="88"/>
    <x v="1"/>
    <n v="37"/>
    <n v="440"/>
    <s v=""/>
    <x v="1"/>
    <n v="8.41"/>
    <n v="82.18"/>
    <n v="339.24"/>
    <n v="24.599999999999998"/>
    <n v="570.54"/>
    <x v="0"/>
    <s v="10"/>
    <x v="11"/>
    <m/>
    <m/>
    <m/>
    <m/>
    <m/>
  </r>
  <r>
    <x v="258"/>
    <x v="4"/>
    <x v="1"/>
    <x v="11"/>
    <x v="1"/>
    <x v="5"/>
    <x v="2"/>
    <x v="1"/>
    <n v="4"/>
    <n v="6.75"/>
    <n v="5"/>
    <n v="458.26"/>
    <n v="17"/>
    <x v="4"/>
    <n v="22"/>
    <n v="358"/>
    <s v=""/>
    <x v="0"/>
    <n v="6.15"/>
    <n v="83.7"/>
    <n v="129.84"/>
    <n v="135"/>
    <n v="588.1"/>
    <x v="0"/>
    <s v="8"/>
    <x v="11"/>
    <m/>
    <m/>
    <m/>
    <m/>
    <m/>
  </r>
  <r>
    <x v="69"/>
    <x v="5"/>
    <x v="1"/>
    <x v="11"/>
    <x v="2"/>
    <x v="12"/>
    <x v="3"/>
    <x v="4"/>
    <n v="4"/>
    <n v="9.73"/>
    <n v="3"/>
    <n v="383.14"/>
    <n v="51"/>
    <x v="1"/>
    <n v="11"/>
    <n v="434"/>
    <s v=""/>
    <x v="3"/>
    <n v="2.5299999999999998"/>
    <n v="90.94"/>
    <n v="325.67"/>
    <n v="116.76"/>
    <n v="708.81"/>
    <x v="0"/>
    <s v="10"/>
    <x v="11"/>
    <m/>
    <m/>
    <m/>
    <m/>
    <m/>
  </r>
  <r>
    <x v="170"/>
    <x v="5"/>
    <x v="0"/>
    <x v="14"/>
    <x v="1"/>
    <x v="9"/>
    <x v="2"/>
    <x v="2"/>
    <n v="5"/>
    <n v="16.54"/>
    <n v="7"/>
    <n v="294.27999999999997"/>
    <n v="48"/>
    <x v="0"/>
    <n v="32"/>
    <n v="184"/>
    <s v="Eğitim önerildi"/>
    <x v="4"/>
    <n v="17.39"/>
    <n v="60.22"/>
    <n v="235.42"/>
    <n v="578.9"/>
    <n v="529.69999999999993"/>
    <x v="1"/>
    <s v="18"/>
    <x v="11"/>
    <m/>
    <m/>
    <m/>
    <m/>
    <m/>
  </r>
  <r>
    <x v="53"/>
    <x v="4"/>
    <x v="0"/>
    <x v="18"/>
    <x v="3"/>
    <x v="2"/>
    <x v="3"/>
    <x v="0"/>
    <n v="4"/>
    <n v="18.670000000000002"/>
    <n v="7"/>
    <n v="288.33999999999997"/>
    <n v="36"/>
    <x v="3"/>
    <n v="35"/>
    <n v="621"/>
    <s v=""/>
    <x v="2"/>
    <n v="5.64"/>
    <n v="84.72"/>
    <n v="173"/>
    <n v="522.76"/>
    <n v="461.34"/>
    <x v="1"/>
    <s v="20"/>
    <x v="11"/>
    <m/>
    <m/>
    <m/>
    <m/>
    <m/>
  </r>
  <r>
    <x v="231"/>
    <x v="0"/>
    <x v="0"/>
    <x v="19"/>
    <x v="3"/>
    <x v="9"/>
    <x v="4"/>
    <x v="4"/>
    <n v="2"/>
    <n v="11.36"/>
    <n v="2"/>
    <n v="206.5"/>
    <n v="30"/>
    <x v="3"/>
    <n v="31"/>
    <n v="900"/>
    <s v=""/>
    <x v="0"/>
    <n v="3.44"/>
    <n v="91.12"/>
    <n v="103.25"/>
    <n v="45.44"/>
    <n v="309.75"/>
    <x v="0"/>
    <s v="12"/>
    <x v="11"/>
    <m/>
    <m/>
    <m/>
    <m/>
    <m/>
  </r>
  <r>
    <x v="197"/>
    <x v="5"/>
    <x v="2"/>
    <x v="14"/>
    <x v="3"/>
    <x v="15"/>
    <x v="1"/>
    <x v="4"/>
    <n v="4"/>
    <n v="13.57"/>
    <n v="7"/>
    <n v="284.23"/>
    <n v="57"/>
    <x v="1"/>
    <n v="45"/>
    <n v="913"/>
    <s v="Kontrol tekrarlandı"/>
    <x v="1"/>
    <n v="4.93"/>
    <n v="86.14"/>
    <n v="270.02"/>
    <n v="379.96000000000004"/>
    <n v="554.25"/>
    <x v="0"/>
    <s v="14"/>
    <x v="11"/>
    <m/>
    <m/>
    <m/>
    <m/>
    <m/>
  </r>
  <r>
    <x v="214"/>
    <x v="4"/>
    <x v="2"/>
    <x v="0"/>
    <x v="4"/>
    <x v="3"/>
    <x v="0"/>
    <x v="2"/>
    <n v="5"/>
    <n v="18.16"/>
    <n v="6"/>
    <n v="344.92"/>
    <n v="18"/>
    <x v="3"/>
    <n v="8"/>
    <n v="670"/>
    <s v=""/>
    <x v="1"/>
    <n v="1.19"/>
    <n v="92.62"/>
    <n v="103.48"/>
    <n v="544.79999999999995"/>
    <n v="448.40000000000003"/>
    <x v="1"/>
    <s v="20"/>
    <x v="11"/>
    <m/>
    <m/>
    <m/>
    <m/>
    <m/>
  </r>
  <r>
    <x v="134"/>
    <x v="1"/>
    <x v="0"/>
    <x v="3"/>
    <x v="4"/>
    <x v="4"/>
    <x v="1"/>
    <x v="1"/>
    <n v="5"/>
    <n v="2.87"/>
    <n v="9"/>
    <n v="238.26"/>
    <n v="56"/>
    <x v="0"/>
    <n v="20"/>
    <n v="407"/>
    <s v=""/>
    <x v="0"/>
    <n v="4.91"/>
    <n v="85.18"/>
    <n v="222.38"/>
    <n v="129.15"/>
    <n v="460.64"/>
    <x v="2"/>
    <s v="4"/>
    <x v="11"/>
    <m/>
    <m/>
    <m/>
    <m/>
    <m/>
  </r>
  <r>
    <x v="232"/>
    <x v="2"/>
    <x v="0"/>
    <x v="8"/>
    <x v="0"/>
    <x v="3"/>
    <x v="3"/>
    <x v="0"/>
    <n v="5"/>
    <n v="5.41"/>
    <n v="9"/>
    <n v="371.37"/>
    <n v="40"/>
    <x v="5"/>
    <n v="42"/>
    <n v="361"/>
    <s v=""/>
    <x v="2"/>
    <n v="11.63"/>
    <n v="71.739999999999995"/>
    <n v="247.58"/>
    <n v="243.45000000000002"/>
    <n v="618.95000000000005"/>
    <x v="2"/>
    <s v="6"/>
    <x v="11"/>
    <m/>
    <m/>
    <m/>
    <m/>
    <m/>
  </r>
  <r>
    <x v="197"/>
    <x v="2"/>
    <x v="0"/>
    <x v="2"/>
    <x v="0"/>
    <x v="2"/>
    <x v="3"/>
    <x v="4"/>
    <n v="1"/>
    <n v="14.47"/>
    <n v="2"/>
    <n v="437.55"/>
    <n v="12"/>
    <x v="2"/>
    <n v="34"/>
    <n v="997"/>
    <s v=""/>
    <x v="4"/>
    <n v="3.41"/>
    <n v="92.18"/>
    <n v="87.51"/>
    <n v="28.94"/>
    <n v="525.06000000000006"/>
    <x v="0"/>
    <s v="16"/>
    <x v="11"/>
    <m/>
    <m/>
    <m/>
    <m/>
    <m/>
  </r>
  <r>
    <x v="124"/>
    <x v="5"/>
    <x v="2"/>
    <x v="18"/>
    <x v="0"/>
    <x v="12"/>
    <x v="1"/>
    <x v="1"/>
    <n v="2"/>
    <n v="16.649999999999999"/>
    <n v="7"/>
    <n v="119.61"/>
    <n v="44"/>
    <x v="2"/>
    <n v="4"/>
    <n v="896"/>
    <s v=""/>
    <x v="2"/>
    <n v="0.45"/>
    <n v="97.1"/>
    <n v="87.71"/>
    <n v="233.09999999999997"/>
    <n v="207.32"/>
    <x v="1"/>
    <s v="18"/>
    <x v="11"/>
    <m/>
    <m/>
    <m/>
    <m/>
    <m/>
  </r>
  <r>
    <x v="246"/>
    <x v="0"/>
    <x v="2"/>
    <x v="8"/>
    <x v="4"/>
    <x v="1"/>
    <x v="3"/>
    <x v="0"/>
    <n v="1"/>
    <n v="17.28"/>
    <n v="5"/>
    <n v="253.2"/>
    <n v="26"/>
    <x v="2"/>
    <n v="18"/>
    <n v="730"/>
    <s v=""/>
    <x v="3"/>
    <n v="2.4700000000000002"/>
    <n v="94.06"/>
    <n v="109.72"/>
    <n v="86.4"/>
    <n v="362.91999999999996"/>
    <x v="1"/>
    <s v="18"/>
    <x v="11"/>
    <m/>
    <m/>
    <m/>
    <m/>
    <m/>
  </r>
  <r>
    <x v="43"/>
    <x v="0"/>
    <x v="1"/>
    <x v="8"/>
    <x v="4"/>
    <x v="0"/>
    <x v="2"/>
    <x v="3"/>
    <n v="3"/>
    <n v="8.89"/>
    <n v="6"/>
    <n v="233.61"/>
    <n v="20"/>
    <x v="5"/>
    <n v="4"/>
    <n v="779"/>
    <s v=""/>
    <x v="2"/>
    <n v="0.51"/>
    <n v="95.98"/>
    <n v="77.87"/>
    <n v="160.02000000000001"/>
    <n v="311.48"/>
    <x v="0"/>
    <s v="10"/>
    <x v="11"/>
    <m/>
    <m/>
    <m/>
    <m/>
    <m/>
  </r>
  <r>
    <x v="71"/>
    <x v="1"/>
    <x v="1"/>
    <x v="16"/>
    <x v="0"/>
    <x v="2"/>
    <x v="2"/>
    <x v="3"/>
    <n v="2"/>
    <n v="2.7"/>
    <n v="1"/>
    <n v="359.36"/>
    <n v="64"/>
    <x v="3"/>
    <n v="20"/>
    <n v="964"/>
    <s v=""/>
    <x v="3"/>
    <n v="2.0699999999999998"/>
    <n v="93.86"/>
    <n v="383.32"/>
    <n v="5.4"/>
    <n v="742.68000000000006"/>
    <x v="2"/>
    <s v="4"/>
    <x v="11"/>
    <m/>
    <m/>
    <m/>
    <m/>
    <m/>
  </r>
  <r>
    <x v="222"/>
    <x v="5"/>
    <x v="0"/>
    <x v="13"/>
    <x v="0"/>
    <x v="18"/>
    <x v="3"/>
    <x v="0"/>
    <n v="4"/>
    <n v="9.32"/>
    <n v="7"/>
    <n v="162.44"/>
    <n v="64"/>
    <x v="1"/>
    <n v="9"/>
    <n v="800"/>
    <s v=""/>
    <x v="1"/>
    <n v="1.1200000000000001"/>
    <n v="93.76"/>
    <n v="173.27"/>
    <n v="260.96000000000004"/>
    <n v="335.71000000000004"/>
    <x v="0"/>
    <s v="10"/>
    <x v="11"/>
    <m/>
    <m/>
    <m/>
    <m/>
    <m/>
  </r>
  <r>
    <x v="261"/>
    <x v="2"/>
    <x v="2"/>
    <x v="16"/>
    <x v="2"/>
    <x v="16"/>
    <x v="3"/>
    <x v="2"/>
    <n v="5"/>
    <n v="5.38"/>
    <n v="6"/>
    <n v="338.11"/>
    <n v="14"/>
    <x v="4"/>
    <n v="16"/>
    <n v="551"/>
    <s v=""/>
    <x v="3"/>
    <n v="2.9"/>
    <n v="89.2"/>
    <n v="78.89"/>
    <n v="161.4"/>
    <n v="417"/>
    <x v="2"/>
    <s v="6"/>
    <x v="11"/>
    <m/>
    <m/>
    <m/>
    <m/>
    <m/>
  </r>
  <r>
    <x v="138"/>
    <x v="0"/>
    <x v="2"/>
    <x v="5"/>
    <x v="0"/>
    <x v="17"/>
    <x v="2"/>
    <x v="0"/>
    <n v="3"/>
    <n v="6.53"/>
    <n v="4"/>
    <n v="444.87"/>
    <n v="29"/>
    <x v="3"/>
    <n v="26"/>
    <n v="350"/>
    <s v=""/>
    <x v="4"/>
    <n v="7.43"/>
    <n v="82.14"/>
    <n v="215.02"/>
    <n v="78.36"/>
    <n v="659.89"/>
    <x v="0"/>
    <s v="8"/>
    <x v="11"/>
    <m/>
    <m/>
    <m/>
    <m/>
    <m/>
  </r>
  <r>
    <x v="85"/>
    <x v="5"/>
    <x v="2"/>
    <x v="6"/>
    <x v="2"/>
    <x v="12"/>
    <x v="3"/>
    <x v="0"/>
    <n v="2"/>
    <n v="15.67"/>
    <n v="1"/>
    <n v="238.16"/>
    <n v="35"/>
    <x v="5"/>
    <n v="38"/>
    <n v="423"/>
    <s v=""/>
    <x v="0"/>
    <n v="8.98"/>
    <n v="80.040000000000006"/>
    <n v="138.93"/>
    <n v="31.34"/>
    <n v="377.09000000000003"/>
    <x v="1"/>
    <s v="16"/>
    <x v="11"/>
    <m/>
    <m/>
    <m/>
    <m/>
    <m/>
  </r>
  <r>
    <x v="233"/>
    <x v="0"/>
    <x v="0"/>
    <x v="10"/>
    <x v="1"/>
    <x v="18"/>
    <x v="3"/>
    <x v="2"/>
    <n v="1"/>
    <n v="2.44"/>
    <n v="9"/>
    <n v="459.96"/>
    <n v="25"/>
    <x v="0"/>
    <n v="25"/>
    <n v="328"/>
    <s v=""/>
    <x v="3"/>
    <n v="7.62"/>
    <n v="83.76"/>
    <n v="191.65"/>
    <n v="21.96"/>
    <n v="651.61"/>
    <x v="2"/>
    <s v="4"/>
    <x v="11"/>
    <m/>
    <m/>
    <m/>
    <m/>
    <m/>
  </r>
  <r>
    <x v="262"/>
    <x v="4"/>
    <x v="1"/>
    <x v="4"/>
    <x v="4"/>
    <x v="4"/>
    <x v="1"/>
    <x v="2"/>
    <n v="5"/>
    <n v="16.72"/>
    <n v="4"/>
    <n v="496.92"/>
    <n v="85"/>
    <x v="5"/>
    <n v="4"/>
    <n v="801"/>
    <s v=""/>
    <x v="2"/>
    <n v="0.5"/>
    <n v="94"/>
    <n v="703.97"/>
    <n v="334.4"/>
    <n v="1200.8900000000001"/>
    <x v="1"/>
    <s v="18"/>
    <x v="11"/>
    <m/>
    <m/>
    <m/>
    <m/>
    <m/>
  </r>
  <r>
    <x v="179"/>
    <x v="0"/>
    <x v="0"/>
    <x v="14"/>
    <x v="0"/>
    <x v="13"/>
    <x v="0"/>
    <x v="1"/>
    <n v="1"/>
    <n v="9.1300000000000008"/>
    <n v="2"/>
    <n v="97.74"/>
    <n v="37"/>
    <x v="2"/>
    <n v="41"/>
    <n v="927"/>
    <s v="Makine ayarı değiştirildi"/>
    <x v="3"/>
    <n v="4.42"/>
    <n v="90.16"/>
    <n v="60.27"/>
    <n v="18.260000000000002"/>
    <n v="158.01"/>
    <x v="0"/>
    <s v="10"/>
    <x v="11"/>
    <m/>
    <m/>
    <m/>
    <m/>
    <m/>
  </r>
  <r>
    <x v="198"/>
    <x v="2"/>
    <x v="1"/>
    <x v="10"/>
    <x v="4"/>
    <x v="4"/>
    <x v="2"/>
    <x v="1"/>
    <n v="2"/>
    <n v="12.33"/>
    <n v="8"/>
    <n v="154.87"/>
    <n v="35"/>
    <x v="3"/>
    <n v="45"/>
    <n v="735"/>
    <s v=""/>
    <x v="1"/>
    <n v="6.12"/>
    <n v="85.76"/>
    <n v="90.34"/>
    <n v="197.28"/>
    <n v="245.21"/>
    <x v="0"/>
    <s v="14"/>
    <x v="11"/>
    <m/>
    <m/>
    <m/>
    <m/>
    <m/>
  </r>
  <r>
    <x v="236"/>
    <x v="3"/>
    <x v="1"/>
    <x v="8"/>
    <x v="4"/>
    <x v="10"/>
    <x v="1"/>
    <x v="2"/>
    <n v="2"/>
    <n v="2.7"/>
    <n v="2"/>
    <n v="477.67"/>
    <n v="25"/>
    <x v="2"/>
    <n v="41"/>
    <n v="695"/>
    <s v=""/>
    <x v="3"/>
    <n v="5.9"/>
    <n v="86.2"/>
    <n v="199.03"/>
    <n v="10.8"/>
    <n v="676.7"/>
    <x v="2"/>
    <s v="4"/>
    <x v="11"/>
    <m/>
    <m/>
    <m/>
    <m/>
    <m/>
  </r>
  <r>
    <x v="164"/>
    <x v="1"/>
    <x v="0"/>
    <x v="5"/>
    <x v="4"/>
    <x v="12"/>
    <x v="0"/>
    <x v="3"/>
    <n v="3"/>
    <n v="7.41"/>
    <n v="5"/>
    <n v="481.25"/>
    <n v="40"/>
    <x v="4"/>
    <n v="38"/>
    <n v="396"/>
    <s v=""/>
    <x v="4"/>
    <n v="9.6"/>
    <n v="77.8"/>
    <n v="320.83"/>
    <n v="111.15"/>
    <n v="802.07999999999993"/>
    <x v="0"/>
    <s v="8"/>
    <x v="11"/>
    <m/>
    <m/>
    <m/>
    <m/>
    <m/>
  </r>
  <r>
    <x v="64"/>
    <x v="1"/>
    <x v="1"/>
    <x v="8"/>
    <x v="1"/>
    <x v="16"/>
    <x v="3"/>
    <x v="3"/>
    <n v="4"/>
    <n v="2.7"/>
    <n v="6"/>
    <n v="93.97"/>
    <n v="69"/>
    <x v="0"/>
    <n v="19"/>
    <n v="826"/>
    <s v=""/>
    <x v="3"/>
    <n v="2.2999999999999998"/>
    <n v="91.4"/>
    <n v="108.07"/>
    <n v="64.800000000000011"/>
    <n v="202.04"/>
    <x v="2"/>
    <s v="4"/>
    <x v="11"/>
    <m/>
    <m/>
    <m/>
    <m/>
    <m/>
  </r>
  <r>
    <x v="41"/>
    <x v="2"/>
    <x v="1"/>
    <x v="2"/>
    <x v="3"/>
    <x v="6"/>
    <x v="3"/>
    <x v="0"/>
    <n v="1"/>
    <n v="19.27"/>
    <n v="8"/>
    <n v="56.75"/>
    <n v="8"/>
    <x v="2"/>
    <n v="14"/>
    <n v="336"/>
    <s v=""/>
    <x v="4"/>
    <n v="4.17"/>
    <n v="90.66"/>
    <n v="7.57"/>
    <n v="154.16"/>
    <n v="64.319999999999993"/>
    <x v="1"/>
    <s v="20"/>
    <x v="11"/>
    <m/>
    <m/>
    <m/>
    <m/>
    <m/>
  </r>
  <r>
    <x v="60"/>
    <x v="0"/>
    <x v="2"/>
    <x v="14"/>
    <x v="0"/>
    <x v="4"/>
    <x v="1"/>
    <x v="4"/>
    <n v="3"/>
    <n v="16.34"/>
    <n v="1"/>
    <n v="122.5"/>
    <n v="72"/>
    <x v="4"/>
    <n v="21"/>
    <n v="724"/>
    <s v="Rutin kontrol"/>
    <x v="2"/>
    <n v="2.9"/>
    <n v="91.2"/>
    <n v="147"/>
    <n v="49.019999999999996"/>
    <n v="269.5"/>
    <x v="1"/>
    <s v="18"/>
    <x v="11"/>
    <m/>
    <m/>
    <m/>
    <m/>
    <m/>
  </r>
  <r>
    <x v="168"/>
    <x v="5"/>
    <x v="1"/>
    <x v="5"/>
    <x v="3"/>
    <x v="19"/>
    <x v="3"/>
    <x v="0"/>
    <n v="5"/>
    <n v="9.73"/>
    <n v="1"/>
    <n v="498.21"/>
    <n v="8"/>
    <x v="5"/>
    <n v="15"/>
    <n v="316"/>
    <s v=""/>
    <x v="1"/>
    <n v="4.75"/>
    <n v="85.5"/>
    <n v="66.430000000000007"/>
    <n v="48.650000000000006"/>
    <n v="564.64"/>
    <x v="0"/>
    <s v="10"/>
    <x v="11"/>
    <m/>
    <m/>
    <m/>
    <m/>
    <m/>
  </r>
  <r>
    <x v="148"/>
    <x v="0"/>
    <x v="0"/>
    <x v="6"/>
    <x v="3"/>
    <x v="3"/>
    <x v="4"/>
    <x v="0"/>
    <n v="4"/>
    <n v="5.25"/>
    <n v="4"/>
    <n v="131"/>
    <n v="13"/>
    <x v="2"/>
    <n v="3"/>
    <n v="932"/>
    <s v=""/>
    <x v="0"/>
    <n v="0.32"/>
    <n v="95.36"/>
    <n v="28.38"/>
    <n v="84"/>
    <n v="159.38"/>
    <x v="2"/>
    <s v="6"/>
    <x v="11"/>
    <m/>
    <m/>
    <m/>
    <m/>
    <m/>
  </r>
  <r>
    <x v="29"/>
    <x v="2"/>
    <x v="0"/>
    <x v="12"/>
    <x v="3"/>
    <x v="12"/>
    <x v="1"/>
    <x v="4"/>
    <n v="3"/>
    <n v="18.739999999999998"/>
    <n v="5"/>
    <n v="276.14999999999998"/>
    <n v="34"/>
    <x v="2"/>
    <n v="37"/>
    <n v="345"/>
    <s v=""/>
    <x v="2"/>
    <n v="10.72"/>
    <n v="75.56"/>
    <n v="156.47999999999999"/>
    <n v="281.09999999999997"/>
    <n v="432.63"/>
    <x v="1"/>
    <s v="20"/>
    <x v="11"/>
    <m/>
    <m/>
    <m/>
    <m/>
    <m/>
  </r>
  <r>
    <x v="66"/>
    <x v="1"/>
    <x v="1"/>
    <x v="16"/>
    <x v="4"/>
    <x v="17"/>
    <x v="0"/>
    <x v="2"/>
    <n v="1"/>
    <n v="7.55"/>
    <n v="9"/>
    <n v="431.79"/>
    <n v="49"/>
    <x v="1"/>
    <n v="46"/>
    <n v="547"/>
    <s v=""/>
    <x v="2"/>
    <n v="8.41"/>
    <n v="82.18"/>
    <n v="352.63"/>
    <n v="67.95"/>
    <n v="784.42000000000007"/>
    <x v="0"/>
    <s v="8"/>
    <x v="11"/>
    <m/>
    <m/>
    <m/>
    <m/>
    <m/>
  </r>
  <r>
    <x v="257"/>
    <x v="0"/>
    <x v="2"/>
    <x v="10"/>
    <x v="2"/>
    <x v="9"/>
    <x v="1"/>
    <x v="3"/>
    <n v="2"/>
    <n v="4.0599999999999996"/>
    <n v="7"/>
    <n v="59.18"/>
    <n v="8"/>
    <x v="0"/>
    <n v="16"/>
    <n v="946"/>
    <s v=""/>
    <x v="0"/>
    <n v="1.69"/>
    <n v="94.62"/>
    <n v="7.89"/>
    <n v="56.839999999999996"/>
    <n v="67.069999999999993"/>
    <x v="2"/>
    <s v="6"/>
    <x v="11"/>
    <m/>
    <m/>
    <m/>
    <m/>
    <m/>
  </r>
  <r>
    <x v="98"/>
    <x v="1"/>
    <x v="2"/>
    <x v="17"/>
    <x v="4"/>
    <x v="15"/>
    <x v="2"/>
    <x v="0"/>
    <n v="5"/>
    <n v="11.7"/>
    <n v="7"/>
    <n v="322.02"/>
    <n v="73"/>
    <x v="0"/>
    <n v="14"/>
    <n v="418"/>
    <s v=""/>
    <x v="3"/>
    <n v="3.35"/>
    <n v="88.3"/>
    <n v="391.79"/>
    <n v="409.5"/>
    <n v="713.81"/>
    <x v="0"/>
    <s v="12"/>
    <x v="11"/>
    <m/>
    <m/>
    <m/>
    <m/>
    <m/>
  </r>
  <r>
    <x v="120"/>
    <x v="5"/>
    <x v="1"/>
    <x v="8"/>
    <x v="4"/>
    <x v="19"/>
    <x v="1"/>
    <x v="4"/>
    <n v="1"/>
    <n v="18.93"/>
    <n v="8"/>
    <n v="174.66"/>
    <n v="27"/>
    <x v="5"/>
    <n v="9"/>
    <n v="531"/>
    <s v=""/>
    <x v="3"/>
    <n v="1.69"/>
    <n v="95.62"/>
    <n v="78.599999999999994"/>
    <n v="151.44"/>
    <n v="253.26"/>
    <x v="1"/>
    <s v="20"/>
    <x v="11"/>
    <m/>
    <m/>
    <m/>
    <m/>
    <m/>
  </r>
  <r>
    <x v="204"/>
    <x v="1"/>
    <x v="1"/>
    <x v="1"/>
    <x v="3"/>
    <x v="7"/>
    <x v="3"/>
    <x v="1"/>
    <n v="4"/>
    <n v="1.07"/>
    <n v="5"/>
    <n v="438.05"/>
    <n v="20"/>
    <x v="1"/>
    <n v="47"/>
    <n v="503"/>
    <s v=""/>
    <x v="3"/>
    <n v="9.34"/>
    <n v="77.319999999999993"/>
    <n v="146.02000000000001"/>
    <n v="21.400000000000002"/>
    <n v="584.07000000000005"/>
    <x v="2"/>
    <s v="2"/>
    <x v="11"/>
    <m/>
    <m/>
    <m/>
    <m/>
    <m/>
  </r>
  <r>
    <x v="151"/>
    <x v="1"/>
    <x v="0"/>
    <x v="7"/>
    <x v="4"/>
    <x v="1"/>
    <x v="3"/>
    <x v="0"/>
    <n v="4"/>
    <n v="5.52"/>
    <n v="5"/>
    <n v="177.56"/>
    <n v="26"/>
    <x v="4"/>
    <n v="7"/>
    <n v="985"/>
    <s v=""/>
    <x v="1"/>
    <n v="0.71"/>
    <n v="94.58"/>
    <n v="76.94"/>
    <n v="110.39999999999999"/>
    <n v="254.5"/>
    <x v="2"/>
    <s v="6"/>
    <x v="11"/>
    <m/>
    <m/>
    <m/>
    <m/>
    <m/>
  </r>
  <r>
    <x v="138"/>
    <x v="3"/>
    <x v="1"/>
    <x v="2"/>
    <x v="3"/>
    <x v="10"/>
    <x v="4"/>
    <x v="3"/>
    <n v="2"/>
    <n v="18.829999999999998"/>
    <n v="1"/>
    <n v="359.04"/>
    <n v="76"/>
    <x v="4"/>
    <n v="14"/>
    <n v="136"/>
    <s v=""/>
    <x v="2"/>
    <n v="10.29"/>
    <n v="77.42"/>
    <n v="454.78"/>
    <n v="37.659999999999997"/>
    <n v="813.81999999999994"/>
    <x v="1"/>
    <s v="20"/>
    <x v="11"/>
    <m/>
    <m/>
    <m/>
    <m/>
    <m/>
  </r>
  <r>
    <x v="107"/>
    <x v="3"/>
    <x v="2"/>
    <x v="17"/>
    <x v="2"/>
    <x v="1"/>
    <x v="4"/>
    <x v="2"/>
    <n v="2"/>
    <n v="4.25"/>
    <n v="9"/>
    <n v="353.4"/>
    <n v="52"/>
    <x v="5"/>
    <n v="6"/>
    <n v="675"/>
    <s v=""/>
    <x v="4"/>
    <n v="0.89"/>
    <n v="96.22"/>
    <n v="306.27999999999997"/>
    <n v="76.5"/>
    <n v="659.68"/>
    <x v="2"/>
    <s v="6"/>
    <x v="11"/>
    <m/>
    <m/>
    <m/>
    <m/>
    <m/>
  </r>
  <r>
    <x v="105"/>
    <x v="4"/>
    <x v="1"/>
    <x v="13"/>
    <x v="0"/>
    <x v="0"/>
    <x v="4"/>
    <x v="0"/>
    <n v="5"/>
    <n v="3.15"/>
    <n v="6"/>
    <n v="149.66999999999999"/>
    <n v="66"/>
    <x v="0"/>
    <n v="21"/>
    <n v="830"/>
    <s v=""/>
    <x v="0"/>
    <n v="2.5299999999999998"/>
    <n v="89.94"/>
    <n v="164.64"/>
    <n v="94.5"/>
    <n v="314.30999999999995"/>
    <x v="2"/>
    <s v="4"/>
    <x v="11"/>
    <m/>
    <m/>
    <m/>
    <m/>
    <m/>
  </r>
  <r>
    <x v="258"/>
    <x v="3"/>
    <x v="0"/>
    <x v="6"/>
    <x v="3"/>
    <x v="17"/>
    <x v="0"/>
    <x v="0"/>
    <n v="5"/>
    <n v="11.83"/>
    <n v="9"/>
    <n v="65.66"/>
    <n v="64"/>
    <x v="4"/>
    <n v="15"/>
    <n v="441"/>
    <s v=""/>
    <x v="2"/>
    <n v="3.4"/>
    <n v="88.2"/>
    <n v="70.040000000000006"/>
    <n v="532.35"/>
    <n v="135.69999999999999"/>
    <x v="0"/>
    <s v="12"/>
    <x v="11"/>
    <m/>
    <m/>
    <m/>
    <m/>
    <m/>
  </r>
  <r>
    <x v="19"/>
    <x v="1"/>
    <x v="0"/>
    <x v="15"/>
    <x v="2"/>
    <x v="10"/>
    <x v="4"/>
    <x v="4"/>
    <n v="2"/>
    <n v="17.38"/>
    <n v="3"/>
    <n v="234.16"/>
    <n v="84"/>
    <x v="5"/>
    <n v="8"/>
    <n v="488"/>
    <s v=""/>
    <x v="3"/>
    <n v="1.64"/>
    <n v="94.72"/>
    <n v="327.82"/>
    <n v="104.28"/>
    <n v="561.98"/>
    <x v="1"/>
    <s v="18"/>
    <x v="11"/>
    <m/>
    <m/>
    <m/>
    <m/>
    <m/>
  </r>
  <r>
    <x v="263"/>
    <x v="2"/>
    <x v="0"/>
    <x v="6"/>
    <x v="0"/>
    <x v="8"/>
    <x v="0"/>
    <x v="1"/>
    <n v="2"/>
    <n v="10.07"/>
    <n v="5"/>
    <n v="180.14"/>
    <n v="9"/>
    <x v="4"/>
    <n v="34"/>
    <n v="133"/>
    <s v=""/>
    <x v="0"/>
    <n v="25.56"/>
    <n v="46.88"/>
    <n v="27.02"/>
    <n v="100.7"/>
    <n v="207.16"/>
    <x v="0"/>
    <s v="12"/>
    <x v="11"/>
    <m/>
    <m/>
    <m/>
    <m/>
    <m/>
  </r>
  <r>
    <x v="259"/>
    <x v="1"/>
    <x v="0"/>
    <x v="6"/>
    <x v="1"/>
    <x v="1"/>
    <x v="4"/>
    <x v="1"/>
    <n v="4"/>
    <n v="19.899999999999999"/>
    <n v="2"/>
    <n v="414.04"/>
    <n v="84"/>
    <x v="3"/>
    <n v="40"/>
    <n v="138"/>
    <s v=""/>
    <x v="4"/>
    <n v="28.99"/>
    <n v="38.020000000000003"/>
    <n v="579.66"/>
    <n v="159.19999999999999"/>
    <n v="993.7"/>
    <x v="1"/>
    <s v="20"/>
    <x v="11"/>
    <m/>
    <m/>
    <m/>
    <m/>
    <m/>
  </r>
  <r>
    <x v="264"/>
    <x v="2"/>
    <x v="0"/>
    <x v="2"/>
    <x v="3"/>
    <x v="9"/>
    <x v="0"/>
    <x v="2"/>
    <n v="2"/>
    <n v="13.9"/>
    <n v="5"/>
    <n v="410.16"/>
    <n v="11"/>
    <x v="2"/>
    <n v="1"/>
    <n v="678"/>
    <s v=""/>
    <x v="2"/>
    <n v="0.15"/>
    <n v="97.7"/>
    <n v="75.2"/>
    <n v="139"/>
    <n v="485.36"/>
    <x v="0"/>
    <s v="14"/>
    <x v="11"/>
    <m/>
    <m/>
    <m/>
    <m/>
    <m/>
  </r>
  <r>
    <x v="257"/>
    <x v="2"/>
    <x v="1"/>
    <x v="10"/>
    <x v="3"/>
    <x v="19"/>
    <x v="1"/>
    <x v="3"/>
    <n v="3"/>
    <n v="2.41"/>
    <n v="8"/>
    <n v="255.66"/>
    <n v="55"/>
    <x v="0"/>
    <n v="32"/>
    <n v="308"/>
    <s v=""/>
    <x v="2"/>
    <n v="10.39"/>
    <n v="76.22"/>
    <n v="234.36"/>
    <n v="57.84"/>
    <n v="490.02"/>
    <x v="2"/>
    <s v="4"/>
    <x v="11"/>
    <m/>
    <m/>
    <m/>
    <m/>
    <m/>
  </r>
  <r>
    <x v="214"/>
    <x v="3"/>
    <x v="1"/>
    <x v="10"/>
    <x v="1"/>
    <x v="14"/>
    <x v="1"/>
    <x v="2"/>
    <n v="1"/>
    <n v="19.86"/>
    <n v="2"/>
    <n v="322.93"/>
    <n v="69"/>
    <x v="3"/>
    <n v="49"/>
    <n v="929"/>
    <s v=""/>
    <x v="1"/>
    <n v="5.27"/>
    <n v="88.46"/>
    <n v="371.37"/>
    <n v="39.72"/>
    <n v="694.3"/>
    <x v="1"/>
    <s v="20"/>
    <x v="11"/>
    <m/>
    <m/>
    <m/>
    <m/>
    <m/>
  </r>
  <r>
    <x v="138"/>
    <x v="0"/>
    <x v="1"/>
    <x v="8"/>
    <x v="1"/>
    <x v="19"/>
    <x v="3"/>
    <x v="0"/>
    <n v="2"/>
    <n v="8.75"/>
    <n v="8"/>
    <n v="321.92"/>
    <n v="13"/>
    <x v="5"/>
    <n v="5"/>
    <n v="955"/>
    <s v=""/>
    <x v="2"/>
    <n v="0.52"/>
    <n v="96.96"/>
    <n v="69.75"/>
    <n v="140"/>
    <n v="391.67"/>
    <x v="0"/>
    <s v="10"/>
    <x v="11"/>
    <m/>
    <m/>
    <m/>
    <m/>
    <m/>
  </r>
  <r>
    <x v="265"/>
    <x v="5"/>
    <x v="1"/>
    <x v="0"/>
    <x v="3"/>
    <x v="17"/>
    <x v="0"/>
    <x v="0"/>
    <n v="5"/>
    <n v="6.46"/>
    <n v="4"/>
    <n v="422.22"/>
    <n v="86"/>
    <x v="5"/>
    <n v="30"/>
    <n v="251"/>
    <s v=""/>
    <x v="2"/>
    <n v="11.95"/>
    <n v="71.099999999999994"/>
    <n v="605.17999999999995"/>
    <n v="129.19999999999999"/>
    <n v="1027.4000000000001"/>
    <x v="0"/>
    <s v="8"/>
    <x v="11"/>
    <m/>
    <m/>
    <m/>
    <m/>
    <m/>
  </r>
  <r>
    <x v="2"/>
    <x v="3"/>
    <x v="0"/>
    <x v="9"/>
    <x v="1"/>
    <x v="1"/>
    <x v="2"/>
    <x v="1"/>
    <n v="3"/>
    <n v="11.6"/>
    <n v="1"/>
    <n v="241.25"/>
    <n v="49"/>
    <x v="3"/>
    <n v="22"/>
    <n v="998"/>
    <s v=""/>
    <x v="4"/>
    <n v="2.2000000000000002"/>
    <n v="92.6"/>
    <n v="197.02"/>
    <n v="34.799999999999997"/>
    <n v="438.27"/>
    <x v="0"/>
    <s v="12"/>
    <x v="11"/>
    <m/>
    <m/>
    <m/>
    <m/>
    <m/>
  </r>
  <r>
    <x v="266"/>
    <x v="3"/>
    <x v="2"/>
    <x v="13"/>
    <x v="4"/>
    <x v="12"/>
    <x v="3"/>
    <x v="3"/>
    <n v="5"/>
    <n v="6.78"/>
    <n v="5"/>
    <n v="173.95"/>
    <n v="51"/>
    <x v="2"/>
    <n v="20"/>
    <n v="464"/>
    <s v=""/>
    <x v="4"/>
    <n v="4.3099999999999996"/>
    <n v="86.38"/>
    <n v="147.86000000000001"/>
    <n v="169.5"/>
    <n v="321.81"/>
    <x v="0"/>
    <s v="8"/>
    <x v="11"/>
    <m/>
    <m/>
    <m/>
    <m/>
    <m/>
  </r>
  <r>
    <x v="267"/>
    <x v="0"/>
    <x v="1"/>
    <x v="19"/>
    <x v="0"/>
    <x v="18"/>
    <x v="1"/>
    <x v="4"/>
    <n v="3"/>
    <n v="2.64"/>
    <n v="1"/>
    <n v="169.27"/>
    <n v="71"/>
    <x v="2"/>
    <n v="16"/>
    <n v="298"/>
    <s v=""/>
    <x v="0"/>
    <n v="5.37"/>
    <n v="86.26"/>
    <n v="200.3"/>
    <n v="7.92"/>
    <n v="369.57000000000005"/>
    <x v="2"/>
    <s v="4"/>
    <x v="11"/>
    <m/>
    <m/>
    <m/>
    <m/>
    <m/>
  </r>
  <r>
    <x v="231"/>
    <x v="5"/>
    <x v="2"/>
    <x v="16"/>
    <x v="0"/>
    <x v="16"/>
    <x v="0"/>
    <x v="3"/>
    <n v="2"/>
    <n v="1.03"/>
    <n v="7"/>
    <n v="291.29000000000002"/>
    <n v="28"/>
    <x v="1"/>
    <n v="7"/>
    <n v="700"/>
    <s v=""/>
    <x v="3"/>
    <n v="1"/>
    <n v="96"/>
    <n v="135.94"/>
    <n v="14.42"/>
    <n v="427.23"/>
    <x v="2"/>
    <s v="2"/>
    <x v="11"/>
    <m/>
    <m/>
    <m/>
    <m/>
    <m/>
  </r>
  <r>
    <x v="86"/>
    <x v="1"/>
    <x v="1"/>
    <x v="8"/>
    <x v="0"/>
    <x v="8"/>
    <x v="4"/>
    <x v="0"/>
    <n v="1"/>
    <n v="9.5399999999999991"/>
    <n v="8"/>
    <n v="252.12"/>
    <n v="14"/>
    <x v="4"/>
    <n v="7"/>
    <n v="859"/>
    <s v=""/>
    <x v="4"/>
    <n v="0.81"/>
    <n v="97.38"/>
    <n v="58.83"/>
    <n v="76.319999999999993"/>
    <n v="310.95"/>
    <x v="0"/>
    <s v="10"/>
    <x v="11"/>
    <m/>
    <m/>
    <m/>
    <m/>
    <m/>
  </r>
  <r>
    <x v="75"/>
    <x v="4"/>
    <x v="1"/>
    <x v="8"/>
    <x v="4"/>
    <x v="5"/>
    <x v="2"/>
    <x v="4"/>
    <n v="5"/>
    <n v="16.899999999999999"/>
    <n v="3"/>
    <n v="248.05"/>
    <n v="77"/>
    <x v="1"/>
    <n v="2"/>
    <n v="934"/>
    <s v=""/>
    <x v="0"/>
    <n v="0.21"/>
    <n v="94.58"/>
    <n v="318.33"/>
    <n v="253.49999999999997"/>
    <n v="566.38"/>
    <x v="1"/>
    <s v="18"/>
    <x v="11"/>
    <m/>
    <m/>
    <m/>
    <m/>
    <m/>
  </r>
  <r>
    <x v="57"/>
    <x v="4"/>
    <x v="2"/>
    <x v="11"/>
    <x v="1"/>
    <x v="0"/>
    <x v="1"/>
    <x v="3"/>
    <n v="3"/>
    <n v="11.87"/>
    <n v="3"/>
    <n v="91.01"/>
    <n v="81"/>
    <x v="2"/>
    <n v="47"/>
    <n v="178"/>
    <s v=""/>
    <x v="2"/>
    <n v="26.4"/>
    <n v="44.2"/>
    <n v="122.86"/>
    <n v="106.83"/>
    <n v="213.87"/>
    <x v="0"/>
    <s v="12"/>
    <x v="11"/>
    <m/>
    <m/>
    <m/>
    <m/>
    <m/>
  </r>
  <r>
    <x v="268"/>
    <x v="1"/>
    <x v="0"/>
    <x v="18"/>
    <x v="2"/>
    <x v="19"/>
    <x v="3"/>
    <x v="3"/>
    <n v="4"/>
    <n v="19.98"/>
    <n v="7"/>
    <n v="373.37"/>
    <n v="52"/>
    <x v="3"/>
    <n v="14"/>
    <n v="576"/>
    <s v=""/>
    <x v="0"/>
    <n v="2.4300000000000002"/>
    <n v="91.14"/>
    <n v="323.58999999999997"/>
    <n v="559.44000000000005"/>
    <n v="696.96"/>
    <x v="1"/>
    <s v="20"/>
    <x v="11"/>
    <m/>
    <m/>
    <m/>
    <m/>
    <m/>
  </r>
  <r>
    <x v="204"/>
    <x v="3"/>
    <x v="1"/>
    <x v="13"/>
    <x v="1"/>
    <x v="1"/>
    <x v="0"/>
    <x v="4"/>
    <n v="2"/>
    <n v="6.45"/>
    <n v="4"/>
    <n v="146.18"/>
    <n v="39"/>
    <x v="4"/>
    <n v="31"/>
    <n v="533"/>
    <s v=""/>
    <x v="0"/>
    <n v="5.82"/>
    <n v="86.36"/>
    <n v="95.02"/>
    <n v="51.6"/>
    <n v="241.2"/>
    <x v="0"/>
    <s v="8"/>
    <x v="11"/>
    <m/>
    <m/>
    <m/>
    <m/>
    <m/>
  </r>
  <r>
    <x v="249"/>
    <x v="5"/>
    <x v="1"/>
    <x v="3"/>
    <x v="3"/>
    <x v="1"/>
    <x v="2"/>
    <x v="0"/>
    <n v="1"/>
    <n v="6.33"/>
    <n v="3"/>
    <n v="138.63"/>
    <n v="58"/>
    <x v="3"/>
    <n v="41"/>
    <n v="896"/>
    <s v=""/>
    <x v="0"/>
    <n v="4.58"/>
    <n v="89.84"/>
    <n v="134.01"/>
    <n v="18.990000000000002"/>
    <n v="272.64"/>
    <x v="0"/>
    <s v="8"/>
    <x v="11"/>
    <m/>
    <m/>
    <m/>
    <m/>
    <m/>
  </r>
  <r>
    <x v="173"/>
    <x v="3"/>
    <x v="1"/>
    <x v="12"/>
    <x v="0"/>
    <x v="17"/>
    <x v="0"/>
    <x v="3"/>
    <n v="2"/>
    <n v="4.04"/>
    <n v="8"/>
    <n v="235.74"/>
    <n v="85"/>
    <x v="1"/>
    <n v="14"/>
    <n v="941"/>
    <s v=""/>
    <x v="0"/>
    <n v="1.49"/>
    <n v="95.02"/>
    <n v="333.96"/>
    <n v="64.64"/>
    <n v="569.70000000000005"/>
    <x v="2"/>
    <s v="6"/>
    <x v="11"/>
    <m/>
    <m/>
    <m/>
    <m/>
    <m/>
  </r>
  <r>
    <x v="197"/>
    <x v="2"/>
    <x v="2"/>
    <x v="16"/>
    <x v="1"/>
    <x v="2"/>
    <x v="4"/>
    <x v="4"/>
    <n v="4"/>
    <n v="4.12"/>
    <n v="3"/>
    <n v="152.5"/>
    <n v="75"/>
    <x v="5"/>
    <n v="5"/>
    <n v="131"/>
    <s v=""/>
    <x v="4"/>
    <n v="3.82"/>
    <n v="88.36"/>
    <n v="190.62"/>
    <n v="49.44"/>
    <n v="343.12"/>
    <x v="2"/>
    <s v="6"/>
    <x v="11"/>
    <m/>
    <m/>
    <m/>
    <m/>
    <m/>
  </r>
  <r>
    <x v="47"/>
    <x v="3"/>
    <x v="0"/>
    <x v="7"/>
    <x v="2"/>
    <x v="7"/>
    <x v="3"/>
    <x v="0"/>
    <n v="1"/>
    <n v="6.42"/>
    <n v="7"/>
    <n v="312.74"/>
    <n v="20"/>
    <x v="3"/>
    <n v="11"/>
    <n v="186"/>
    <s v=""/>
    <x v="3"/>
    <n v="5.91"/>
    <n v="87.18"/>
    <n v="104.25"/>
    <n v="44.94"/>
    <n v="416.99"/>
    <x v="0"/>
    <s v="8"/>
    <x v="11"/>
    <m/>
    <m/>
    <m/>
    <m/>
    <m/>
  </r>
  <r>
    <x v="24"/>
    <x v="3"/>
    <x v="2"/>
    <x v="7"/>
    <x v="3"/>
    <x v="14"/>
    <x v="0"/>
    <x v="4"/>
    <n v="4"/>
    <n v="16.059999999999999"/>
    <n v="2"/>
    <n v="217.16"/>
    <n v="57"/>
    <x v="1"/>
    <n v="40"/>
    <n v="650"/>
    <s v=""/>
    <x v="0"/>
    <n v="6.15"/>
    <n v="83.7"/>
    <n v="206.3"/>
    <n v="128.47999999999999"/>
    <n v="423.46000000000004"/>
    <x v="1"/>
    <s v="18"/>
    <x v="11"/>
    <m/>
    <m/>
    <m/>
    <m/>
    <m/>
  </r>
  <r>
    <x v="266"/>
    <x v="1"/>
    <x v="2"/>
    <x v="1"/>
    <x v="4"/>
    <x v="5"/>
    <x v="1"/>
    <x v="4"/>
    <n v="2"/>
    <n v="18.21"/>
    <n v="1"/>
    <n v="252.01"/>
    <n v="44"/>
    <x v="1"/>
    <n v="5"/>
    <n v="492"/>
    <s v=""/>
    <x v="1"/>
    <n v="1.02"/>
    <n v="95.96"/>
    <n v="184.81"/>
    <n v="36.42"/>
    <n v="436.82"/>
    <x v="1"/>
    <s v="20"/>
    <x v="11"/>
    <m/>
    <m/>
    <m/>
    <m/>
    <m/>
  </r>
  <r>
    <x v="181"/>
    <x v="1"/>
    <x v="0"/>
    <x v="11"/>
    <x v="4"/>
    <x v="14"/>
    <x v="3"/>
    <x v="3"/>
    <n v="3"/>
    <n v="19.53"/>
    <n v="6"/>
    <n v="291.73"/>
    <n v="24"/>
    <x v="1"/>
    <n v="29"/>
    <n v="712"/>
    <s v=""/>
    <x v="2"/>
    <n v="4.07"/>
    <n v="88.86"/>
    <n v="116.69"/>
    <n v="351.54"/>
    <n v="408.42"/>
    <x v="1"/>
    <s v="20"/>
    <x v="11"/>
    <m/>
    <m/>
    <m/>
    <m/>
    <m/>
  </r>
  <r>
    <x v="211"/>
    <x v="1"/>
    <x v="2"/>
    <x v="11"/>
    <x v="2"/>
    <x v="19"/>
    <x v="1"/>
    <x v="0"/>
    <n v="2"/>
    <n v="5.41"/>
    <n v="8"/>
    <n v="141.59"/>
    <n v="73"/>
    <x v="5"/>
    <n v="11"/>
    <n v="343"/>
    <s v=""/>
    <x v="2"/>
    <n v="3.21"/>
    <n v="91.58"/>
    <n v="172.27"/>
    <n v="86.56"/>
    <n v="313.86"/>
    <x v="2"/>
    <s v="6"/>
    <x v="11"/>
    <m/>
    <m/>
    <m/>
    <m/>
    <m/>
  </r>
  <r>
    <x v="203"/>
    <x v="4"/>
    <x v="0"/>
    <x v="3"/>
    <x v="3"/>
    <x v="6"/>
    <x v="0"/>
    <x v="3"/>
    <n v="2"/>
    <n v="17.739999999999998"/>
    <n v="1"/>
    <n v="120.09"/>
    <n v="49"/>
    <x v="5"/>
    <n v="5"/>
    <n v="331"/>
    <s v=""/>
    <x v="2"/>
    <n v="1.51"/>
    <n v="94.98"/>
    <n v="98.07"/>
    <n v="35.479999999999997"/>
    <n v="218.16"/>
    <x v="1"/>
    <s v="18"/>
    <x v="11"/>
    <m/>
    <m/>
    <m/>
    <m/>
    <m/>
  </r>
  <r>
    <x v="106"/>
    <x v="2"/>
    <x v="1"/>
    <x v="0"/>
    <x v="0"/>
    <x v="7"/>
    <x v="3"/>
    <x v="2"/>
    <n v="2"/>
    <n v="7.24"/>
    <n v="9"/>
    <n v="446.19"/>
    <n v="10"/>
    <x v="5"/>
    <n v="49"/>
    <n v="679"/>
    <s v=""/>
    <x v="2"/>
    <n v="7.22"/>
    <n v="83.56"/>
    <n v="74.36"/>
    <n v="130.32"/>
    <n v="520.54999999999995"/>
    <x v="0"/>
    <s v="8"/>
    <x v="11"/>
    <m/>
    <m/>
    <m/>
    <m/>
    <m/>
  </r>
  <r>
    <x v="125"/>
    <x v="1"/>
    <x v="0"/>
    <x v="7"/>
    <x v="1"/>
    <x v="19"/>
    <x v="1"/>
    <x v="2"/>
    <n v="5"/>
    <n v="3.14"/>
    <n v="3"/>
    <n v="245.18"/>
    <n v="73"/>
    <x v="4"/>
    <n v="32"/>
    <n v="291"/>
    <s v=""/>
    <x v="2"/>
    <n v="11"/>
    <n v="73"/>
    <n v="298.3"/>
    <n v="47.1"/>
    <n v="543.48"/>
    <x v="2"/>
    <s v="4"/>
    <x v="11"/>
    <m/>
    <m/>
    <m/>
    <m/>
    <m/>
  </r>
  <r>
    <x v="269"/>
    <x v="5"/>
    <x v="1"/>
    <x v="4"/>
    <x v="3"/>
    <x v="9"/>
    <x v="4"/>
    <x v="0"/>
    <n v="4"/>
    <n v="17.53"/>
    <n v="3"/>
    <n v="235.44"/>
    <n v="53"/>
    <x v="5"/>
    <n v="36"/>
    <n v="639"/>
    <s v=""/>
    <x v="0"/>
    <n v="5.63"/>
    <n v="84.74"/>
    <n v="207.97"/>
    <n v="210.36"/>
    <n v="443.40999999999997"/>
    <x v="1"/>
    <s v="18"/>
    <x v="11"/>
    <m/>
    <m/>
    <m/>
    <m/>
    <m/>
  </r>
  <r>
    <x v="206"/>
    <x v="4"/>
    <x v="2"/>
    <x v="8"/>
    <x v="4"/>
    <x v="17"/>
    <x v="4"/>
    <x v="4"/>
    <n v="4"/>
    <n v="13.09"/>
    <n v="4"/>
    <n v="66.03"/>
    <n v="43"/>
    <x v="5"/>
    <n v="15"/>
    <n v="369"/>
    <s v=""/>
    <x v="3"/>
    <n v="4.07"/>
    <n v="87.86"/>
    <n v="47.32"/>
    <n v="209.44"/>
    <n v="113.35"/>
    <x v="0"/>
    <s v="14"/>
    <x v="11"/>
    <m/>
    <m/>
    <m/>
    <m/>
    <m/>
  </r>
  <r>
    <x v="213"/>
    <x v="0"/>
    <x v="2"/>
    <x v="18"/>
    <x v="2"/>
    <x v="14"/>
    <x v="0"/>
    <x v="3"/>
    <n v="4"/>
    <n v="4.13"/>
    <n v="1"/>
    <n v="274.08999999999997"/>
    <n v="6"/>
    <x v="5"/>
    <n v="19"/>
    <n v="837"/>
    <s v=""/>
    <x v="1"/>
    <n v="2.27"/>
    <n v="91.46"/>
    <n v="27.41"/>
    <n v="16.52"/>
    <n v="301.5"/>
    <x v="2"/>
    <s v="6"/>
    <x v="11"/>
    <m/>
    <m/>
    <m/>
    <m/>
    <m/>
  </r>
  <r>
    <x v="21"/>
    <x v="5"/>
    <x v="1"/>
    <x v="5"/>
    <x v="2"/>
    <x v="19"/>
    <x v="3"/>
    <x v="3"/>
    <n v="5"/>
    <n v="9.17"/>
    <n v="9"/>
    <n v="299.38"/>
    <n v="43"/>
    <x v="3"/>
    <n v="22"/>
    <n v="176"/>
    <s v=""/>
    <x v="4"/>
    <n v="12.5"/>
    <n v="70"/>
    <n v="214.56"/>
    <n v="412.65"/>
    <n v="513.94000000000005"/>
    <x v="0"/>
    <s v="10"/>
    <x v="11"/>
    <m/>
    <m/>
    <m/>
    <m/>
    <m/>
  </r>
  <r>
    <x v="217"/>
    <x v="5"/>
    <x v="2"/>
    <x v="19"/>
    <x v="1"/>
    <x v="18"/>
    <x v="2"/>
    <x v="0"/>
    <n v="3"/>
    <n v="6.46"/>
    <n v="3"/>
    <n v="301.48"/>
    <n v="25"/>
    <x v="5"/>
    <n v="34"/>
    <n v="834"/>
    <s v=""/>
    <x v="1"/>
    <n v="4.08"/>
    <n v="88.84"/>
    <n v="125.62"/>
    <n v="58.14"/>
    <n v="427.1"/>
    <x v="0"/>
    <s v="8"/>
    <x v="11"/>
    <m/>
    <m/>
    <m/>
    <m/>
    <m/>
  </r>
  <r>
    <x v="80"/>
    <x v="1"/>
    <x v="0"/>
    <x v="18"/>
    <x v="2"/>
    <x v="6"/>
    <x v="3"/>
    <x v="0"/>
    <n v="2"/>
    <n v="15"/>
    <n v="4"/>
    <n v="368.16"/>
    <n v="44"/>
    <x v="4"/>
    <n v="17"/>
    <n v="983"/>
    <s v=""/>
    <x v="4"/>
    <n v="1.73"/>
    <n v="94.54"/>
    <n v="269.98"/>
    <n v="120"/>
    <n v="638.1400000000001"/>
    <x v="0"/>
    <s v="16"/>
    <x v="11"/>
    <m/>
    <m/>
    <m/>
    <m/>
    <m/>
  </r>
  <r>
    <x v="270"/>
    <x v="0"/>
    <x v="1"/>
    <x v="2"/>
    <x v="2"/>
    <x v="2"/>
    <x v="4"/>
    <x v="2"/>
    <n v="3"/>
    <n v="9.61"/>
    <n v="1"/>
    <n v="129.87"/>
    <n v="86"/>
    <x v="1"/>
    <n v="12"/>
    <n v="266"/>
    <s v=""/>
    <x v="4"/>
    <n v="4.51"/>
    <n v="87.98"/>
    <n v="186.15"/>
    <n v="28.83"/>
    <n v="316.02"/>
    <x v="0"/>
    <s v="10"/>
    <x v="11"/>
    <m/>
    <m/>
    <m/>
    <m/>
    <m/>
  </r>
  <r>
    <x v="37"/>
    <x v="0"/>
    <x v="2"/>
    <x v="0"/>
    <x v="3"/>
    <x v="2"/>
    <x v="1"/>
    <x v="1"/>
    <n v="5"/>
    <n v="19.8"/>
    <n v="4"/>
    <n v="163.5"/>
    <n v="58"/>
    <x v="3"/>
    <n v="25"/>
    <n v="383"/>
    <s v=""/>
    <x v="1"/>
    <n v="6.53"/>
    <n v="81.94"/>
    <n v="158.05000000000001"/>
    <n v="396"/>
    <n v="321.55"/>
    <x v="1"/>
    <s v="20"/>
    <x v="11"/>
    <m/>
    <m/>
    <m/>
    <m/>
    <m/>
  </r>
  <r>
    <x v="93"/>
    <x v="4"/>
    <x v="1"/>
    <x v="13"/>
    <x v="0"/>
    <x v="14"/>
    <x v="2"/>
    <x v="0"/>
    <n v="4"/>
    <n v="2.04"/>
    <n v="1"/>
    <n v="414.83"/>
    <n v="16"/>
    <x v="2"/>
    <n v="17"/>
    <n v="803"/>
    <s v=""/>
    <x v="0"/>
    <n v="2.12"/>
    <n v="91.76"/>
    <n v="110.62"/>
    <n v="8.16"/>
    <n v="525.45000000000005"/>
    <x v="2"/>
    <s v="4"/>
    <x v="11"/>
    <m/>
    <m/>
    <m/>
    <m/>
    <m/>
  </r>
  <r>
    <x v="247"/>
    <x v="0"/>
    <x v="0"/>
    <x v="16"/>
    <x v="1"/>
    <x v="15"/>
    <x v="0"/>
    <x v="1"/>
    <n v="2"/>
    <n v="7.75"/>
    <n v="5"/>
    <n v="476.23"/>
    <n v="85"/>
    <x v="5"/>
    <n v="10"/>
    <n v="188"/>
    <s v=""/>
    <x v="2"/>
    <n v="5.32"/>
    <n v="87.36"/>
    <n v="674.66"/>
    <n v="77.5"/>
    <n v="1150.8899999999999"/>
    <x v="0"/>
    <s v="8"/>
    <x v="11"/>
    <m/>
    <m/>
    <m/>
    <m/>
    <m/>
  </r>
  <r>
    <x v="17"/>
    <x v="2"/>
    <x v="0"/>
    <x v="8"/>
    <x v="3"/>
    <x v="16"/>
    <x v="2"/>
    <x v="0"/>
    <n v="1"/>
    <n v="10.16"/>
    <n v="5"/>
    <n v="111.17"/>
    <n v="41"/>
    <x v="1"/>
    <n v="28"/>
    <n v="643"/>
    <s v=""/>
    <x v="0"/>
    <n v="4.3499999999999996"/>
    <n v="90.3"/>
    <n v="75.97"/>
    <n v="50.8"/>
    <n v="187.14"/>
    <x v="0"/>
    <s v="12"/>
    <x v="11"/>
    <m/>
    <m/>
    <m/>
    <m/>
    <m/>
  </r>
  <r>
    <x v="243"/>
    <x v="1"/>
    <x v="2"/>
    <x v="3"/>
    <x v="0"/>
    <x v="5"/>
    <x v="0"/>
    <x v="4"/>
    <n v="1"/>
    <n v="10.56"/>
    <n v="7"/>
    <n v="273.94"/>
    <n v="42"/>
    <x v="1"/>
    <n v="18"/>
    <n v="748"/>
    <s v=""/>
    <x v="2"/>
    <n v="2.41"/>
    <n v="94.18"/>
    <n v="191.76"/>
    <n v="73.92"/>
    <n v="465.7"/>
    <x v="0"/>
    <s v="12"/>
    <x v="11"/>
    <m/>
    <m/>
    <m/>
    <m/>
    <m/>
  </r>
  <r>
    <x v="12"/>
    <x v="0"/>
    <x v="0"/>
    <x v="11"/>
    <x v="3"/>
    <x v="8"/>
    <x v="2"/>
    <x v="4"/>
    <n v="3"/>
    <n v="7"/>
    <n v="8"/>
    <n v="146.38"/>
    <n v="19"/>
    <x v="3"/>
    <n v="18"/>
    <n v="255"/>
    <s v=""/>
    <x v="3"/>
    <n v="7.06"/>
    <n v="82.88"/>
    <n v="46.35"/>
    <n v="168"/>
    <n v="192.73"/>
    <x v="0"/>
    <s v="8"/>
    <x v="11"/>
    <m/>
    <m/>
    <m/>
    <m/>
    <m/>
  </r>
  <r>
    <x v="53"/>
    <x v="4"/>
    <x v="1"/>
    <x v="8"/>
    <x v="3"/>
    <x v="7"/>
    <x v="0"/>
    <x v="2"/>
    <n v="4"/>
    <n v="14.86"/>
    <n v="4"/>
    <n v="77.03"/>
    <n v="11"/>
    <x v="2"/>
    <n v="45"/>
    <n v="349"/>
    <s v=""/>
    <x v="4"/>
    <n v="12.89"/>
    <n v="70.22"/>
    <n v="14.12"/>
    <n v="237.76"/>
    <n v="91.15"/>
    <x v="0"/>
    <s v="16"/>
    <x v="11"/>
    <m/>
    <m/>
    <m/>
    <m/>
    <m/>
  </r>
  <r>
    <x v="96"/>
    <x v="2"/>
    <x v="0"/>
    <x v="1"/>
    <x v="2"/>
    <x v="9"/>
    <x v="0"/>
    <x v="2"/>
    <n v="1"/>
    <n v="17.62"/>
    <n v="7"/>
    <n v="196.48"/>
    <n v="82"/>
    <x v="0"/>
    <n v="32"/>
    <n v="194"/>
    <s v=""/>
    <x v="1"/>
    <n v="16.489999999999998"/>
    <n v="66.02"/>
    <n v="268.52"/>
    <n v="123.34"/>
    <n v="465"/>
    <x v="1"/>
    <s v="18"/>
    <x v="11"/>
    <m/>
    <m/>
    <m/>
    <m/>
    <m/>
  </r>
  <r>
    <x v="271"/>
    <x v="3"/>
    <x v="1"/>
    <x v="3"/>
    <x v="0"/>
    <x v="12"/>
    <x v="2"/>
    <x v="1"/>
    <n v="3"/>
    <n v="18.84"/>
    <n v="4"/>
    <n v="114.66"/>
    <n v="54"/>
    <x v="4"/>
    <n v="14"/>
    <n v="116"/>
    <s v=""/>
    <x v="3"/>
    <n v="12.07"/>
    <n v="72.86"/>
    <n v="103.19"/>
    <n v="226.07999999999998"/>
    <n v="217.85"/>
    <x v="1"/>
    <s v="20"/>
    <x v="11"/>
    <m/>
    <m/>
    <m/>
    <m/>
    <m/>
  </r>
  <r>
    <x v="67"/>
    <x v="3"/>
    <x v="1"/>
    <x v="17"/>
    <x v="1"/>
    <x v="18"/>
    <x v="2"/>
    <x v="0"/>
    <n v="5"/>
    <n v="16.3"/>
    <n v="3"/>
    <n v="369.47"/>
    <n v="69"/>
    <x v="0"/>
    <n v="16"/>
    <n v="216"/>
    <s v=""/>
    <x v="2"/>
    <n v="7.41"/>
    <n v="80.180000000000007"/>
    <n v="424.89"/>
    <n v="244.5"/>
    <n v="794.36"/>
    <x v="1"/>
    <s v="18"/>
    <x v="11"/>
    <m/>
    <m/>
    <m/>
    <m/>
    <m/>
  </r>
  <r>
    <x v="128"/>
    <x v="2"/>
    <x v="0"/>
    <x v="17"/>
    <x v="1"/>
    <x v="19"/>
    <x v="0"/>
    <x v="3"/>
    <n v="3"/>
    <n v="17.16"/>
    <n v="6"/>
    <n v="290.18"/>
    <n v="71"/>
    <x v="1"/>
    <n v="18"/>
    <n v="432"/>
    <s v=""/>
    <x v="0"/>
    <n v="4.17"/>
    <n v="88.66"/>
    <n v="343.38"/>
    <n v="308.88"/>
    <n v="633.55999999999995"/>
    <x v="1"/>
    <s v="18"/>
    <x v="11"/>
    <m/>
    <m/>
    <m/>
    <m/>
    <m/>
  </r>
  <r>
    <x v="219"/>
    <x v="4"/>
    <x v="2"/>
    <x v="4"/>
    <x v="0"/>
    <x v="19"/>
    <x v="4"/>
    <x v="2"/>
    <n v="3"/>
    <n v="11.46"/>
    <n v="4"/>
    <n v="114.73"/>
    <n v="48"/>
    <x v="0"/>
    <n v="16"/>
    <n v="922"/>
    <s v=""/>
    <x v="1"/>
    <n v="1.74"/>
    <n v="93.52"/>
    <n v="91.78"/>
    <n v="137.52000000000001"/>
    <n v="206.51"/>
    <x v="0"/>
    <s v="12"/>
    <x v="11"/>
    <m/>
    <m/>
    <m/>
    <m/>
    <m/>
  </r>
  <r>
    <x v="240"/>
    <x v="2"/>
    <x v="0"/>
    <x v="6"/>
    <x v="2"/>
    <x v="16"/>
    <x v="2"/>
    <x v="3"/>
    <n v="3"/>
    <n v="16.690000000000001"/>
    <n v="3"/>
    <n v="54.16"/>
    <n v="35"/>
    <x v="1"/>
    <n v="17"/>
    <n v="621"/>
    <s v=""/>
    <x v="4"/>
    <n v="2.74"/>
    <n v="91.52"/>
    <n v="31.59"/>
    <n v="150.21"/>
    <n v="85.75"/>
    <x v="1"/>
    <s v="18"/>
    <x v="11"/>
    <m/>
    <m/>
    <m/>
    <m/>
    <m/>
  </r>
  <r>
    <x v="198"/>
    <x v="1"/>
    <x v="1"/>
    <x v="1"/>
    <x v="4"/>
    <x v="16"/>
    <x v="3"/>
    <x v="3"/>
    <n v="2"/>
    <n v="6.77"/>
    <n v="9"/>
    <n v="413.67"/>
    <n v="47"/>
    <x v="0"/>
    <n v="7"/>
    <n v="179"/>
    <s v=""/>
    <x v="3"/>
    <n v="3.91"/>
    <n v="90.18"/>
    <n v="324.04000000000002"/>
    <n v="121.85999999999999"/>
    <n v="737.71"/>
    <x v="0"/>
    <s v="8"/>
    <x v="11"/>
    <m/>
    <m/>
    <m/>
    <m/>
    <m/>
  </r>
  <r>
    <x v="108"/>
    <x v="1"/>
    <x v="1"/>
    <x v="16"/>
    <x v="3"/>
    <x v="19"/>
    <x v="1"/>
    <x v="0"/>
    <n v="3"/>
    <n v="8.57"/>
    <n v="5"/>
    <n v="129.29"/>
    <n v="81"/>
    <x v="1"/>
    <n v="12"/>
    <n v="745"/>
    <s v=""/>
    <x v="4"/>
    <n v="1.61"/>
    <n v="93.78"/>
    <n v="174.54"/>
    <n v="128.55000000000001"/>
    <n v="303.83"/>
    <x v="0"/>
    <s v="10"/>
    <x v="11"/>
    <m/>
    <m/>
    <m/>
    <m/>
    <m/>
  </r>
  <r>
    <x v="192"/>
    <x v="3"/>
    <x v="0"/>
    <x v="12"/>
    <x v="2"/>
    <x v="15"/>
    <x v="0"/>
    <x v="1"/>
    <n v="3"/>
    <n v="7.02"/>
    <n v="7"/>
    <n v="322.8"/>
    <n v="52"/>
    <x v="1"/>
    <n v="34"/>
    <n v="531"/>
    <s v=""/>
    <x v="2"/>
    <n v="6.4"/>
    <n v="84.2"/>
    <n v="279.76"/>
    <n v="147.41999999999999"/>
    <n v="602.55999999999995"/>
    <x v="0"/>
    <s v="8"/>
    <x v="11"/>
    <m/>
    <m/>
    <m/>
    <m/>
    <m/>
  </r>
  <r>
    <x v="255"/>
    <x v="0"/>
    <x v="2"/>
    <x v="15"/>
    <x v="0"/>
    <x v="2"/>
    <x v="0"/>
    <x v="0"/>
    <n v="2"/>
    <n v="9.8800000000000008"/>
    <n v="6"/>
    <n v="201.61"/>
    <n v="86"/>
    <x v="3"/>
    <n v="10"/>
    <n v="302"/>
    <s v=""/>
    <x v="4"/>
    <n v="3.31"/>
    <n v="91.38"/>
    <n v="288.97000000000003"/>
    <n v="118.56"/>
    <n v="490.58000000000004"/>
    <x v="0"/>
    <s v="10"/>
    <x v="11"/>
    <m/>
    <m/>
    <m/>
    <m/>
    <m/>
  </r>
  <r>
    <x v="175"/>
    <x v="4"/>
    <x v="2"/>
    <x v="16"/>
    <x v="3"/>
    <x v="11"/>
    <x v="1"/>
    <x v="2"/>
    <n v="2"/>
    <n v="6.43"/>
    <n v="5"/>
    <n v="313.47000000000003"/>
    <n v="85"/>
    <x v="2"/>
    <n v="5"/>
    <n v="215"/>
    <s v=""/>
    <x v="0"/>
    <n v="2.33"/>
    <n v="93.34"/>
    <n v="444.08"/>
    <n v="64.3"/>
    <n v="757.55"/>
    <x v="0"/>
    <s v="8"/>
    <x v="11"/>
    <m/>
    <m/>
    <m/>
    <m/>
    <m/>
  </r>
  <r>
    <x v="241"/>
    <x v="3"/>
    <x v="1"/>
    <x v="4"/>
    <x v="1"/>
    <x v="11"/>
    <x v="4"/>
    <x v="3"/>
    <n v="5"/>
    <n v="19.27"/>
    <n v="7"/>
    <n v="192.04"/>
    <n v="85"/>
    <x v="1"/>
    <n v="21"/>
    <n v="319"/>
    <s v=""/>
    <x v="3"/>
    <n v="6.58"/>
    <n v="81.84"/>
    <n v="272.06"/>
    <n v="674.44999999999993"/>
    <n v="464.1"/>
    <x v="1"/>
    <s v="20"/>
    <x v="11"/>
    <m/>
    <m/>
    <m/>
    <m/>
    <m/>
  </r>
  <r>
    <x v="194"/>
    <x v="0"/>
    <x v="1"/>
    <x v="11"/>
    <x v="4"/>
    <x v="7"/>
    <x v="1"/>
    <x v="0"/>
    <n v="4"/>
    <n v="6.94"/>
    <n v="6"/>
    <n v="89.12"/>
    <n v="65"/>
    <x v="4"/>
    <n v="3"/>
    <n v="352"/>
    <s v=""/>
    <x v="3"/>
    <n v="0.85"/>
    <n v="94.3"/>
    <n v="96.55"/>
    <n v="166.56"/>
    <n v="185.67000000000002"/>
    <x v="0"/>
    <s v="8"/>
    <x v="11"/>
    <m/>
    <m/>
    <m/>
    <m/>
    <m/>
  </r>
  <r>
    <x v="250"/>
    <x v="0"/>
    <x v="2"/>
    <x v="13"/>
    <x v="1"/>
    <x v="14"/>
    <x v="2"/>
    <x v="0"/>
    <n v="1"/>
    <n v="2.86"/>
    <n v="2"/>
    <n v="150.33000000000001"/>
    <n v="79"/>
    <x v="4"/>
    <n v="19"/>
    <n v="268"/>
    <s v=""/>
    <x v="0"/>
    <n v="7.09"/>
    <n v="84.82"/>
    <n v="197.93"/>
    <n v="5.72"/>
    <n v="348.26"/>
    <x v="2"/>
    <s v="4"/>
    <x v="11"/>
    <m/>
    <m/>
    <m/>
    <m/>
    <m/>
  </r>
  <r>
    <x v="58"/>
    <x v="1"/>
    <x v="0"/>
    <x v="3"/>
    <x v="0"/>
    <x v="3"/>
    <x v="1"/>
    <x v="0"/>
    <n v="1"/>
    <n v="11.01"/>
    <n v="3"/>
    <n v="134.63"/>
    <n v="88"/>
    <x v="5"/>
    <n v="45"/>
    <n v="946"/>
    <s v=""/>
    <x v="4"/>
    <n v="4.76"/>
    <n v="89.48"/>
    <n v="197.46"/>
    <n v="33.03"/>
    <n v="332.09000000000003"/>
    <x v="0"/>
    <s v="12"/>
    <x v="11"/>
    <m/>
    <m/>
    <m/>
    <m/>
    <m/>
  </r>
  <r>
    <x v="272"/>
    <x v="5"/>
    <x v="1"/>
    <x v="5"/>
    <x v="3"/>
    <x v="13"/>
    <x v="0"/>
    <x v="2"/>
    <n v="3"/>
    <n v="2.08"/>
    <n v="2"/>
    <n v="242.61"/>
    <n v="14"/>
    <x v="1"/>
    <n v="44"/>
    <n v="415"/>
    <s v=""/>
    <x v="0"/>
    <n v="10.6"/>
    <n v="75.8"/>
    <n v="56.61"/>
    <n v="12.48"/>
    <n v="299.22000000000003"/>
    <x v="2"/>
    <s v="4"/>
    <x v="11"/>
    <m/>
    <m/>
    <m/>
    <m/>
    <m/>
  </r>
  <r>
    <x v="230"/>
    <x v="5"/>
    <x v="1"/>
    <x v="8"/>
    <x v="0"/>
    <x v="5"/>
    <x v="1"/>
    <x v="1"/>
    <n v="5"/>
    <n v="3.1"/>
    <n v="3"/>
    <n v="346.23"/>
    <n v="33"/>
    <x v="1"/>
    <n v="35"/>
    <n v="816"/>
    <s v=""/>
    <x v="1"/>
    <n v="4.29"/>
    <n v="86.42"/>
    <n v="190.43"/>
    <n v="46.5"/>
    <n v="536.66000000000008"/>
    <x v="2"/>
    <s v="4"/>
    <x v="11"/>
    <m/>
    <m/>
    <m/>
    <m/>
    <m/>
  </r>
  <r>
    <x v="164"/>
    <x v="2"/>
    <x v="2"/>
    <x v="1"/>
    <x v="3"/>
    <x v="3"/>
    <x v="3"/>
    <x v="0"/>
    <n v="3"/>
    <n v="5.17"/>
    <n v="1"/>
    <n v="168.71"/>
    <n v="52"/>
    <x v="1"/>
    <n v="6"/>
    <n v="909"/>
    <s v=""/>
    <x v="0"/>
    <n v="0.66"/>
    <n v="95.68"/>
    <n v="146.22"/>
    <n v="15.51"/>
    <n v="314.93"/>
    <x v="2"/>
    <s v="6"/>
    <x v="11"/>
    <m/>
    <m/>
    <m/>
    <m/>
    <m/>
  </r>
  <r>
    <x v="269"/>
    <x v="1"/>
    <x v="0"/>
    <x v="8"/>
    <x v="2"/>
    <x v="0"/>
    <x v="2"/>
    <x v="2"/>
    <n v="1"/>
    <n v="9.82"/>
    <n v="8"/>
    <n v="55.43"/>
    <n v="85"/>
    <x v="0"/>
    <n v="14"/>
    <n v="471"/>
    <s v=""/>
    <x v="4"/>
    <n v="2.97"/>
    <n v="93.06"/>
    <n v="78.53"/>
    <n v="78.56"/>
    <n v="133.96"/>
    <x v="0"/>
    <s v="10"/>
    <x v="11"/>
    <m/>
    <m/>
    <m/>
    <m/>
    <m/>
  </r>
  <r>
    <x v="56"/>
    <x v="0"/>
    <x v="2"/>
    <x v="1"/>
    <x v="4"/>
    <x v="4"/>
    <x v="1"/>
    <x v="3"/>
    <n v="2"/>
    <n v="9.23"/>
    <n v="6"/>
    <n v="283.52"/>
    <n v="66"/>
    <x v="1"/>
    <n v="4"/>
    <n v="859"/>
    <s v=""/>
    <x v="0"/>
    <n v="0.47"/>
    <n v="97.06"/>
    <n v="311.87"/>
    <n v="110.76"/>
    <n v="595.39"/>
    <x v="0"/>
    <s v="10"/>
    <x v="11"/>
    <m/>
    <m/>
    <m/>
    <m/>
    <m/>
  </r>
  <r>
    <x v="34"/>
    <x v="4"/>
    <x v="0"/>
    <x v="15"/>
    <x v="2"/>
    <x v="15"/>
    <x v="0"/>
    <x v="4"/>
    <n v="4"/>
    <n v="16.190000000000001"/>
    <n v="2"/>
    <n v="322.58999999999997"/>
    <n v="17"/>
    <x v="1"/>
    <n v="45"/>
    <n v="976"/>
    <s v=""/>
    <x v="2"/>
    <n v="4.6100000000000003"/>
    <n v="86.78"/>
    <n v="91.4"/>
    <n v="129.52000000000001"/>
    <n v="413.99"/>
    <x v="1"/>
    <s v="18"/>
    <x v="11"/>
    <m/>
    <m/>
    <m/>
    <m/>
    <m/>
  </r>
  <r>
    <x v="48"/>
    <x v="5"/>
    <x v="0"/>
    <x v="4"/>
    <x v="2"/>
    <x v="16"/>
    <x v="2"/>
    <x v="2"/>
    <n v="5"/>
    <n v="15.05"/>
    <n v="8"/>
    <n v="483.29"/>
    <n v="48"/>
    <x v="4"/>
    <n v="18"/>
    <n v="682"/>
    <s v=""/>
    <x v="0"/>
    <n v="2.64"/>
    <n v="89.72"/>
    <n v="386.63"/>
    <n v="602"/>
    <n v="869.92000000000007"/>
    <x v="1"/>
    <s v="16"/>
    <x v="11"/>
    <m/>
    <m/>
    <m/>
    <m/>
    <m/>
  </r>
  <r>
    <x v="162"/>
    <x v="0"/>
    <x v="0"/>
    <x v="2"/>
    <x v="0"/>
    <x v="0"/>
    <x v="0"/>
    <x v="4"/>
    <n v="2"/>
    <n v="9.1"/>
    <n v="6"/>
    <n v="315.26"/>
    <n v="51"/>
    <x v="2"/>
    <n v="29"/>
    <n v="255"/>
    <s v=""/>
    <x v="0"/>
    <n v="11.37"/>
    <n v="75.260000000000005"/>
    <n v="267.97000000000003"/>
    <n v="109.19999999999999"/>
    <n v="583.23"/>
    <x v="0"/>
    <s v="10"/>
    <x v="11"/>
    <m/>
    <m/>
    <m/>
    <m/>
    <m/>
  </r>
  <r>
    <x v="58"/>
    <x v="5"/>
    <x v="1"/>
    <x v="2"/>
    <x v="4"/>
    <x v="8"/>
    <x v="4"/>
    <x v="0"/>
    <n v="4"/>
    <n v="7.34"/>
    <n v="7"/>
    <n v="262.02999999999997"/>
    <n v="68"/>
    <x v="2"/>
    <n v="35"/>
    <n v="713"/>
    <s v=""/>
    <x v="4"/>
    <n v="4.91"/>
    <n v="86.18"/>
    <n v="296.97000000000003"/>
    <n v="205.51999999999998"/>
    <n v="559"/>
    <x v="0"/>
    <s v="8"/>
    <x v="11"/>
    <m/>
    <m/>
    <m/>
    <m/>
    <m/>
  </r>
  <r>
    <x v="240"/>
    <x v="5"/>
    <x v="2"/>
    <x v="5"/>
    <x v="3"/>
    <x v="18"/>
    <x v="3"/>
    <x v="0"/>
    <n v="5"/>
    <n v="7.01"/>
    <n v="1"/>
    <n v="308.02999999999997"/>
    <n v="57"/>
    <x v="5"/>
    <n v="38"/>
    <n v="112"/>
    <s v=""/>
    <x v="1"/>
    <n v="33.93"/>
    <n v="27.14"/>
    <n v="292.63"/>
    <n v="35.049999999999997"/>
    <n v="600.66"/>
    <x v="0"/>
    <s v="8"/>
    <x v="11"/>
    <m/>
    <m/>
    <m/>
    <m/>
    <m/>
  </r>
  <r>
    <x v="146"/>
    <x v="5"/>
    <x v="2"/>
    <x v="3"/>
    <x v="3"/>
    <x v="18"/>
    <x v="4"/>
    <x v="2"/>
    <n v="5"/>
    <n v="15.71"/>
    <n v="7"/>
    <n v="467.56"/>
    <n v="81"/>
    <x v="4"/>
    <n v="16"/>
    <n v="607"/>
    <s v=""/>
    <x v="1"/>
    <n v="2.64"/>
    <n v="89.72"/>
    <n v="631.21"/>
    <n v="549.85"/>
    <n v="1098.77"/>
    <x v="1"/>
    <s v="16"/>
    <x v="11"/>
    <m/>
    <m/>
    <m/>
    <m/>
    <m/>
  </r>
  <r>
    <x v="70"/>
    <x v="4"/>
    <x v="0"/>
    <x v="18"/>
    <x v="1"/>
    <x v="16"/>
    <x v="3"/>
    <x v="4"/>
    <n v="1"/>
    <n v="1.99"/>
    <n v="3"/>
    <n v="422.77"/>
    <n v="80"/>
    <x v="1"/>
    <n v="20"/>
    <n v="564"/>
    <s v=""/>
    <x v="4"/>
    <n v="3.55"/>
    <n v="91.9"/>
    <n v="563.69000000000005"/>
    <n v="5.97"/>
    <n v="986.46"/>
    <x v="2"/>
    <s v="2"/>
    <x v="11"/>
    <m/>
    <m/>
    <m/>
    <m/>
    <m/>
  </r>
  <r>
    <x v="273"/>
    <x v="1"/>
    <x v="1"/>
    <x v="13"/>
    <x v="3"/>
    <x v="9"/>
    <x v="1"/>
    <x v="0"/>
    <n v="2"/>
    <n v="1.24"/>
    <n v="8"/>
    <n v="195.34"/>
    <n v="48"/>
    <x v="2"/>
    <n v="24"/>
    <n v="882"/>
    <s v=""/>
    <x v="4"/>
    <n v="2.72"/>
    <n v="92.56"/>
    <n v="156.27000000000001"/>
    <n v="19.84"/>
    <n v="351.61"/>
    <x v="2"/>
    <s v="2"/>
    <x v="11"/>
    <m/>
    <m/>
    <m/>
    <m/>
    <m/>
  </r>
  <r>
    <x v="241"/>
    <x v="4"/>
    <x v="1"/>
    <x v="17"/>
    <x v="0"/>
    <x v="16"/>
    <x v="2"/>
    <x v="3"/>
    <n v="5"/>
    <n v="16.12"/>
    <n v="6"/>
    <n v="156.76"/>
    <n v="32"/>
    <x v="3"/>
    <n v="35"/>
    <n v="903"/>
    <s v=""/>
    <x v="4"/>
    <n v="3.88"/>
    <n v="87.24"/>
    <n v="83.61"/>
    <n v="483.6"/>
    <n v="240.37"/>
    <x v="1"/>
    <s v="18"/>
    <x v="11"/>
    <m/>
    <m/>
    <m/>
    <m/>
    <m/>
  </r>
  <r>
    <x v="51"/>
    <x v="3"/>
    <x v="2"/>
    <x v="3"/>
    <x v="2"/>
    <x v="17"/>
    <x v="1"/>
    <x v="1"/>
    <n v="5"/>
    <n v="10.07"/>
    <n v="4"/>
    <n v="168.19"/>
    <n v="6"/>
    <x v="3"/>
    <n v="44"/>
    <n v="319"/>
    <s v=""/>
    <x v="2"/>
    <n v="13.79"/>
    <n v="67.42"/>
    <n v="16.82"/>
    <n v="201.4"/>
    <n v="185.01"/>
    <x v="0"/>
    <s v="12"/>
    <x v="11"/>
    <m/>
    <m/>
    <m/>
    <m/>
    <m/>
  </r>
  <r>
    <x v="163"/>
    <x v="0"/>
    <x v="1"/>
    <x v="13"/>
    <x v="2"/>
    <x v="3"/>
    <x v="3"/>
    <x v="1"/>
    <n v="4"/>
    <n v="3.49"/>
    <n v="8"/>
    <n v="276.99"/>
    <n v="61"/>
    <x v="3"/>
    <n v="19"/>
    <n v="114"/>
    <s v=""/>
    <x v="3"/>
    <n v="16.670000000000002"/>
    <n v="62.66"/>
    <n v="281.61"/>
    <n v="111.68"/>
    <n v="558.6"/>
    <x v="2"/>
    <s v="4"/>
    <x v="11"/>
    <m/>
    <m/>
    <m/>
    <m/>
    <m/>
  </r>
  <r>
    <x v="203"/>
    <x v="1"/>
    <x v="1"/>
    <x v="6"/>
    <x v="2"/>
    <x v="19"/>
    <x v="3"/>
    <x v="0"/>
    <n v="1"/>
    <n v="5.48"/>
    <n v="9"/>
    <n v="384.82"/>
    <n v="61"/>
    <x v="1"/>
    <n v="4"/>
    <n v="849"/>
    <s v=""/>
    <x v="0"/>
    <n v="0.47"/>
    <n v="98.06"/>
    <n v="391.23"/>
    <n v="49.320000000000007"/>
    <n v="776.05"/>
    <x v="2"/>
    <s v="6"/>
    <x v="11"/>
    <m/>
    <m/>
    <m/>
    <m/>
    <m/>
  </r>
  <r>
    <x v="274"/>
    <x v="1"/>
    <x v="0"/>
    <x v="4"/>
    <x v="4"/>
    <x v="0"/>
    <x v="3"/>
    <x v="4"/>
    <n v="3"/>
    <n v="18.72"/>
    <n v="2"/>
    <n v="276.45"/>
    <n v="38"/>
    <x v="1"/>
    <n v="33"/>
    <n v="216"/>
    <s v=""/>
    <x v="4"/>
    <n v="15.28"/>
    <n v="66.44"/>
    <n v="175.08"/>
    <n v="112.32"/>
    <n v="451.53"/>
    <x v="1"/>
    <s v="20"/>
    <x v="11"/>
    <m/>
    <m/>
    <m/>
    <m/>
    <m/>
  </r>
  <r>
    <x v="207"/>
    <x v="1"/>
    <x v="1"/>
    <x v="5"/>
    <x v="3"/>
    <x v="15"/>
    <x v="0"/>
    <x v="0"/>
    <n v="1"/>
    <n v="17.329999999999998"/>
    <n v="6"/>
    <n v="80.510000000000005"/>
    <n v="62"/>
    <x v="5"/>
    <n v="2"/>
    <n v="430"/>
    <s v=""/>
    <x v="4"/>
    <n v="0.47"/>
    <n v="98.06"/>
    <n v="83.19"/>
    <n v="103.97999999999999"/>
    <n v="163.69999999999999"/>
    <x v="1"/>
    <s v="18"/>
    <x v="11"/>
    <m/>
    <m/>
    <m/>
    <m/>
    <m/>
  </r>
  <r>
    <x v="165"/>
    <x v="1"/>
    <x v="0"/>
    <x v="2"/>
    <x v="0"/>
    <x v="4"/>
    <x v="2"/>
    <x v="4"/>
    <n v="3"/>
    <n v="14.49"/>
    <n v="5"/>
    <n v="375.61"/>
    <n v="56"/>
    <x v="5"/>
    <n v="13"/>
    <n v="155"/>
    <s v=""/>
    <x v="4"/>
    <n v="8.39"/>
    <n v="80.22"/>
    <n v="350.57"/>
    <n v="217.35"/>
    <n v="726.18000000000006"/>
    <x v="0"/>
    <s v="16"/>
    <x v="11"/>
    <m/>
    <m/>
    <m/>
    <m/>
    <m/>
  </r>
  <r>
    <x v="221"/>
    <x v="4"/>
    <x v="2"/>
    <x v="10"/>
    <x v="4"/>
    <x v="9"/>
    <x v="1"/>
    <x v="3"/>
    <n v="2"/>
    <n v="10.16"/>
    <n v="5"/>
    <n v="412.69"/>
    <n v="33"/>
    <x v="5"/>
    <n v="45"/>
    <n v="450"/>
    <s v=""/>
    <x v="1"/>
    <n v="10"/>
    <n v="78"/>
    <n v="226.98"/>
    <n v="101.6"/>
    <n v="639.66999999999996"/>
    <x v="0"/>
    <s v="12"/>
    <x v="11"/>
    <m/>
    <m/>
    <m/>
    <m/>
    <m/>
  </r>
  <r>
    <x v="181"/>
    <x v="1"/>
    <x v="1"/>
    <x v="14"/>
    <x v="1"/>
    <x v="12"/>
    <x v="1"/>
    <x v="4"/>
    <n v="2"/>
    <n v="10.89"/>
    <n v="3"/>
    <n v="180.27"/>
    <n v="39"/>
    <x v="0"/>
    <n v="30"/>
    <n v="231"/>
    <s v="Kritik hata"/>
    <x v="4"/>
    <n v="12.99"/>
    <n v="72.02"/>
    <n v="117.18"/>
    <n v="65.34"/>
    <n v="297.45000000000005"/>
    <x v="0"/>
    <s v="12"/>
    <x v="11"/>
    <m/>
    <m/>
    <m/>
    <m/>
    <m/>
  </r>
  <r>
    <x v="94"/>
    <x v="2"/>
    <x v="2"/>
    <x v="12"/>
    <x v="0"/>
    <x v="1"/>
    <x v="4"/>
    <x v="0"/>
    <n v="5"/>
    <n v="19.53"/>
    <n v="8"/>
    <n v="348.86"/>
    <n v="79"/>
    <x v="3"/>
    <n v="34"/>
    <n v="325"/>
    <s v=""/>
    <x v="0"/>
    <n v="10.46"/>
    <n v="74.08"/>
    <n v="459.33"/>
    <n v="781.2"/>
    <n v="808.19"/>
    <x v="1"/>
    <s v="20"/>
    <x v="11"/>
    <m/>
    <m/>
    <m/>
    <m/>
    <m/>
  </r>
  <r>
    <x v="149"/>
    <x v="0"/>
    <x v="2"/>
    <x v="6"/>
    <x v="0"/>
    <x v="10"/>
    <x v="3"/>
    <x v="3"/>
    <n v="2"/>
    <n v="19.350000000000001"/>
    <n v="8"/>
    <n v="241.97"/>
    <n v="52"/>
    <x v="1"/>
    <n v="30"/>
    <n v="407"/>
    <s v=""/>
    <x v="4"/>
    <n v="7.37"/>
    <n v="83.26"/>
    <n v="209.71"/>
    <n v="309.60000000000002"/>
    <n v="451.68"/>
    <x v="1"/>
    <s v="20"/>
    <x v="11"/>
    <m/>
    <m/>
    <m/>
    <m/>
    <m/>
  </r>
  <r>
    <x v="145"/>
    <x v="1"/>
    <x v="1"/>
    <x v="15"/>
    <x v="0"/>
    <x v="10"/>
    <x v="3"/>
    <x v="2"/>
    <n v="5"/>
    <n v="5.09"/>
    <n v="5"/>
    <n v="450.1"/>
    <n v="37"/>
    <x v="3"/>
    <n v="24"/>
    <n v="574"/>
    <s v=""/>
    <x v="0"/>
    <n v="4.18"/>
    <n v="86.64"/>
    <n v="277.56"/>
    <n v="127.25"/>
    <n v="727.66000000000008"/>
    <x v="2"/>
    <s v="6"/>
    <x v="11"/>
    <m/>
    <m/>
    <m/>
    <m/>
    <m/>
  </r>
  <r>
    <x v="210"/>
    <x v="0"/>
    <x v="1"/>
    <x v="4"/>
    <x v="2"/>
    <x v="6"/>
    <x v="3"/>
    <x v="1"/>
    <n v="1"/>
    <n v="16.41"/>
    <n v="8"/>
    <n v="430.35"/>
    <n v="79"/>
    <x v="5"/>
    <n v="48"/>
    <n v="321"/>
    <s v=""/>
    <x v="2"/>
    <n v="14.95"/>
    <n v="69.099999999999994"/>
    <n v="566.63"/>
    <n v="131.28"/>
    <n v="996.98"/>
    <x v="1"/>
    <s v="18"/>
    <x v="11"/>
    <m/>
    <m/>
    <m/>
    <m/>
    <m/>
  </r>
  <r>
    <x v="179"/>
    <x v="2"/>
    <x v="2"/>
    <x v="13"/>
    <x v="0"/>
    <x v="2"/>
    <x v="1"/>
    <x v="0"/>
    <n v="2"/>
    <n v="4.75"/>
    <n v="8"/>
    <n v="286.44"/>
    <n v="77"/>
    <x v="1"/>
    <n v="44"/>
    <n v="272"/>
    <s v=""/>
    <x v="3"/>
    <n v="16.18"/>
    <n v="65.64"/>
    <n v="367.6"/>
    <n v="76"/>
    <n v="654.04"/>
    <x v="2"/>
    <s v="6"/>
    <x v="11"/>
    <m/>
    <m/>
    <m/>
    <m/>
    <m/>
  </r>
  <r>
    <x v="87"/>
    <x v="2"/>
    <x v="1"/>
    <x v="10"/>
    <x v="3"/>
    <x v="8"/>
    <x v="4"/>
    <x v="0"/>
    <n v="1"/>
    <n v="5.0599999999999996"/>
    <n v="3"/>
    <n v="361.18"/>
    <n v="82"/>
    <x v="4"/>
    <n v="33"/>
    <n v="439"/>
    <s v=""/>
    <x v="1"/>
    <n v="7.52"/>
    <n v="83.96"/>
    <n v="493.61"/>
    <n v="15.18"/>
    <n v="854.79"/>
    <x v="2"/>
    <s v="6"/>
    <x v="11"/>
    <m/>
    <m/>
    <m/>
    <m/>
    <m/>
  </r>
  <r>
    <x v="197"/>
    <x v="0"/>
    <x v="0"/>
    <x v="13"/>
    <x v="0"/>
    <x v="12"/>
    <x v="0"/>
    <x v="0"/>
    <n v="1"/>
    <n v="13.85"/>
    <n v="2"/>
    <n v="447.51"/>
    <n v="13"/>
    <x v="2"/>
    <n v="41"/>
    <n v="896"/>
    <s v=""/>
    <x v="0"/>
    <n v="4.58"/>
    <n v="89.84"/>
    <n v="96.96"/>
    <n v="27.7"/>
    <n v="544.47"/>
    <x v="0"/>
    <s v="14"/>
    <x v="11"/>
    <m/>
    <m/>
    <m/>
    <m/>
    <m/>
  </r>
  <r>
    <x v="48"/>
    <x v="5"/>
    <x v="0"/>
    <x v="8"/>
    <x v="2"/>
    <x v="6"/>
    <x v="2"/>
    <x v="3"/>
    <n v="2"/>
    <n v="8.6999999999999993"/>
    <n v="9"/>
    <n v="273.07"/>
    <n v="52"/>
    <x v="2"/>
    <n v="49"/>
    <n v="605"/>
    <s v=""/>
    <x v="2"/>
    <n v="8.1"/>
    <n v="81.8"/>
    <n v="236.66"/>
    <n v="156.6"/>
    <n v="509.73"/>
    <x v="0"/>
    <s v="10"/>
    <x v="11"/>
    <m/>
    <m/>
    <m/>
    <m/>
    <m/>
  </r>
  <r>
    <x v="5"/>
    <x v="3"/>
    <x v="1"/>
    <x v="0"/>
    <x v="0"/>
    <x v="5"/>
    <x v="0"/>
    <x v="2"/>
    <n v="1"/>
    <n v="18.7"/>
    <n v="2"/>
    <n v="190.96"/>
    <n v="71"/>
    <x v="5"/>
    <n v="10"/>
    <n v="920"/>
    <s v=""/>
    <x v="3"/>
    <n v="1.0900000000000001"/>
    <n v="96.82"/>
    <n v="225.97"/>
    <n v="37.4"/>
    <n v="416.93"/>
    <x v="1"/>
    <s v="20"/>
    <x v="11"/>
    <m/>
    <m/>
    <m/>
    <m/>
    <m/>
  </r>
  <r>
    <x v="118"/>
    <x v="5"/>
    <x v="2"/>
    <x v="19"/>
    <x v="1"/>
    <x v="19"/>
    <x v="1"/>
    <x v="4"/>
    <n v="2"/>
    <n v="2.69"/>
    <n v="9"/>
    <n v="389.15"/>
    <n v="87"/>
    <x v="3"/>
    <n v="18"/>
    <n v="256"/>
    <s v=""/>
    <x v="3"/>
    <n v="7.03"/>
    <n v="83.94"/>
    <n v="564.27"/>
    <n v="48.42"/>
    <n v="953.42"/>
    <x v="2"/>
    <s v="4"/>
    <x v="11"/>
    <m/>
    <m/>
    <m/>
    <m/>
    <m/>
  </r>
  <r>
    <x v="143"/>
    <x v="5"/>
    <x v="1"/>
    <x v="8"/>
    <x v="1"/>
    <x v="4"/>
    <x v="3"/>
    <x v="2"/>
    <n v="2"/>
    <n v="10.72"/>
    <n v="4"/>
    <n v="149.03"/>
    <n v="40"/>
    <x v="4"/>
    <n v="19"/>
    <n v="250"/>
    <s v=""/>
    <x v="3"/>
    <n v="7.6"/>
    <n v="82.8"/>
    <n v="99.35"/>
    <n v="85.76"/>
    <n v="248.38"/>
    <x v="0"/>
    <s v="12"/>
    <x v="11"/>
    <m/>
    <m/>
    <m/>
    <m/>
    <m/>
  </r>
  <r>
    <x v="213"/>
    <x v="4"/>
    <x v="1"/>
    <x v="14"/>
    <x v="2"/>
    <x v="15"/>
    <x v="2"/>
    <x v="3"/>
    <n v="2"/>
    <n v="18.45"/>
    <n v="2"/>
    <n v="224.84"/>
    <n v="75"/>
    <x v="1"/>
    <n v="7"/>
    <n v="796"/>
    <s v="Eğitim önerildi"/>
    <x v="0"/>
    <n v="0.88"/>
    <n v="96.24"/>
    <n v="281.05"/>
    <n v="73.8"/>
    <n v="505.89"/>
    <x v="1"/>
    <s v="20"/>
    <x v="11"/>
    <m/>
    <m/>
    <m/>
    <m/>
    <m/>
  </r>
  <r>
    <x v="166"/>
    <x v="5"/>
    <x v="2"/>
    <x v="4"/>
    <x v="3"/>
    <x v="4"/>
    <x v="1"/>
    <x v="0"/>
    <n v="3"/>
    <n v="18.18"/>
    <n v="1"/>
    <n v="439.58"/>
    <n v="48"/>
    <x v="3"/>
    <n v="19"/>
    <n v="277"/>
    <s v=""/>
    <x v="2"/>
    <n v="6.86"/>
    <n v="83.28"/>
    <n v="351.66"/>
    <n v="54.54"/>
    <n v="791.24"/>
    <x v="1"/>
    <s v="20"/>
    <x v="11"/>
    <m/>
    <m/>
    <m/>
    <m/>
    <m/>
  </r>
  <r>
    <x v="198"/>
    <x v="1"/>
    <x v="2"/>
    <x v="10"/>
    <x v="3"/>
    <x v="19"/>
    <x v="1"/>
    <x v="1"/>
    <n v="1"/>
    <n v="3.97"/>
    <n v="4"/>
    <n v="375.99"/>
    <n v="86"/>
    <x v="5"/>
    <n v="24"/>
    <n v="632"/>
    <s v=""/>
    <x v="4"/>
    <n v="3.8"/>
    <n v="91.4"/>
    <n v="538.91999999999996"/>
    <n v="15.88"/>
    <n v="914.91"/>
    <x v="2"/>
    <s v="4"/>
    <x v="11"/>
    <m/>
    <m/>
    <m/>
    <m/>
    <m/>
  </r>
  <r>
    <x v="76"/>
    <x v="4"/>
    <x v="0"/>
    <x v="12"/>
    <x v="4"/>
    <x v="9"/>
    <x v="1"/>
    <x v="0"/>
    <n v="4"/>
    <n v="7.97"/>
    <n v="9"/>
    <n v="231.71"/>
    <n v="64"/>
    <x v="3"/>
    <n v="15"/>
    <n v="211"/>
    <s v=""/>
    <x v="2"/>
    <n v="7.11"/>
    <n v="81.78"/>
    <n v="247.16"/>
    <n v="286.92"/>
    <n v="478.87"/>
    <x v="0"/>
    <s v="8"/>
    <x v="11"/>
    <m/>
    <m/>
    <m/>
    <m/>
    <m/>
  </r>
  <r>
    <x v="206"/>
    <x v="4"/>
    <x v="2"/>
    <x v="14"/>
    <x v="2"/>
    <x v="4"/>
    <x v="2"/>
    <x v="4"/>
    <n v="2"/>
    <n v="12.76"/>
    <n v="9"/>
    <n v="146.63999999999999"/>
    <n v="67"/>
    <x v="5"/>
    <n v="41"/>
    <n v="782"/>
    <s v="Makine ayarı değiştirildi"/>
    <x v="2"/>
    <n v="5.24"/>
    <n v="87.52"/>
    <n v="163.75"/>
    <n v="229.68"/>
    <n v="310.39"/>
    <x v="0"/>
    <s v="14"/>
    <x v="11"/>
    <m/>
    <m/>
    <m/>
    <m/>
    <m/>
  </r>
  <r>
    <x v="24"/>
    <x v="2"/>
    <x v="0"/>
    <x v="7"/>
    <x v="0"/>
    <x v="4"/>
    <x v="2"/>
    <x v="1"/>
    <n v="1"/>
    <n v="4.03"/>
    <n v="4"/>
    <n v="210.19"/>
    <n v="9"/>
    <x v="0"/>
    <n v="42"/>
    <n v="237"/>
    <s v=""/>
    <x v="2"/>
    <n v="17.72"/>
    <n v="63.56"/>
    <n v="31.53"/>
    <n v="16.12"/>
    <n v="241.72"/>
    <x v="2"/>
    <s v="6"/>
    <x v="11"/>
    <m/>
    <m/>
    <m/>
    <m/>
    <m/>
  </r>
  <r>
    <x v="161"/>
    <x v="5"/>
    <x v="2"/>
    <x v="8"/>
    <x v="2"/>
    <x v="8"/>
    <x v="4"/>
    <x v="0"/>
    <n v="5"/>
    <n v="19.39"/>
    <n v="9"/>
    <n v="177.85"/>
    <n v="80"/>
    <x v="2"/>
    <n v="23"/>
    <n v="332"/>
    <s v=""/>
    <x v="0"/>
    <n v="6.93"/>
    <n v="81.14"/>
    <n v="237.13"/>
    <n v="872.55000000000007"/>
    <n v="414.98"/>
    <x v="1"/>
    <s v="20"/>
    <x v="11"/>
    <m/>
    <m/>
    <m/>
    <m/>
    <m/>
  </r>
  <r>
    <x v="237"/>
    <x v="2"/>
    <x v="1"/>
    <x v="12"/>
    <x v="4"/>
    <x v="9"/>
    <x v="4"/>
    <x v="1"/>
    <n v="2"/>
    <n v="18.38"/>
    <n v="6"/>
    <n v="129.24"/>
    <n v="44"/>
    <x v="2"/>
    <n v="4"/>
    <n v="431"/>
    <s v=""/>
    <x v="0"/>
    <n v="0.93"/>
    <n v="96.14"/>
    <n v="94.78"/>
    <n v="220.56"/>
    <n v="224.02"/>
    <x v="1"/>
    <s v="20"/>
    <x v="11"/>
    <m/>
    <m/>
    <m/>
    <m/>
    <m/>
  </r>
  <r>
    <x v="237"/>
    <x v="0"/>
    <x v="0"/>
    <x v="0"/>
    <x v="2"/>
    <x v="9"/>
    <x v="0"/>
    <x v="2"/>
    <n v="2"/>
    <n v="4.17"/>
    <n v="1"/>
    <n v="384.5"/>
    <n v="23"/>
    <x v="3"/>
    <n v="38"/>
    <n v="641"/>
    <s v=""/>
    <x v="0"/>
    <n v="5.93"/>
    <n v="86.14"/>
    <n v="147.38999999999999"/>
    <n v="8.34"/>
    <n v="531.89"/>
    <x v="2"/>
    <s v="6"/>
    <x v="11"/>
    <m/>
    <m/>
    <m/>
    <m/>
    <m/>
  </r>
  <r>
    <x v="209"/>
    <x v="3"/>
    <x v="0"/>
    <x v="18"/>
    <x v="2"/>
    <x v="17"/>
    <x v="2"/>
    <x v="3"/>
    <n v="4"/>
    <n v="3.3"/>
    <n v="6"/>
    <n v="163.43"/>
    <n v="51"/>
    <x v="4"/>
    <n v="4"/>
    <n v="992"/>
    <s v=""/>
    <x v="2"/>
    <n v="0.4"/>
    <n v="95.2"/>
    <n v="138.91999999999999"/>
    <n v="79.199999999999989"/>
    <n v="302.35000000000002"/>
    <x v="2"/>
    <s v="4"/>
    <x v="11"/>
    <m/>
    <m/>
    <m/>
    <m/>
    <m/>
  </r>
  <r>
    <x v="275"/>
    <x v="4"/>
    <x v="0"/>
    <x v="2"/>
    <x v="4"/>
    <x v="18"/>
    <x v="2"/>
    <x v="0"/>
    <n v="3"/>
    <n v="2.62"/>
    <n v="9"/>
    <n v="254.38"/>
    <n v="69"/>
    <x v="1"/>
    <n v="5"/>
    <n v="406"/>
    <s v=""/>
    <x v="0"/>
    <n v="1.23"/>
    <n v="94.54"/>
    <n v="292.54000000000002"/>
    <n v="70.740000000000009"/>
    <n v="546.92000000000007"/>
    <x v="2"/>
    <s v="4"/>
    <x v="11"/>
    <m/>
    <m/>
    <m/>
    <m/>
    <m/>
  </r>
  <r>
    <x v="147"/>
    <x v="0"/>
    <x v="1"/>
    <x v="0"/>
    <x v="3"/>
    <x v="19"/>
    <x v="2"/>
    <x v="4"/>
    <n v="3"/>
    <n v="18.28"/>
    <n v="2"/>
    <n v="223.64"/>
    <n v="71"/>
    <x v="5"/>
    <n v="41"/>
    <n v="260"/>
    <s v=""/>
    <x v="3"/>
    <n v="15.77"/>
    <n v="65.459999999999994"/>
    <n v="264.64"/>
    <n v="109.68"/>
    <n v="488.28"/>
    <x v="1"/>
    <s v="20"/>
    <x v="11"/>
    <m/>
    <m/>
    <m/>
    <m/>
    <m/>
  </r>
  <r>
    <x v="142"/>
    <x v="0"/>
    <x v="1"/>
    <x v="1"/>
    <x v="0"/>
    <x v="13"/>
    <x v="4"/>
    <x v="2"/>
    <n v="2"/>
    <n v="4.68"/>
    <n v="6"/>
    <n v="491.93"/>
    <n v="22"/>
    <x v="1"/>
    <n v="44"/>
    <n v="501"/>
    <s v=""/>
    <x v="0"/>
    <n v="8.7799999999999994"/>
    <n v="80.44"/>
    <n v="180.37"/>
    <n v="56.16"/>
    <n v="672.3"/>
    <x v="2"/>
    <s v="6"/>
    <x v="11"/>
    <m/>
    <m/>
    <m/>
    <m/>
    <m/>
  </r>
  <r>
    <x v="249"/>
    <x v="1"/>
    <x v="1"/>
    <x v="15"/>
    <x v="4"/>
    <x v="17"/>
    <x v="1"/>
    <x v="0"/>
    <n v="1"/>
    <n v="8.91"/>
    <n v="2"/>
    <n v="225.99"/>
    <n v="54"/>
    <x v="2"/>
    <n v="23"/>
    <n v="689"/>
    <s v=""/>
    <x v="1"/>
    <n v="3.34"/>
    <n v="92.32"/>
    <n v="203.39"/>
    <n v="17.82"/>
    <n v="429.38"/>
    <x v="0"/>
    <s v="10"/>
    <x v="11"/>
    <m/>
    <m/>
    <m/>
    <m/>
    <m/>
  </r>
  <r>
    <x v="42"/>
    <x v="3"/>
    <x v="1"/>
    <x v="18"/>
    <x v="1"/>
    <x v="10"/>
    <x v="3"/>
    <x v="2"/>
    <n v="5"/>
    <n v="9.5299999999999994"/>
    <n v="4"/>
    <n v="85.99"/>
    <n v="34"/>
    <x v="4"/>
    <n v="40"/>
    <n v="377"/>
    <s v=""/>
    <x v="0"/>
    <n v="10.61"/>
    <n v="73.78"/>
    <n v="48.73"/>
    <n v="190.6"/>
    <n v="134.72"/>
    <x v="0"/>
    <s v="10"/>
    <x v="11"/>
    <m/>
    <m/>
    <m/>
    <m/>
    <m/>
  </r>
  <r>
    <x v="47"/>
    <x v="0"/>
    <x v="1"/>
    <x v="11"/>
    <x v="3"/>
    <x v="0"/>
    <x v="4"/>
    <x v="4"/>
    <n v="5"/>
    <n v="12.38"/>
    <n v="8"/>
    <n v="90.42"/>
    <n v="70"/>
    <x v="4"/>
    <n v="37"/>
    <n v="419"/>
    <s v=""/>
    <x v="0"/>
    <n v="8.83"/>
    <n v="77.34"/>
    <n v="105.49"/>
    <n v="495.20000000000005"/>
    <n v="195.91"/>
    <x v="0"/>
    <s v="14"/>
    <x v="11"/>
    <m/>
    <m/>
    <m/>
    <m/>
    <m/>
  </r>
  <r>
    <x v="245"/>
    <x v="0"/>
    <x v="0"/>
    <x v="19"/>
    <x v="1"/>
    <x v="17"/>
    <x v="2"/>
    <x v="0"/>
    <n v="1"/>
    <n v="2.36"/>
    <n v="7"/>
    <n v="315.83999999999997"/>
    <n v="9"/>
    <x v="1"/>
    <n v="11"/>
    <n v="632"/>
    <s v=""/>
    <x v="0"/>
    <n v="1.74"/>
    <n v="95.52"/>
    <n v="47.38"/>
    <n v="16.52"/>
    <n v="363.21999999999997"/>
    <x v="2"/>
    <s v="4"/>
    <x v="11"/>
    <m/>
    <m/>
    <m/>
    <m/>
    <m/>
  </r>
  <r>
    <x v="152"/>
    <x v="3"/>
    <x v="1"/>
    <x v="5"/>
    <x v="3"/>
    <x v="11"/>
    <x v="4"/>
    <x v="4"/>
    <n v="2"/>
    <n v="5.31"/>
    <n v="9"/>
    <n v="319.70999999999998"/>
    <n v="46"/>
    <x v="2"/>
    <n v="11"/>
    <n v="996"/>
    <s v=""/>
    <x v="0"/>
    <n v="1.1000000000000001"/>
    <n v="95.8"/>
    <n v="245.11"/>
    <n v="95.58"/>
    <n v="564.81999999999994"/>
    <x v="2"/>
    <s v="6"/>
    <x v="11"/>
    <m/>
    <m/>
    <m/>
    <m/>
    <m/>
  </r>
  <r>
    <x v="183"/>
    <x v="3"/>
    <x v="0"/>
    <x v="11"/>
    <x v="0"/>
    <x v="1"/>
    <x v="0"/>
    <x v="1"/>
    <n v="5"/>
    <n v="18.7"/>
    <n v="7"/>
    <n v="238.44"/>
    <n v="88"/>
    <x v="1"/>
    <n v="13"/>
    <n v="596"/>
    <s v=""/>
    <x v="1"/>
    <n v="2.1800000000000002"/>
    <n v="90.64"/>
    <n v="349.71"/>
    <n v="654.5"/>
    <n v="588.15"/>
    <x v="1"/>
    <s v="20"/>
    <x v="11"/>
    <m/>
    <m/>
    <m/>
    <m/>
    <m/>
  </r>
  <r>
    <x v="173"/>
    <x v="0"/>
    <x v="1"/>
    <x v="17"/>
    <x v="0"/>
    <x v="14"/>
    <x v="2"/>
    <x v="4"/>
    <n v="3"/>
    <n v="18.260000000000002"/>
    <n v="1"/>
    <n v="244.33"/>
    <n v="9"/>
    <x v="3"/>
    <n v="14"/>
    <n v="462"/>
    <s v=""/>
    <x v="4"/>
    <n v="3.03"/>
    <n v="90.94"/>
    <n v="36.65"/>
    <n v="54.78"/>
    <n v="280.98"/>
    <x v="1"/>
    <s v="20"/>
    <x v="11"/>
    <m/>
    <m/>
    <m/>
    <m/>
    <m/>
  </r>
  <r>
    <x v="271"/>
    <x v="3"/>
    <x v="2"/>
    <x v="7"/>
    <x v="2"/>
    <x v="9"/>
    <x v="0"/>
    <x v="1"/>
    <n v="1"/>
    <n v="15.84"/>
    <n v="2"/>
    <n v="74.27"/>
    <n v="54"/>
    <x v="4"/>
    <n v="8"/>
    <n v="471"/>
    <s v=""/>
    <x v="0"/>
    <n v="1.7"/>
    <n v="95.6"/>
    <n v="66.84"/>
    <n v="31.68"/>
    <n v="141.11000000000001"/>
    <x v="1"/>
    <s v="16"/>
    <x v="11"/>
    <m/>
    <m/>
    <m/>
    <m/>
    <m/>
  </r>
  <r>
    <x v="239"/>
    <x v="0"/>
    <x v="0"/>
    <x v="0"/>
    <x v="1"/>
    <x v="2"/>
    <x v="2"/>
    <x v="0"/>
    <n v="4"/>
    <n v="1.37"/>
    <n v="6"/>
    <n v="282.45"/>
    <n v="89"/>
    <x v="4"/>
    <n v="25"/>
    <n v="991"/>
    <s v=""/>
    <x v="3"/>
    <n v="2.52"/>
    <n v="90.96"/>
    <n v="418.97"/>
    <n v="32.880000000000003"/>
    <n v="701.42000000000007"/>
    <x v="2"/>
    <s v="2"/>
    <x v="11"/>
    <m/>
    <m/>
    <m/>
    <m/>
    <m/>
  </r>
  <r>
    <x v="64"/>
    <x v="0"/>
    <x v="2"/>
    <x v="4"/>
    <x v="3"/>
    <x v="7"/>
    <x v="4"/>
    <x v="1"/>
    <n v="2"/>
    <n v="7.21"/>
    <n v="7"/>
    <n v="277.13"/>
    <n v="62"/>
    <x v="3"/>
    <n v="18"/>
    <n v="754"/>
    <s v=""/>
    <x v="1"/>
    <n v="2.39"/>
    <n v="93.22"/>
    <n v="286.37"/>
    <n v="100.94"/>
    <n v="563.5"/>
    <x v="0"/>
    <s v="8"/>
    <x v="11"/>
    <m/>
    <m/>
    <m/>
    <m/>
    <m/>
  </r>
  <r>
    <x v="39"/>
    <x v="1"/>
    <x v="0"/>
    <x v="16"/>
    <x v="0"/>
    <x v="8"/>
    <x v="1"/>
    <x v="0"/>
    <n v="1"/>
    <n v="12.93"/>
    <n v="3"/>
    <n v="117.3"/>
    <n v="83"/>
    <x v="2"/>
    <n v="44"/>
    <n v="135"/>
    <s v=""/>
    <x v="4"/>
    <n v="32.590000000000003"/>
    <n v="33.82"/>
    <n v="162.26"/>
    <n v="38.79"/>
    <n v="279.56"/>
    <x v="0"/>
    <s v="14"/>
    <x v="11"/>
    <m/>
    <m/>
    <m/>
    <m/>
    <m/>
  </r>
  <r>
    <x v="20"/>
    <x v="5"/>
    <x v="2"/>
    <x v="1"/>
    <x v="4"/>
    <x v="0"/>
    <x v="3"/>
    <x v="0"/>
    <n v="5"/>
    <n v="6.23"/>
    <n v="9"/>
    <n v="96.73"/>
    <n v="88"/>
    <x v="4"/>
    <n v="44"/>
    <n v="402"/>
    <s v=""/>
    <x v="0"/>
    <n v="10.95"/>
    <n v="73.099999999999994"/>
    <n v="141.87"/>
    <n v="280.35000000000002"/>
    <n v="238.60000000000002"/>
    <x v="0"/>
    <s v="8"/>
    <x v="11"/>
    <m/>
    <m/>
    <m/>
    <m/>
    <m/>
  </r>
  <r>
    <x v="67"/>
    <x v="0"/>
    <x v="1"/>
    <x v="1"/>
    <x v="0"/>
    <x v="4"/>
    <x v="0"/>
    <x v="3"/>
    <n v="2"/>
    <n v="18.28"/>
    <n v="7"/>
    <n v="105.61"/>
    <n v="12"/>
    <x v="0"/>
    <n v="18"/>
    <n v="537"/>
    <s v=""/>
    <x v="4"/>
    <n v="3.35"/>
    <n v="91.3"/>
    <n v="21.12"/>
    <n v="255.92000000000002"/>
    <n v="126.73"/>
    <x v="1"/>
    <s v="20"/>
    <x v="11"/>
    <m/>
    <m/>
    <m/>
    <m/>
    <m/>
  </r>
  <r>
    <x v="40"/>
    <x v="2"/>
    <x v="1"/>
    <x v="18"/>
    <x v="4"/>
    <x v="0"/>
    <x v="4"/>
    <x v="0"/>
    <n v="3"/>
    <n v="13.04"/>
    <n v="6"/>
    <n v="95.46"/>
    <n v="35"/>
    <x v="0"/>
    <n v="10"/>
    <n v="825"/>
    <s v=""/>
    <x v="3"/>
    <n v="1.21"/>
    <n v="94.58"/>
    <n v="55.68"/>
    <n v="234.71999999999997"/>
    <n v="151.13999999999999"/>
    <x v="0"/>
    <s v="14"/>
    <x v="11"/>
    <m/>
    <m/>
    <m/>
    <m/>
    <m/>
  </r>
  <r>
    <x v="276"/>
    <x v="4"/>
    <x v="1"/>
    <x v="17"/>
    <x v="3"/>
    <x v="18"/>
    <x v="1"/>
    <x v="1"/>
    <n v="2"/>
    <n v="2.37"/>
    <n v="6"/>
    <n v="324.37"/>
    <n v="16"/>
    <x v="0"/>
    <n v="7"/>
    <n v="131"/>
    <s v=""/>
    <x v="1"/>
    <n v="5.34"/>
    <n v="87.32"/>
    <n v="86.5"/>
    <n v="28.44"/>
    <n v="410.87"/>
    <x v="2"/>
    <s v="4"/>
    <x v="11"/>
    <m/>
    <m/>
    <m/>
    <m/>
    <m/>
  </r>
  <r>
    <x v="173"/>
    <x v="5"/>
    <x v="0"/>
    <x v="2"/>
    <x v="0"/>
    <x v="9"/>
    <x v="4"/>
    <x v="3"/>
    <n v="2"/>
    <n v="18.27"/>
    <n v="1"/>
    <n v="138.41999999999999"/>
    <n v="25"/>
    <x v="5"/>
    <n v="44"/>
    <n v="285"/>
    <s v=""/>
    <x v="1"/>
    <n v="15.44"/>
    <n v="67.12"/>
    <n v="57.68"/>
    <n v="36.54"/>
    <n v="196.1"/>
    <x v="1"/>
    <s v="20"/>
    <x v="11"/>
    <m/>
    <m/>
    <m/>
    <m/>
    <m/>
  </r>
  <r>
    <x v="153"/>
    <x v="5"/>
    <x v="2"/>
    <x v="19"/>
    <x v="0"/>
    <x v="13"/>
    <x v="0"/>
    <x v="3"/>
    <n v="3"/>
    <n v="19.2"/>
    <n v="5"/>
    <n v="163.13999999999999"/>
    <n v="66"/>
    <x v="5"/>
    <n v="14"/>
    <n v="273"/>
    <s v=""/>
    <x v="4"/>
    <n v="5.13"/>
    <n v="86.74"/>
    <n v="179.45"/>
    <n v="288"/>
    <n v="342.59"/>
    <x v="1"/>
    <s v="20"/>
    <x v="11"/>
    <m/>
    <m/>
    <m/>
    <m/>
    <m/>
  </r>
  <r>
    <x v="188"/>
    <x v="5"/>
    <x v="1"/>
    <x v="6"/>
    <x v="3"/>
    <x v="15"/>
    <x v="3"/>
    <x v="0"/>
    <n v="3"/>
    <n v="2.48"/>
    <n v="3"/>
    <n v="128.11000000000001"/>
    <n v="37"/>
    <x v="2"/>
    <n v="15"/>
    <n v="665"/>
    <s v=""/>
    <x v="0"/>
    <n v="2.2599999999999998"/>
    <n v="92.48"/>
    <n v="79"/>
    <n v="22.32"/>
    <n v="207.11"/>
    <x v="2"/>
    <s v="4"/>
    <x v="11"/>
    <m/>
    <m/>
    <m/>
    <m/>
    <m/>
  </r>
  <r>
    <x v="212"/>
    <x v="1"/>
    <x v="2"/>
    <x v="9"/>
    <x v="0"/>
    <x v="8"/>
    <x v="4"/>
    <x v="4"/>
    <n v="2"/>
    <n v="11.11"/>
    <n v="7"/>
    <n v="481.03"/>
    <n v="30"/>
    <x v="3"/>
    <n v="16"/>
    <n v="772"/>
    <s v=""/>
    <x v="2"/>
    <n v="2.0699999999999998"/>
    <n v="93.86"/>
    <n v="240.52"/>
    <n v="155.54"/>
    <n v="721.55"/>
    <x v="0"/>
    <s v="12"/>
    <x v="11"/>
    <m/>
    <m/>
    <m/>
    <m/>
    <m/>
  </r>
  <r>
    <x v="277"/>
    <x v="0"/>
    <x v="2"/>
    <x v="6"/>
    <x v="4"/>
    <x v="8"/>
    <x v="2"/>
    <x v="4"/>
    <n v="3"/>
    <n v="6.76"/>
    <n v="3"/>
    <n v="434.58"/>
    <n v="44"/>
    <x v="1"/>
    <n v="2"/>
    <n v="349"/>
    <s v=""/>
    <x v="1"/>
    <n v="0.56999999999999995"/>
    <n v="95.86"/>
    <n v="318.69"/>
    <n v="60.839999999999996"/>
    <n v="753.27"/>
    <x v="0"/>
    <s v="8"/>
    <x v="11"/>
    <m/>
    <m/>
    <m/>
    <m/>
    <m/>
  </r>
  <r>
    <x v="205"/>
    <x v="1"/>
    <x v="1"/>
    <x v="10"/>
    <x v="0"/>
    <x v="7"/>
    <x v="1"/>
    <x v="3"/>
    <n v="1"/>
    <n v="8.4600000000000009"/>
    <n v="5"/>
    <n v="153.72"/>
    <n v="69"/>
    <x v="2"/>
    <n v="30"/>
    <n v="862"/>
    <s v=""/>
    <x v="2"/>
    <n v="3.48"/>
    <n v="92.04"/>
    <n v="176.78"/>
    <n v="42.300000000000004"/>
    <n v="330.5"/>
    <x v="0"/>
    <s v="10"/>
    <x v="11"/>
    <m/>
    <m/>
    <m/>
    <m/>
    <m/>
  </r>
  <r>
    <x v="234"/>
    <x v="0"/>
    <x v="1"/>
    <x v="7"/>
    <x v="1"/>
    <x v="14"/>
    <x v="4"/>
    <x v="0"/>
    <n v="3"/>
    <n v="4.41"/>
    <n v="7"/>
    <n v="197.4"/>
    <n v="63"/>
    <x v="1"/>
    <n v="30"/>
    <n v="378"/>
    <s v=""/>
    <x v="1"/>
    <n v="7.94"/>
    <n v="81.12"/>
    <n v="207.27"/>
    <n v="92.61"/>
    <n v="404.67"/>
    <x v="2"/>
    <s v="6"/>
    <x v="11"/>
    <m/>
    <m/>
    <m/>
    <m/>
    <m/>
  </r>
  <r>
    <x v="75"/>
    <x v="1"/>
    <x v="2"/>
    <x v="13"/>
    <x v="2"/>
    <x v="18"/>
    <x v="1"/>
    <x v="4"/>
    <n v="3"/>
    <n v="11.98"/>
    <n v="3"/>
    <n v="144.44999999999999"/>
    <n v="19"/>
    <x v="2"/>
    <n v="18"/>
    <n v="782"/>
    <s v=""/>
    <x v="0"/>
    <n v="2.2999999999999998"/>
    <n v="92.4"/>
    <n v="45.74"/>
    <n v="107.82000000000001"/>
    <n v="190.19"/>
    <x v="0"/>
    <s v="12"/>
    <x v="11"/>
    <m/>
    <m/>
    <m/>
    <m/>
    <m/>
  </r>
  <r>
    <x v="12"/>
    <x v="1"/>
    <x v="1"/>
    <x v="7"/>
    <x v="4"/>
    <x v="19"/>
    <x v="2"/>
    <x v="0"/>
    <n v="2"/>
    <n v="19.2"/>
    <n v="2"/>
    <n v="271.33999999999997"/>
    <n v="5"/>
    <x v="5"/>
    <n v="31"/>
    <n v="794"/>
    <s v=""/>
    <x v="0"/>
    <n v="3.9"/>
    <n v="90.2"/>
    <n v="22.61"/>
    <n v="76.8"/>
    <n v="293.95"/>
    <x v="1"/>
    <s v="20"/>
    <x v="11"/>
    <m/>
    <m/>
    <m/>
    <m/>
    <m/>
  </r>
  <r>
    <x v="182"/>
    <x v="4"/>
    <x v="1"/>
    <x v="17"/>
    <x v="1"/>
    <x v="6"/>
    <x v="3"/>
    <x v="0"/>
    <n v="1"/>
    <n v="10.56"/>
    <n v="6"/>
    <n v="58.82"/>
    <n v="15"/>
    <x v="0"/>
    <n v="44"/>
    <n v="101"/>
    <s v=""/>
    <x v="1"/>
    <n v="43.56"/>
    <n v="11.88"/>
    <n v="14.7"/>
    <n v="63.36"/>
    <n v="73.52"/>
    <x v="0"/>
    <s v="12"/>
    <x v="11"/>
    <m/>
    <m/>
    <m/>
    <m/>
    <m/>
  </r>
  <r>
    <x v="56"/>
    <x v="2"/>
    <x v="1"/>
    <x v="0"/>
    <x v="3"/>
    <x v="16"/>
    <x v="3"/>
    <x v="3"/>
    <n v="4"/>
    <n v="2.58"/>
    <n v="8"/>
    <n v="352.12"/>
    <n v="59"/>
    <x v="3"/>
    <n v="48"/>
    <n v="293"/>
    <s v=""/>
    <x v="4"/>
    <n v="16.38"/>
    <n v="63.24"/>
    <n v="346.25"/>
    <n v="82.56"/>
    <n v="698.37"/>
    <x v="2"/>
    <s v="4"/>
    <x v="11"/>
    <m/>
    <m/>
    <m/>
    <m/>
    <m/>
  </r>
  <r>
    <x v="256"/>
    <x v="1"/>
    <x v="0"/>
    <x v="12"/>
    <x v="4"/>
    <x v="13"/>
    <x v="2"/>
    <x v="3"/>
    <n v="4"/>
    <n v="12.78"/>
    <n v="4"/>
    <n v="285.42"/>
    <n v="6"/>
    <x v="5"/>
    <n v="13"/>
    <n v="265"/>
    <s v=""/>
    <x v="0"/>
    <n v="4.91"/>
    <n v="86.18"/>
    <n v="28.54"/>
    <n v="204.48"/>
    <n v="313.96000000000004"/>
    <x v="0"/>
    <s v="14"/>
    <x v="11"/>
    <m/>
    <m/>
    <m/>
    <m/>
    <m/>
  </r>
  <r>
    <x v="59"/>
    <x v="4"/>
    <x v="2"/>
    <x v="10"/>
    <x v="2"/>
    <x v="15"/>
    <x v="1"/>
    <x v="2"/>
    <n v="5"/>
    <n v="7.46"/>
    <n v="9"/>
    <n v="454.39"/>
    <n v="69"/>
    <x v="3"/>
    <n v="20"/>
    <n v="858"/>
    <s v=""/>
    <x v="0"/>
    <n v="2.33"/>
    <n v="90.34"/>
    <n v="522.54999999999995"/>
    <n v="335.7"/>
    <n v="976.93999999999994"/>
    <x v="0"/>
    <s v="8"/>
    <x v="11"/>
    <m/>
    <m/>
    <m/>
    <m/>
    <m/>
  </r>
  <r>
    <x v="200"/>
    <x v="3"/>
    <x v="2"/>
    <x v="9"/>
    <x v="2"/>
    <x v="6"/>
    <x v="4"/>
    <x v="4"/>
    <n v="3"/>
    <n v="17.260000000000002"/>
    <n v="8"/>
    <n v="123.98"/>
    <n v="48"/>
    <x v="1"/>
    <n v="49"/>
    <n v="855"/>
    <s v=""/>
    <x v="3"/>
    <n v="5.73"/>
    <n v="85.54"/>
    <n v="99.18"/>
    <n v="414.24"/>
    <n v="223.16000000000003"/>
    <x v="1"/>
    <s v="18"/>
    <x v="11"/>
    <m/>
    <m/>
    <m/>
    <m/>
    <m/>
  </r>
  <r>
    <x v="84"/>
    <x v="2"/>
    <x v="0"/>
    <x v="8"/>
    <x v="3"/>
    <x v="9"/>
    <x v="2"/>
    <x v="4"/>
    <n v="3"/>
    <n v="9.26"/>
    <n v="7"/>
    <n v="411.85"/>
    <n v="20"/>
    <x v="2"/>
    <n v="35"/>
    <n v="209"/>
    <s v=""/>
    <x v="0"/>
    <n v="16.75"/>
    <n v="63.5"/>
    <n v="137.28"/>
    <n v="194.46"/>
    <n v="549.13"/>
    <x v="0"/>
    <s v="10"/>
    <x v="11"/>
    <m/>
    <m/>
    <m/>
    <m/>
    <m/>
  </r>
  <r>
    <x v="107"/>
    <x v="1"/>
    <x v="2"/>
    <x v="15"/>
    <x v="3"/>
    <x v="16"/>
    <x v="0"/>
    <x v="4"/>
    <n v="1"/>
    <n v="4.66"/>
    <n v="7"/>
    <n v="406.38"/>
    <n v="26"/>
    <x v="4"/>
    <n v="23"/>
    <n v="479"/>
    <s v=""/>
    <x v="3"/>
    <n v="4.8"/>
    <n v="89.4"/>
    <n v="176.1"/>
    <n v="32.620000000000005"/>
    <n v="582.48"/>
    <x v="2"/>
    <s v="6"/>
    <x v="11"/>
    <m/>
    <m/>
    <m/>
    <m/>
    <m/>
  </r>
  <r>
    <x v="126"/>
    <x v="5"/>
    <x v="1"/>
    <x v="0"/>
    <x v="4"/>
    <x v="12"/>
    <x v="1"/>
    <x v="1"/>
    <n v="4"/>
    <n v="4.63"/>
    <n v="3"/>
    <n v="107.23"/>
    <n v="22"/>
    <x v="4"/>
    <n v="42"/>
    <n v="934"/>
    <s v=""/>
    <x v="0"/>
    <n v="4.5"/>
    <n v="87"/>
    <n v="39.32"/>
    <n v="55.56"/>
    <n v="146.55000000000001"/>
    <x v="2"/>
    <s v="6"/>
    <x v="11"/>
    <m/>
    <m/>
    <m/>
    <m/>
    <m/>
  </r>
  <r>
    <x v="143"/>
    <x v="3"/>
    <x v="2"/>
    <x v="9"/>
    <x v="0"/>
    <x v="7"/>
    <x v="3"/>
    <x v="0"/>
    <n v="5"/>
    <n v="15.61"/>
    <n v="6"/>
    <n v="229.35"/>
    <n v="51"/>
    <x v="3"/>
    <n v="33"/>
    <n v="682"/>
    <s v=""/>
    <x v="0"/>
    <n v="4.84"/>
    <n v="85.32"/>
    <n v="194.95"/>
    <n v="468.29999999999995"/>
    <n v="424.29999999999995"/>
    <x v="1"/>
    <s v="16"/>
    <x v="11"/>
    <m/>
    <m/>
    <m/>
    <m/>
    <m/>
  </r>
  <r>
    <x v="225"/>
    <x v="3"/>
    <x v="1"/>
    <x v="1"/>
    <x v="3"/>
    <x v="9"/>
    <x v="2"/>
    <x v="3"/>
    <n v="1"/>
    <n v="6.05"/>
    <n v="5"/>
    <n v="126.57"/>
    <n v="85"/>
    <x v="0"/>
    <n v="38"/>
    <n v="775"/>
    <s v=""/>
    <x v="4"/>
    <n v="4.9000000000000004"/>
    <n v="89.2"/>
    <n v="179.31"/>
    <n v="30.25"/>
    <n v="305.88"/>
    <x v="0"/>
    <s v="8"/>
    <x v="11"/>
    <m/>
    <m/>
    <m/>
    <m/>
    <m/>
  </r>
  <r>
    <x v="278"/>
    <x v="4"/>
    <x v="0"/>
    <x v="7"/>
    <x v="0"/>
    <x v="0"/>
    <x v="3"/>
    <x v="4"/>
    <n v="3"/>
    <n v="15.58"/>
    <n v="1"/>
    <n v="164.62"/>
    <n v="34"/>
    <x v="0"/>
    <n v="35"/>
    <n v="384"/>
    <s v=""/>
    <x v="4"/>
    <n v="9.11"/>
    <n v="78.78"/>
    <n v="93.28"/>
    <n v="46.74"/>
    <n v="257.89999999999998"/>
    <x v="1"/>
    <s v="16"/>
    <x v="11"/>
    <m/>
    <m/>
    <m/>
    <m/>
    <m/>
  </r>
  <r>
    <x v="60"/>
    <x v="3"/>
    <x v="1"/>
    <x v="5"/>
    <x v="1"/>
    <x v="2"/>
    <x v="1"/>
    <x v="2"/>
    <n v="4"/>
    <n v="4.91"/>
    <n v="3"/>
    <n v="168.46"/>
    <n v="14"/>
    <x v="3"/>
    <n v="36"/>
    <n v="986"/>
    <s v=""/>
    <x v="0"/>
    <n v="3.65"/>
    <n v="88.7"/>
    <n v="39.31"/>
    <n v="58.92"/>
    <n v="207.77"/>
    <x v="2"/>
    <s v="6"/>
    <x v="11"/>
    <m/>
    <m/>
    <m/>
    <m/>
    <m/>
  </r>
  <r>
    <x v="212"/>
    <x v="2"/>
    <x v="2"/>
    <x v="17"/>
    <x v="2"/>
    <x v="9"/>
    <x v="3"/>
    <x v="4"/>
    <n v="5"/>
    <n v="7.11"/>
    <n v="1"/>
    <n v="300.31"/>
    <n v="62"/>
    <x v="5"/>
    <n v="20"/>
    <n v="520"/>
    <s v=""/>
    <x v="1"/>
    <n v="3.85"/>
    <n v="87.3"/>
    <n v="310.32"/>
    <n v="35.550000000000004"/>
    <n v="610.63"/>
    <x v="0"/>
    <s v="8"/>
    <x v="11"/>
    <m/>
    <m/>
    <m/>
    <m/>
    <m/>
  </r>
  <r>
    <x v="16"/>
    <x v="1"/>
    <x v="2"/>
    <x v="16"/>
    <x v="0"/>
    <x v="1"/>
    <x v="2"/>
    <x v="0"/>
    <n v="2"/>
    <n v="9.84"/>
    <n v="4"/>
    <n v="235.13"/>
    <n v="66"/>
    <x v="4"/>
    <n v="3"/>
    <n v="212"/>
    <s v=""/>
    <x v="1"/>
    <n v="1.42"/>
    <n v="95.16"/>
    <n v="258.64"/>
    <n v="78.72"/>
    <n v="493.77"/>
    <x v="0"/>
    <s v="10"/>
    <x v="11"/>
    <m/>
    <m/>
    <m/>
    <m/>
    <m/>
  </r>
  <r>
    <x v="54"/>
    <x v="1"/>
    <x v="2"/>
    <x v="15"/>
    <x v="2"/>
    <x v="2"/>
    <x v="1"/>
    <x v="0"/>
    <n v="4"/>
    <n v="18.920000000000002"/>
    <n v="3"/>
    <n v="476.48"/>
    <n v="89"/>
    <x v="5"/>
    <n v="8"/>
    <n v="327"/>
    <s v=""/>
    <x v="0"/>
    <n v="2.4500000000000002"/>
    <n v="91.1"/>
    <n v="706.78"/>
    <n v="227.04000000000002"/>
    <n v="1183.26"/>
    <x v="1"/>
    <s v="20"/>
    <x v="11"/>
    <m/>
    <m/>
    <m/>
    <m/>
    <m/>
  </r>
  <r>
    <x v="123"/>
    <x v="5"/>
    <x v="0"/>
    <x v="7"/>
    <x v="0"/>
    <x v="4"/>
    <x v="0"/>
    <x v="3"/>
    <n v="5"/>
    <n v="18.7"/>
    <n v="4"/>
    <n v="106.87"/>
    <n v="84"/>
    <x v="1"/>
    <n v="40"/>
    <n v="570"/>
    <s v=""/>
    <x v="1"/>
    <n v="7.02"/>
    <n v="80.959999999999994"/>
    <n v="149.62"/>
    <n v="374"/>
    <n v="256.49"/>
    <x v="1"/>
    <s v="20"/>
    <x v="11"/>
    <m/>
    <m/>
    <m/>
    <m/>
    <m/>
  </r>
  <r>
    <x v="3"/>
    <x v="4"/>
    <x v="0"/>
    <x v="1"/>
    <x v="1"/>
    <x v="4"/>
    <x v="2"/>
    <x v="1"/>
    <n v="1"/>
    <n v="4.93"/>
    <n v="9"/>
    <n v="488.16"/>
    <n v="10"/>
    <x v="4"/>
    <n v="32"/>
    <n v="912"/>
    <s v=""/>
    <x v="0"/>
    <n v="3.51"/>
    <n v="91.98"/>
    <n v="81.36"/>
    <n v="44.37"/>
    <n v="569.52"/>
    <x v="2"/>
    <s v="6"/>
    <x v="11"/>
    <m/>
    <m/>
    <m/>
    <m/>
    <m/>
  </r>
  <r>
    <x v="220"/>
    <x v="5"/>
    <x v="2"/>
    <x v="12"/>
    <x v="3"/>
    <x v="4"/>
    <x v="4"/>
    <x v="3"/>
    <n v="2"/>
    <n v="7.81"/>
    <n v="3"/>
    <n v="153.79"/>
    <n v="71"/>
    <x v="1"/>
    <n v="29"/>
    <n v="627"/>
    <s v=""/>
    <x v="4"/>
    <n v="4.63"/>
    <n v="88.74"/>
    <n v="181.98"/>
    <n v="46.86"/>
    <n v="335.77"/>
    <x v="0"/>
    <s v="8"/>
    <x v="11"/>
    <m/>
    <m/>
    <m/>
    <m/>
    <m/>
  </r>
  <r>
    <x v="224"/>
    <x v="3"/>
    <x v="1"/>
    <x v="10"/>
    <x v="1"/>
    <x v="15"/>
    <x v="2"/>
    <x v="4"/>
    <n v="5"/>
    <n v="3.84"/>
    <n v="6"/>
    <n v="397.79"/>
    <n v="45"/>
    <x v="2"/>
    <n v="7"/>
    <n v="595"/>
    <s v=""/>
    <x v="2"/>
    <n v="1.18"/>
    <n v="92.64"/>
    <n v="298.33999999999997"/>
    <n v="115.19999999999999"/>
    <n v="696.13"/>
    <x v="2"/>
    <s v="4"/>
    <x v="11"/>
    <m/>
    <m/>
    <m/>
    <m/>
    <m/>
  </r>
  <r>
    <x v="2"/>
    <x v="5"/>
    <x v="0"/>
    <x v="19"/>
    <x v="3"/>
    <x v="4"/>
    <x v="1"/>
    <x v="2"/>
    <n v="5"/>
    <n v="10.69"/>
    <n v="6"/>
    <n v="202.54"/>
    <n v="47"/>
    <x v="5"/>
    <n v="2"/>
    <n v="130"/>
    <s v=""/>
    <x v="3"/>
    <n v="1.54"/>
    <n v="91.92"/>
    <n v="158.66"/>
    <n v="320.7"/>
    <n v="361.2"/>
    <x v="0"/>
    <s v="12"/>
    <x v="11"/>
    <m/>
    <m/>
    <m/>
    <m/>
    <m/>
  </r>
  <r>
    <x v="26"/>
    <x v="2"/>
    <x v="2"/>
    <x v="17"/>
    <x v="3"/>
    <x v="19"/>
    <x v="2"/>
    <x v="3"/>
    <n v="3"/>
    <n v="9.75"/>
    <n v="7"/>
    <n v="114.39"/>
    <n v="89"/>
    <x v="3"/>
    <n v="21"/>
    <n v="261"/>
    <s v=""/>
    <x v="1"/>
    <n v="8.0500000000000007"/>
    <n v="80.900000000000006"/>
    <n v="169.68"/>
    <n v="204.75"/>
    <n v="284.07"/>
    <x v="0"/>
    <s v="10"/>
    <x v="11"/>
    <m/>
    <m/>
    <m/>
    <m/>
    <m/>
  </r>
  <r>
    <x v="29"/>
    <x v="1"/>
    <x v="2"/>
    <x v="7"/>
    <x v="2"/>
    <x v="18"/>
    <x v="0"/>
    <x v="1"/>
    <n v="4"/>
    <n v="18.11"/>
    <n v="9"/>
    <n v="436.05"/>
    <n v="81"/>
    <x v="4"/>
    <n v="6"/>
    <n v="917"/>
    <s v=""/>
    <x v="1"/>
    <n v="0.65"/>
    <n v="94.7"/>
    <n v="588.66999999999996"/>
    <n v="651.96"/>
    <n v="1024.72"/>
    <x v="1"/>
    <s v="20"/>
    <x v="11"/>
    <m/>
    <m/>
    <m/>
    <m/>
    <m/>
  </r>
  <r>
    <x v="265"/>
    <x v="3"/>
    <x v="0"/>
    <x v="18"/>
    <x v="1"/>
    <x v="4"/>
    <x v="0"/>
    <x v="3"/>
    <n v="3"/>
    <n v="18.670000000000002"/>
    <n v="7"/>
    <n v="188.99"/>
    <n v="22"/>
    <x v="5"/>
    <n v="28"/>
    <n v="804"/>
    <s v=""/>
    <x v="4"/>
    <n v="3.48"/>
    <n v="90.04"/>
    <n v="69.3"/>
    <n v="392.07000000000005"/>
    <n v="258.29000000000002"/>
    <x v="1"/>
    <s v="20"/>
    <x v="11"/>
    <m/>
    <m/>
    <m/>
    <m/>
    <m/>
  </r>
  <r>
    <x v="44"/>
    <x v="5"/>
    <x v="0"/>
    <x v="3"/>
    <x v="0"/>
    <x v="7"/>
    <x v="4"/>
    <x v="0"/>
    <n v="2"/>
    <n v="8.2899999999999991"/>
    <n v="1"/>
    <n v="346.48"/>
    <n v="62"/>
    <x v="3"/>
    <n v="48"/>
    <n v="821"/>
    <s v=""/>
    <x v="1"/>
    <n v="5.85"/>
    <n v="86.3"/>
    <n v="358.03"/>
    <n v="16.579999999999998"/>
    <n v="704.51"/>
    <x v="0"/>
    <s v="10"/>
    <x v="11"/>
    <m/>
    <m/>
    <m/>
    <m/>
    <m/>
  </r>
  <r>
    <x v="191"/>
    <x v="4"/>
    <x v="0"/>
    <x v="6"/>
    <x v="1"/>
    <x v="13"/>
    <x v="3"/>
    <x v="4"/>
    <n v="5"/>
    <n v="10.34"/>
    <n v="8"/>
    <n v="304.89999999999998"/>
    <n v="64"/>
    <x v="2"/>
    <n v="42"/>
    <n v="477"/>
    <s v=""/>
    <x v="0"/>
    <n v="8.81"/>
    <n v="77.38"/>
    <n v="325.23"/>
    <n v="413.6"/>
    <n v="630.13"/>
    <x v="0"/>
    <s v="12"/>
    <x v="11"/>
    <m/>
    <m/>
    <m/>
    <m/>
    <m/>
  </r>
  <r>
    <x v="52"/>
    <x v="2"/>
    <x v="1"/>
    <x v="6"/>
    <x v="2"/>
    <x v="8"/>
    <x v="1"/>
    <x v="4"/>
    <n v="3"/>
    <n v="18.03"/>
    <n v="5"/>
    <n v="262.29000000000002"/>
    <n v="31"/>
    <x v="4"/>
    <n v="36"/>
    <n v="545"/>
    <s v=""/>
    <x v="0"/>
    <n v="6.61"/>
    <n v="83.78"/>
    <n v="135.52000000000001"/>
    <n v="270.45000000000005"/>
    <n v="397.81000000000006"/>
    <x v="1"/>
    <s v="20"/>
    <x v="11"/>
    <m/>
    <m/>
    <m/>
    <m/>
    <m/>
  </r>
  <r>
    <x v="205"/>
    <x v="2"/>
    <x v="1"/>
    <x v="16"/>
    <x v="3"/>
    <x v="5"/>
    <x v="1"/>
    <x v="4"/>
    <n v="4"/>
    <n v="16.329999999999998"/>
    <n v="9"/>
    <n v="273.12"/>
    <n v="72"/>
    <x v="1"/>
    <n v="32"/>
    <n v="843"/>
    <s v=""/>
    <x v="2"/>
    <n v="3.8"/>
    <n v="88.4"/>
    <n v="327.74"/>
    <n v="587.87999999999988"/>
    <n v="600.86"/>
    <x v="1"/>
    <s v="18"/>
    <x v="11"/>
    <m/>
    <m/>
    <m/>
    <m/>
    <m/>
  </r>
  <r>
    <x v="252"/>
    <x v="5"/>
    <x v="2"/>
    <x v="1"/>
    <x v="2"/>
    <x v="10"/>
    <x v="3"/>
    <x v="4"/>
    <n v="2"/>
    <n v="1.07"/>
    <n v="5"/>
    <n v="379.51"/>
    <n v="26"/>
    <x v="2"/>
    <n v="45"/>
    <n v="526"/>
    <s v=""/>
    <x v="2"/>
    <n v="8.56"/>
    <n v="80.88"/>
    <n v="164.45"/>
    <n v="10.700000000000001"/>
    <n v="543.96"/>
    <x v="2"/>
    <s v="2"/>
    <x v="11"/>
    <m/>
    <m/>
    <m/>
    <m/>
    <m/>
  </r>
  <r>
    <x v="279"/>
    <x v="1"/>
    <x v="0"/>
    <x v="6"/>
    <x v="4"/>
    <x v="5"/>
    <x v="0"/>
    <x v="4"/>
    <n v="1"/>
    <n v="7.08"/>
    <n v="5"/>
    <n v="89.5"/>
    <n v="28"/>
    <x v="0"/>
    <n v="42"/>
    <n v="795"/>
    <s v=""/>
    <x v="2"/>
    <n v="5.28"/>
    <n v="88.44"/>
    <n v="41.77"/>
    <n v="35.4"/>
    <n v="131.27000000000001"/>
    <x v="0"/>
    <s v="8"/>
    <x v="11"/>
    <m/>
    <m/>
    <m/>
    <m/>
    <m/>
  </r>
  <r>
    <x v="10"/>
    <x v="5"/>
    <x v="1"/>
    <x v="5"/>
    <x v="4"/>
    <x v="2"/>
    <x v="0"/>
    <x v="4"/>
    <n v="3"/>
    <n v="9.01"/>
    <n v="2"/>
    <n v="350.68"/>
    <n v="44"/>
    <x v="3"/>
    <n v="46"/>
    <n v="603"/>
    <s v=""/>
    <x v="0"/>
    <n v="7.63"/>
    <n v="81.739999999999995"/>
    <n v="257.17"/>
    <n v="54.06"/>
    <n v="607.85"/>
    <x v="0"/>
    <s v="10"/>
    <x v="11"/>
    <m/>
    <m/>
    <m/>
    <m/>
    <m/>
  </r>
  <r>
    <x v="275"/>
    <x v="3"/>
    <x v="0"/>
    <x v="4"/>
    <x v="0"/>
    <x v="5"/>
    <x v="2"/>
    <x v="2"/>
    <n v="2"/>
    <n v="5.36"/>
    <n v="3"/>
    <n v="453.12"/>
    <n v="78"/>
    <x v="4"/>
    <n v="9"/>
    <n v="626"/>
    <s v=""/>
    <x v="2"/>
    <n v="1.44"/>
    <n v="95.12"/>
    <n v="589.05999999999995"/>
    <n v="32.160000000000004"/>
    <n v="1042.1799999999998"/>
    <x v="2"/>
    <s v="6"/>
    <x v="11"/>
    <m/>
    <m/>
    <m/>
    <m/>
    <m/>
  </r>
  <r>
    <x v="268"/>
    <x v="5"/>
    <x v="2"/>
    <x v="9"/>
    <x v="2"/>
    <x v="16"/>
    <x v="4"/>
    <x v="1"/>
    <n v="1"/>
    <n v="4.79"/>
    <n v="9"/>
    <n v="76"/>
    <n v="70"/>
    <x v="4"/>
    <n v="11"/>
    <n v="916"/>
    <s v=""/>
    <x v="2"/>
    <n v="1.2"/>
    <n v="96.6"/>
    <n v="88.67"/>
    <n v="43.11"/>
    <n v="164.67000000000002"/>
    <x v="2"/>
    <s v="6"/>
    <x v="11"/>
    <m/>
    <m/>
    <m/>
    <m/>
    <m/>
  </r>
  <r>
    <x v="56"/>
    <x v="2"/>
    <x v="1"/>
    <x v="7"/>
    <x v="0"/>
    <x v="12"/>
    <x v="4"/>
    <x v="4"/>
    <n v="3"/>
    <n v="1.72"/>
    <n v="7"/>
    <n v="113.29"/>
    <n v="44"/>
    <x v="2"/>
    <n v="23"/>
    <n v="820"/>
    <s v=""/>
    <x v="0"/>
    <n v="2.8"/>
    <n v="91.4"/>
    <n v="83.08"/>
    <n v="36.119999999999997"/>
    <n v="196.37"/>
    <x v="2"/>
    <s v="2"/>
    <x v="11"/>
    <m/>
    <m/>
    <m/>
    <m/>
    <m/>
  </r>
  <r>
    <x v="136"/>
    <x v="5"/>
    <x v="1"/>
    <x v="6"/>
    <x v="0"/>
    <x v="6"/>
    <x v="4"/>
    <x v="1"/>
    <n v="2"/>
    <n v="13.22"/>
    <n v="1"/>
    <n v="372.48"/>
    <n v="10"/>
    <x v="4"/>
    <n v="11"/>
    <n v="783"/>
    <s v=""/>
    <x v="4"/>
    <n v="1.4"/>
    <n v="95.2"/>
    <n v="62.08"/>
    <n v="26.44"/>
    <n v="434.56"/>
    <x v="0"/>
    <s v="14"/>
    <x v="11"/>
    <m/>
    <m/>
    <m/>
    <m/>
    <m/>
  </r>
  <r>
    <x v="265"/>
    <x v="1"/>
    <x v="1"/>
    <x v="19"/>
    <x v="4"/>
    <x v="19"/>
    <x v="2"/>
    <x v="4"/>
    <n v="2"/>
    <n v="5.99"/>
    <n v="3"/>
    <n v="246.78"/>
    <n v="22"/>
    <x v="3"/>
    <n v="49"/>
    <n v="877"/>
    <s v=""/>
    <x v="1"/>
    <n v="5.59"/>
    <n v="86.82"/>
    <n v="90.49"/>
    <n v="35.94"/>
    <n v="337.27"/>
    <x v="2"/>
    <s v="6"/>
    <x v="11"/>
    <m/>
    <m/>
    <m/>
    <m/>
    <m/>
  </r>
  <r>
    <x v="263"/>
    <x v="4"/>
    <x v="2"/>
    <x v="5"/>
    <x v="0"/>
    <x v="18"/>
    <x v="4"/>
    <x v="3"/>
    <n v="3"/>
    <n v="1.99"/>
    <n v="2"/>
    <n v="231.6"/>
    <n v="85"/>
    <x v="2"/>
    <n v="2"/>
    <n v="631"/>
    <s v=""/>
    <x v="3"/>
    <n v="0.32"/>
    <n v="96.36"/>
    <n v="328.1"/>
    <n v="11.94"/>
    <n v="559.70000000000005"/>
    <x v="2"/>
    <s v="2"/>
    <x v="11"/>
    <m/>
    <m/>
    <m/>
    <m/>
    <m/>
  </r>
  <r>
    <x v="116"/>
    <x v="0"/>
    <x v="0"/>
    <x v="7"/>
    <x v="4"/>
    <x v="2"/>
    <x v="3"/>
    <x v="4"/>
    <n v="2"/>
    <n v="5.39"/>
    <n v="1"/>
    <n v="111.63"/>
    <n v="34"/>
    <x v="1"/>
    <n v="3"/>
    <n v="681"/>
    <s v=""/>
    <x v="0"/>
    <n v="0.44"/>
    <n v="97.12"/>
    <n v="63.26"/>
    <n v="10.78"/>
    <n v="174.89"/>
    <x v="2"/>
    <s v="6"/>
    <x v="11"/>
    <m/>
    <m/>
    <m/>
    <m/>
    <m/>
  </r>
  <r>
    <x v="113"/>
    <x v="5"/>
    <x v="1"/>
    <x v="16"/>
    <x v="3"/>
    <x v="12"/>
    <x v="2"/>
    <x v="0"/>
    <n v="5"/>
    <n v="16.239999999999998"/>
    <n v="9"/>
    <n v="278.05"/>
    <n v="25"/>
    <x v="2"/>
    <n v="11"/>
    <n v="619"/>
    <s v=""/>
    <x v="0"/>
    <n v="1.78"/>
    <n v="91.44"/>
    <n v="115.85"/>
    <n v="730.8"/>
    <n v="393.9"/>
    <x v="1"/>
    <s v="18"/>
    <x v="11"/>
    <m/>
    <m/>
    <m/>
    <m/>
    <m/>
  </r>
  <r>
    <x v="196"/>
    <x v="1"/>
    <x v="2"/>
    <x v="14"/>
    <x v="2"/>
    <x v="7"/>
    <x v="3"/>
    <x v="2"/>
    <n v="3"/>
    <n v="17.18"/>
    <n v="8"/>
    <n v="106.95"/>
    <n v="66"/>
    <x v="2"/>
    <n v="35"/>
    <n v="133"/>
    <s v="Kontrol tekrarlandı"/>
    <x v="3"/>
    <n v="26.32"/>
    <n v="44.36"/>
    <n v="117.65"/>
    <n v="412.32"/>
    <n v="224.60000000000002"/>
    <x v="1"/>
    <s v="18"/>
    <x v="11"/>
    <m/>
    <m/>
    <m/>
    <m/>
    <m/>
  </r>
  <r>
    <x v="88"/>
    <x v="1"/>
    <x v="0"/>
    <x v="3"/>
    <x v="0"/>
    <x v="4"/>
    <x v="2"/>
    <x v="3"/>
    <n v="2"/>
    <n v="10.18"/>
    <n v="5"/>
    <n v="264.48"/>
    <n v="14"/>
    <x v="1"/>
    <n v="15"/>
    <n v="835"/>
    <s v=""/>
    <x v="3"/>
    <n v="1.8"/>
    <n v="94.4"/>
    <n v="61.71"/>
    <n v="101.8"/>
    <n v="326.19"/>
    <x v="0"/>
    <s v="12"/>
    <x v="11"/>
    <m/>
    <m/>
    <m/>
    <m/>
    <m/>
  </r>
  <r>
    <x v="122"/>
    <x v="4"/>
    <x v="2"/>
    <x v="17"/>
    <x v="4"/>
    <x v="18"/>
    <x v="4"/>
    <x v="3"/>
    <n v="1"/>
    <n v="8.91"/>
    <n v="2"/>
    <n v="393.63"/>
    <n v="17"/>
    <x v="0"/>
    <n v="43"/>
    <n v="790"/>
    <s v=""/>
    <x v="2"/>
    <n v="5.44"/>
    <n v="88.12"/>
    <n v="111.53"/>
    <n v="17.82"/>
    <n v="505.15999999999997"/>
    <x v="0"/>
    <s v="10"/>
    <x v="11"/>
    <m/>
    <m/>
    <m/>
    <m/>
    <m/>
  </r>
  <r>
    <x v="35"/>
    <x v="2"/>
    <x v="0"/>
    <x v="16"/>
    <x v="1"/>
    <x v="1"/>
    <x v="3"/>
    <x v="0"/>
    <n v="1"/>
    <n v="19.579999999999998"/>
    <n v="1"/>
    <n v="166.22"/>
    <n v="80"/>
    <x v="3"/>
    <n v="11"/>
    <n v="857"/>
    <s v=""/>
    <x v="3"/>
    <n v="1.28"/>
    <n v="96.44"/>
    <n v="221.63"/>
    <n v="19.579999999999998"/>
    <n v="387.85"/>
    <x v="1"/>
    <s v="20"/>
    <x v="11"/>
    <m/>
    <m/>
    <m/>
    <m/>
    <m/>
  </r>
  <r>
    <x v="217"/>
    <x v="1"/>
    <x v="2"/>
    <x v="13"/>
    <x v="0"/>
    <x v="15"/>
    <x v="3"/>
    <x v="4"/>
    <n v="5"/>
    <n v="4.8099999999999996"/>
    <n v="7"/>
    <n v="266.35000000000002"/>
    <n v="13"/>
    <x v="0"/>
    <n v="31"/>
    <n v="589"/>
    <s v=""/>
    <x v="1"/>
    <n v="5.26"/>
    <n v="84.48"/>
    <n v="57.71"/>
    <n v="168.35"/>
    <n v="324.06"/>
    <x v="2"/>
    <s v="6"/>
    <x v="11"/>
    <m/>
    <m/>
    <m/>
    <m/>
    <m/>
  </r>
  <r>
    <x v="112"/>
    <x v="1"/>
    <x v="0"/>
    <x v="2"/>
    <x v="3"/>
    <x v="17"/>
    <x v="3"/>
    <x v="2"/>
    <n v="3"/>
    <n v="5.09"/>
    <n v="2"/>
    <n v="496.41"/>
    <n v="72"/>
    <x v="0"/>
    <n v="28"/>
    <n v="871"/>
    <s v=""/>
    <x v="1"/>
    <n v="3.21"/>
    <n v="90.58"/>
    <n v="595.69000000000005"/>
    <n v="30.54"/>
    <n v="1092.1000000000001"/>
    <x v="2"/>
    <s v="6"/>
    <x v="11"/>
    <m/>
    <m/>
    <m/>
    <m/>
    <m/>
  </r>
  <r>
    <x v="142"/>
    <x v="1"/>
    <x v="1"/>
    <x v="5"/>
    <x v="3"/>
    <x v="8"/>
    <x v="2"/>
    <x v="3"/>
    <n v="2"/>
    <n v="6.55"/>
    <n v="1"/>
    <n v="358.99"/>
    <n v="43"/>
    <x v="0"/>
    <n v="28"/>
    <n v="719"/>
    <s v=""/>
    <x v="1"/>
    <n v="3.89"/>
    <n v="90.22"/>
    <n v="257.27999999999997"/>
    <n v="13.1"/>
    <n v="616.27"/>
    <x v="0"/>
    <s v="8"/>
    <x v="11"/>
    <m/>
    <m/>
    <m/>
    <m/>
    <m/>
  </r>
  <r>
    <x v="276"/>
    <x v="1"/>
    <x v="0"/>
    <x v="14"/>
    <x v="1"/>
    <x v="3"/>
    <x v="1"/>
    <x v="2"/>
    <n v="2"/>
    <n v="4.28"/>
    <n v="2"/>
    <n v="428.61"/>
    <n v="28"/>
    <x v="5"/>
    <n v="32"/>
    <n v="853"/>
    <s v="Kritik hata"/>
    <x v="1"/>
    <n v="3.75"/>
    <n v="90.5"/>
    <n v="200.02"/>
    <n v="17.12"/>
    <n v="628.63"/>
    <x v="2"/>
    <s v="6"/>
    <x v="11"/>
    <m/>
    <m/>
    <m/>
    <m/>
    <m/>
  </r>
  <r>
    <x v="271"/>
    <x v="3"/>
    <x v="2"/>
    <x v="16"/>
    <x v="4"/>
    <x v="7"/>
    <x v="4"/>
    <x v="3"/>
    <n v="1"/>
    <n v="8.2100000000000009"/>
    <n v="7"/>
    <n v="236.68"/>
    <n v="38"/>
    <x v="0"/>
    <n v="25"/>
    <n v="522"/>
    <s v=""/>
    <x v="1"/>
    <n v="4.79"/>
    <n v="89.42"/>
    <n v="149.9"/>
    <n v="57.470000000000006"/>
    <n v="386.58000000000004"/>
    <x v="0"/>
    <s v="10"/>
    <x v="11"/>
    <m/>
    <m/>
    <m/>
    <m/>
    <m/>
  </r>
  <r>
    <x v="131"/>
    <x v="3"/>
    <x v="2"/>
    <x v="9"/>
    <x v="0"/>
    <x v="7"/>
    <x v="3"/>
    <x v="4"/>
    <n v="5"/>
    <n v="18.309999999999999"/>
    <n v="7"/>
    <n v="395.54"/>
    <n v="65"/>
    <x v="5"/>
    <n v="20"/>
    <n v="567"/>
    <s v=""/>
    <x v="2"/>
    <n v="3.53"/>
    <n v="87.94"/>
    <n v="428.5"/>
    <n v="640.84999999999991"/>
    <n v="824.04"/>
    <x v="1"/>
    <s v="20"/>
    <x v="11"/>
    <m/>
    <m/>
    <m/>
    <m/>
    <m/>
  </r>
  <r>
    <x v="217"/>
    <x v="2"/>
    <x v="0"/>
    <x v="7"/>
    <x v="4"/>
    <x v="6"/>
    <x v="1"/>
    <x v="3"/>
    <n v="1"/>
    <n v="12.69"/>
    <n v="6"/>
    <n v="68.23"/>
    <n v="45"/>
    <x v="1"/>
    <n v="28"/>
    <n v="123"/>
    <s v=""/>
    <x v="0"/>
    <n v="22.76"/>
    <n v="53.48"/>
    <n v="51.17"/>
    <n v="76.14"/>
    <n v="119.4"/>
    <x v="0"/>
    <s v="14"/>
    <x v="11"/>
    <m/>
    <m/>
    <m/>
    <m/>
    <m/>
  </r>
  <r>
    <x v="226"/>
    <x v="5"/>
    <x v="1"/>
    <x v="17"/>
    <x v="3"/>
    <x v="11"/>
    <x v="4"/>
    <x v="3"/>
    <n v="1"/>
    <n v="8.83"/>
    <n v="5"/>
    <n v="105.31"/>
    <n v="9"/>
    <x v="3"/>
    <n v="25"/>
    <n v="315"/>
    <s v=""/>
    <x v="3"/>
    <n v="7.94"/>
    <n v="83.12"/>
    <n v="15.8"/>
    <n v="44.15"/>
    <n v="121.11"/>
    <x v="0"/>
    <s v="10"/>
    <x v="11"/>
    <m/>
    <m/>
    <m/>
    <m/>
    <m/>
  </r>
  <r>
    <x v="52"/>
    <x v="1"/>
    <x v="1"/>
    <x v="19"/>
    <x v="4"/>
    <x v="10"/>
    <x v="4"/>
    <x v="1"/>
    <n v="5"/>
    <n v="18.75"/>
    <n v="3"/>
    <n v="141.38"/>
    <n v="83"/>
    <x v="0"/>
    <n v="11"/>
    <n v="154"/>
    <s v=""/>
    <x v="0"/>
    <n v="7.14"/>
    <n v="80.72"/>
    <n v="195.58"/>
    <n v="281.25"/>
    <n v="336.96000000000004"/>
    <x v="1"/>
    <s v="20"/>
    <x v="11"/>
    <m/>
    <m/>
    <m/>
    <m/>
    <m/>
  </r>
  <r>
    <x v="277"/>
    <x v="4"/>
    <x v="0"/>
    <x v="13"/>
    <x v="3"/>
    <x v="17"/>
    <x v="3"/>
    <x v="4"/>
    <n v="3"/>
    <n v="1.92"/>
    <n v="3"/>
    <n v="230.88"/>
    <n v="54"/>
    <x v="4"/>
    <n v="19"/>
    <n v="125"/>
    <s v=""/>
    <x v="3"/>
    <n v="15.2"/>
    <n v="66.599999999999994"/>
    <n v="207.79"/>
    <n v="17.28"/>
    <n v="438.66999999999996"/>
    <x v="2"/>
    <s v="2"/>
    <x v="11"/>
    <m/>
    <m/>
    <m/>
    <m/>
    <m/>
  </r>
  <r>
    <x v="216"/>
    <x v="5"/>
    <x v="0"/>
    <x v="13"/>
    <x v="4"/>
    <x v="16"/>
    <x v="3"/>
    <x v="0"/>
    <n v="2"/>
    <n v="5"/>
    <n v="9"/>
    <n v="430.59"/>
    <n v="8"/>
    <x v="1"/>
    <n v="28"/>
    <n v="380"/>
    <s v=""/>
    <x v="2"/>
    <n v="7.37"/>
    <n v="83.26"/>
    <n v="57.41"/>
    <n v="90"/>
    <n v="488"/>
    <x v="2"/>
    <s v="6"/>
    <x v="11"/>
    <m/>
    <m/>
    <m/>
    <m/>
    <m/>
  </r>
  <r>
    <x v="137"/>
    <x v="4"/>
    <x v="2"/>
    <x v="9"/>
    <x v="1"/>
    <x v="14"/>
    <x v="2"/>
    <x v="0"/>
    <n v="3"/>
    <n v="11.75"/>
    <n v="4"/>
    <n v="205.82"/>
    <n v="55"/>
    <x v="5"/>
    <n v="1"/>
    <n v="903"/>
    <s v=""/>
    <x v="2"/>
    <n v="0.11"/>
    <n v="96.78"/>
    <n v="188.67"/>
    <n v="141"/>
    <n v="394.49"/>
    <x v="0"/>
    <s v="12"/>
    <x v="11"/>
    <m/>
    <m/>
    <m/>
    <m/>
    <m/>
  </r>
  <r>
    <x v="267"/>
    <x v="5"/>
    <x v="1"/>
    <x v="13"/>
    <x v="2"/>
    <x v="15"/>
    <x v="1"/>
    <x v="4"/>
    <n v="4"/>
    <n v="12.7"/>
    <n v="9"/>
    <n v="344.58"/>
    <n v="56"/>
    <x v="3"/>
    <n v="5"/>
    <n v="426"/>
    <s v=""/>
    <x v="4"/>
    <n v="1.17"/>
    <n v="93.66"/>
    <n v="321.61"/>
    <n v="457.2"/>
    <n v="666.19"/>
    <x v="0"/>
    <s v="14"/>
    <x v="11"/>
    <m/>
    <m/>
    <m/>
    <m/>
    <m/>
  </r>
  <r>
    <x v="16"/>
    <x v="2"/>
    <x v="0"/>
    <x v="1"/>
    <x v="1"/>
    <x v="4"/>
    <x v="1"/>
    <x v="0"/>
    <n v="4"/>
    <n v="1.75"/>
    <n v="4"/>
    <n v="369.19"/>
    <n v="43"/>
    <x v="2"/>
    <n v="10"/>
    <n v="285"/>
    <s v=""/>
    <x v="4"/>
    <n v="3.51"/>
    <n v="88.98"/>
    <n v="264.58999999999997"/>
    <n v="28"/>
    <n v="633.78"/>
    <x v="2"/>
    <s v="2"/>
    <x v="11"/>
    <m/>
    <m/>
    <m/>
    <m/>
    <m/>
  </r>
  <r>
    <x v="167"/>
    <x v="1"/>
    <x v="1"/>
    <x v="2"/>
    <x v="1"/>
    <x v="8"/>
    <x v="3"/>
    <x v="4"/>
    <n v="4"/>
    <n v="8.66"/>
    <n v="2"/>
    <n v="313.77999999999997"/>
    <n v="12"/>
    <x v="3"/>
    <n v="42"/>
    <n v="594"/>
    <s v=""/>
    <x v="2"/>
    <n v="7.07"/>
    <n v="81.86"/>
    <n v="62.76"/>
    <n v="69.28"/>
    <n v="376.53999999999996"/>
    <x v="0"/>
    <s v="10"/>
    <x v="11"/>
    <m/>
    <m/>
    <m/>
    <m/>
    <m/>
  </r>
  <r>
    <x v="243"/>
    <x v="1"/>
    <x v="0"/>
    <x v="15"/>
    <x v="2"/>
    <x v="0"/>
    <x v="4"/>
    <x v="0"/>
    <n v="5"/>
    <n v="13.33"/>
    <n v="4"/>
    <n v="210.76"/>
    <n v="49"/>
    <x v="3"/>
    <n v="46"/>
    <n v="111"/>
    <s v=""/>
    <x v="2"/>
    <n v="41.44"/>
    <n v="12.12"/>
    <n v="172.12"/>
    <n v="266.60000000000002"/>
    <n v="382.88"/>
    <x v="0"/>
    <s v="14"/>
    <x v="11"/>
    <m/>
    <m/>
    <m/>
    <m/>
    <m/>
  </r>
  <r>
    <x v="219"/>
    <x v="0"/>
    <x v="0"/>
    <x v="11"/>
    <x v="2"/>
    <x v="7"/>
    <x v="3"/>
    <x v="1"/>
    <n v="1"/>
    <n v="14.26"/>
    <n v="6"/>
    <n v="309.67"/>
    <n v="32"/>
    <x v="0"/>
    <n v="34"/>
    <n v="740"/>
    <s v=""/>
    <x v="3"/>
    <n v="4.59"/>
    <n v="89.82"/>
    <n v="165.16"/>
    <n v="85.56"/>
    <n v="474.83000000000004"/>
    <x v="0"/>
    <s v="16"/>
    <x v="11"/>
    <m/>
    <m/>
    <m/>
    <m/>
    <m/>
  </r>
  <r>
    <x v="272"/>
    <x v="4"/>
    <x v="1"/>
    <x v="19"/>
    <x v="0"/>
    <x v="0"/>
    <x v="4"/>
    <x v="0"/>
    <n v="3"/>
    <n v="13.12"/>
    <n v="6"/>
    <n v="204.02"/>
    <n v="31"/>
    <x v="0"/>
    <n v="36"/>
    <n v="983"/>
    <s v=""/>
    <x v="2"/>
    <n v="3.66"/>
    <n v="89.68"/>
    <n v="105.41"/>
    <n v="236.16"/>
    <n v="309.43"/>
    <x v="0"/>
    <s v="14"/>
    <x v="11"/>
    <m/>
    <m/>
    <m/>
    <m/>
    <m/>
  </r>
  <r>
    <x v="214"/>
    <x v="5"/>
    <x v="0"/>
    <x v="10"/>
    <x v="0"/>
    <x v="0"/>
    <x v="4"/>
    <x v="3"/>
    <n v="2"/>
    <n v="7.09"/>
    <n v="5"/>
    <n v="87.74"/>
    <n v="69"/>
    <x v="5"/>
    <n v="2"/>
    <n v="533"/>
    <s v=""/>
    <x v="0"/>
    <n v="0.38"/>
    <n v="97.24"/>
    <n v="100.9"/>
    <n v="70.900000000000006"/>
    <n v="188.64"/>
    <x v="0"/>
    <s v="8"/>
    <x v="11"/>
    <m/>
    <m/>
    <m/>
    <m/>
    <m/>
  </r>
  <r>
    <x v="168"/>
    <x v="5"/>
    <x v="0"/>
    <x v="17"/>
    <x v="1"/>
    <x v="13"/>
    <x v="3"/>
    <x v="4"/>
    <n v="4"/>
    <n v="2.78"/>
    <n v="1"/>
    <n v="496.76"/>
    <n v="38"/>
    <x v="5"/>
    <n v="18"/>
    <n v="307"/>
    <s v=""/>
    <x v="3"/>
    <n v="5.86"/>
    <n v="84.28"/>
    <n v="314.61"/>
    <n v="11.12"/>
    <n v="811.37"/>
    <x v="2"/>
    <s v="4"/>
    <x v="11"/>
    <m/>
    <m/>
    <m/>
    <m/>
    <m/>
  </r>
  <r>
    <x v="256"/>
    <x v="3"/>
    <x v="2"/>
    <x v="0"/>
    <x v="1"/>
    <x v="10"/>
    <x v="0"/>
    <x v="2"/>
    <n v="3"/>
    <n v="9.1199999999999992"/>
    <n v="3"/>
    <n v="107.23"/>
    <n v="85"/>
    <x v="0"/>
    <n v="13"/>
    <n v="232"/>
    <s v=""/>
    <x v="2"/>
    <n v="5.6"/>
    <n v="85.8"/>
    <n v="151.91"/>
    <n v="82.08"/>
    <n v="259.14"/>
    <x v="0"/>
    <s v="10"/>
    <x v="11"/>
    <m/>
    <m/>
    <m/>
    <m/>
    <m/>
  </r>
  <r>
    <x v="280"/>
    <x v="0"/>
    <x v="0"/>
    <x v="3"/>
    <x v="3"/>
    <x v="8"/>
    <x v="1"/>
    <x v="2"/>
    <n v="4"/>
    <n v="3.45"/>
    <n v="5"/>
    <n v="82.56"/>
    <n v="66"/>
    <x v="0"/>
    <n v="5"/>
    <n v="438"/>
    <s v=""/>
    <x v="3"/>
    <n v="1.1399999999999999"/>
    <n v="93.72"/>
    <n v="90.82"/>
    <n v="69"/>
    <n v="173.38"/>
    <x v="2"/>
    <s v="4"/>
    <x v="11"/>
    <m/>
    <m/>
    <m/>
    <m/>
    <m/>
  </r>
  <r>
    <x v="51"/>
    <x v="3"/>
    <x v="0"/>
    <x v="12"/>
    <x v="3"/>
    <x v="11"/>
    <x v="4"/>
    <x v="4"/>
    <n v="4"/>
    <n v="19"/>
    <n v="6"/>
    <n v="445.34"/>
    <n v="66"/>
    <x v="4"/>
    <n v="20"/>
    <n v="295"/>
    <s v=""/>
    <x v="3"/>
    <n v="6.78"/>
    <n v="82.44"/>
    <n v="489.87"/>
    <n v="456"/>
    <n v="935.21"/>
    <x v="1"/>
    <s v="20"/>
    <x v="11"/>
    <m/>
    <m/>
    <m/>
    <m/>
    <m/>
  </r>
  <r>
    <x v="152"/>
    <x v="3"/>
    <x v="0"/>
    <x v="5"/>
    <x v="0"/>
    <x v="4"/>
    <x v="4"/>
    <x v="1"/>
    <n v="2"/>
    <n v="10.029999999999999"/>
    <n v="1"/>
    <n v="185.83"/>
    <n v="42"/>
    <x v="4"/>
    <n v="2"/>
    <n v="361"/>
    <s v=""/>
    <x v="1"/>
    <n v="0.55000000000000004"/>
    <n v="96.9"/>
    <n v="130.08000000000001"/>
    <n v="20.059999999999999"/>
    <n v="315.91000000000003"/>
    <x v="0"/>
    <s v="12"/>
    <x v="11"/>
    <m/>
    <m/>
    <m/>
    <m/>
    <m/>
  </r>
  <r>
    <x v="79"/>
    <x v="3"/>
    <x v="2"/>
    <x v="2"/>
    <x v="0"/>
    <x v="9"/>
    <x v="0"/>
    <x v="0"/>
    <n v="5"/>
    <n v="7.03"/>
    <n v="9"/>
    <n v="342.63"/>
    <n v="30"/>
    <x v="1"/>
    <n v="11"/>
    <n v="381"/>
    <s v=""/>
    <x v="4"/>
    <n v="2.89"/>
    <n v="89.22"/>
    <n v="171.32"/>
    <n v="316.35000000000002"/>
    <n v="513.95000000000005"/>
    <x v="0"/>
    <s v="8"/>
    <x v="11"/>
    <m/>
    <m/>
    <m/>
    <m/>
    <m/>
  </r>
  <r>
    <x v="281"/>
    <x v="4"/>
    <x v="1"/>
    <x v="16"/>
    <x v="3"/>
    <x v="16"/>
    <x v="2"/>
    <x v="1"/>
    <n v="1"/>
    <n v="15.56"/>
    <n v="3"/>
    <n v="198.05"/>
    <n v="28"/>
    <x v="0"/>
    <n v="30"/>
    <n v="468"/>
    <s v=""/>
    <x v="3"/>
    <n v="6.41"/>
    <n v="86.18"/>
    <n v="92.42"/>
    <n v="46.68"/>
    <n v="290.47000000000003"/>
    <x v="1"/>
    <s v="16"/>
    <x v="11"/>
    <m/>
    <m/>
    <m/>
    <m/>
    <m/>
  </r>
  <r>
    <x v="171"/>
    <x v="4"/>
    <x v="2"/>
    <x v="5"/>
    <x v="3"/>
    <x v="10"/>
    <x v="0"/>
    <x v="2"/>
    <n v="5"/>
    <n v="10.46"/>
    <n v="3"/>
    <n v="226.15"/>
    <n v="43"/>
    <x v="2"/>
    <n v="32"/>
    <n v="202"/>
    <s v=""/>
    <x v="3"/>
    <n v="15.84"/>
    <n v="63.32"/>
    <n v="162.07"/>
    <n v="156.9"/>
    <n v="388.22"/>
    <x v="0"/>
    <s v="12"/>
    <x v="11"/>
    <m/>
    <m/>
    <m/>
    <m/>
    <m/>
  </r>
  <r>
    <x v="247"/>
    <x v="2"/>
    <x v="2"/>
    <x v="9"/>
    <x v="4"/>
    <x v="17"/>
    <x v="0"/>
    <x v="4"/>
    <n v="3"/>
    <n v="6.89"/>
    <n v="2"/>
    <n v="167.95"/>
    <n v="25"/>
    <x v="4"/>
    <n v="32"/>
    <n v="731"/>
    <s v=""/>
    <x v="1"/>
    <n v="4.38"/>
    <n v="88.24"/>
    <n v="69.98"/>
    <n v="41.339999999999996"/>
    <n v="237.93"/>
    <x v="0"/>
    <s v="8"/>
    <x v="11"/>
    <m/>
    <m/>
    <m/>
    <m/>
    <m/>
  </r>
  <r>
    <x v="282"/>
    <x v="2"/>
    <x v="1"/>
    <x v="16"/>
    <x v="4"/>
    <x v="11"/>
    <x v="4"/>
    <x v="4"/>
    <n v="5"/>
    <n v="16.43"/>
    <n v="8"/>
    <n v="204.37"/>
    <n v="51"/>
    <x v="5"/>
    <n v="38"/>
    <n v="282"/>
    <s v=""/>
    <x v="2"/>
    <n v="13.48"/>
    <n v="68.040000000000006"/>
    <n v="173.71"/>
    <n v="657.2"/>
    <n v="378.08000000000004"/>
    <x v="1"/>
    <s v="18"/>
    <x v="11"/>
    <m/>
    <m/>
    <m/>
    <m/>
    <m/>
  </r>
  <r>
    <x v="40"/>
    <x v="3"/>
    <x v="2"/>
    <x v="5"/>
    <x v="3"/>
    <x v="15"/>
    <x v="1"/>
    <x v="1"/>
    <n v="3"/>
    <n v="17.48"/>
    <n v="3"/>
    <n v="234.82"/>
    <n v="52"/>
    <x v="3"/>
    <n v="28"/>
    <n v="522"/>
    <s v=""/>
    <x v="3"/>
    <n v="5.36"/>
    <n v="86.28"/>
    <n v="203.51"/>
    <n v="157.32"/>
    <n v="438.33"/>
    <x v="1"/>
    <s v="18"/>
    <x v="11"/>
    <m/>
    <m/>
    <m/>
    <m/>
    <m/>
  </r>
  <r>
    <x v="243"/>
    <x v="0"/>
    <x v="1"/>
    <x v="6"/>
    <x v="4"/>
    <x v="15"/>
    <x v="0"/>
    <x v="1"/>
    <n v="3"/>
    <n v="13.79"/>
    <n v="6"/>
    <n v="374.19"/>
    <n v="17"/>
    <x v="1"/>
    <n v="10"/>
    <n v="108"/>
    <s v=""/>
    <x v="1"/>
    <n v="9.26"/>
    <n v="78.48"/>
    <n v="106.02"/>
    <n v="248.21999999999997"/>
    <n v="480.21"/>
    <x v="0"/>
    <s v="14"/>
    <x v="11"/>
    <m/>
    <m/>
    <m/>
    <m/>
    <m/>
  </r>
  <r>
    <x v="260"/>
    <x v="5"/>
    <x v="2"/>
    <x v="6"/>
    <x v="2"/>
    <x v="12"/>
    <x v="2"/>
    <x v="0"/>
    <n v="1"/>
    <n v="1.89"/>
    <n v="2"/>
    <n v="280.19"/>
    <n v="7"/>
    <x v="4"/>
    <n v="22"/>
    <n v="656"/>
    <s v=""/>
    <x v="0"/>
    <n v="3.35"/>
    <n v="92.3"/>
    <n v="32.69"/>
    <n v="3.78"/>
    <n v="312.88"/>
    <x v="2"/>
    <s v="2"/>
    <x v="11"/>
    <m/>
    <m/>
    <m/>
    <m/>
    <m/>
  </r>
  <r>
    <x v="0"/>
    <x v="4"/>
    <x v="1"/>
    <x v="0"/>
    <x v="0"/>
    <x v="14"/>
    <x v="3"/>
    <x v="3"/>
    <n v="2"/>
    <n v="11.76"/>
    <n v="7"/>
    <n v="474.6"/>
    <n v="36"/>
    <x v="3"/>
    <n v="17"/>
    <n v="343"/>
    <s v=""/>
    <x v="1"/>
    <n v="4.96"/>
    <n v="88.08"/>
    <n v="284.76"/>
    <n v="164.64"/>
    <n v="759.36"/>
    <x v="0"/>
    <s v="12"/>
    <x v="11"/>
    <m/>
    <m/>
    <m/>
    <m/>
    <m/>
  </r>
  <r>
    <x v="100"/>
    <x v="0"/>
    <x v="0"/>
    <x v="12"/>
    <x v="0"/>
    <x v="13"/>
    <x v="0"/>
    <x v="3"/>
    <n v="1"/>
    <n v="15.5"/>
    <n v="4"/>
    <n v="68.849999999999994"/>
    <n v="39"/>
    <x v="3"/>
    <n v="22"/>
    <n v="881"/>
    <s v=""/>
    <x v="4"/>
    <n v="2.5"/>
    <n v="94"/>
    <n v="44.75"/>
    <n v="62"/>
    <n v="113.6"/>
    <x v="1"/>
    <s v="16"/>
    <x v="11"/>
    <m/>
    <m/>
    <m/>
    <m/>
    <m/>
  </r>
  <r>
    <x v="50"/>
    <x v="1"/>
    <x v="2"/>
    <x v="1"/>
    <x v="3"/>
    <x v="1"/>
    <x v="0"/>
    <x v="0"/>
    <n v="5"/>
    <n v="3.59"/>
    <n v="9"/>
    <n v="276.38"/>
    <n v="23"/>
    <x v="4"/>
    <n v="43"/>
    <n v="723"/>
    <s v=""/>
    <x v="4"/>
    <n v="5.95"/>
    <n v="83.1"/>
    <n v="105.95"/>
    <n v="161.54999999999998"/>
    <n v="382.33"/>
    <x v="2"/>
    <s v="4"/>
    <x v="11"/>
    <m/>
    <m/>
    <m/>
    <m/>
    <m/>
  </r>
  <r>
    <x v="116"/>
    <x v="4"/>
    <x v="2"/>
    <x v="6"/>
    <x v="1"/>
    <x v="17"/>
    <x v="2"/>
    <x v="3"/>
    <n v="3"/>
    <n v="5.34"/>
    <n v="9"/>
    <n v="312.89999999999998"/>
    <n v="18"/>
    <x v="2"/>
    <n v="19"/>
    <n v="666"/>
    <s v=""/>
    <x v="2"/>
    <n v="2.85"/>
    <n v="91.3"/>
    <n v="93.87"/>
    <n v="144.18"/>
    <n v="406.77"/>
    <x v="2"/>
    <s v="6"/>
    <x v="11"/>
    <m/>
    <m/>
    <m/>
    <m/>
    <m/>
  </r>
  <r>
    <x v="157"/>
    <x v="4"/>
    <x v="2"/>
    <x v="10"/>
    <x v="3"/>
    <x v="16"/>
    <x v="1"/>
    <x v="2"/>
    <n v="4"/>
    <n v="17.77"/>
    <n v="7"/>
    <n v="464.09"/>
    <n v="52"/>
    <x v="2"/>
    <n v="17"/>
    <n v="492"/>
    <s v=""/>
    <x v="2"/>
    <n v="3.46"/>
    <n v="89.08"/>
    <n v="402.21"/>
    <n v="497.56"/>
    <n v="866.3"/>
    <x v="1"/>
    <s v="18"/>
    <x v="11"/>
    <m/>
    <m/>
    <m/>
    <m/>
    <m/>
  </r>
  <r>
    <x v="43"/>
    <x v="2"/>
    <x v="2"/>
    <x v="10"/>
    <x v="4"/>
    <x v="17"/>
    <x v="0"/>
    <x v="3"/>
    <n v="4"/>
    <n v="1.38"/>
    <n v="8"/>
    <n v="72.12"/>
    <n v="85"/>
    <x v="1"/>
    <n v="24"/>
    <n v="626"/>
    <s v=""/>
    <x v="4"/>
    <n v="3.83"/>
    <n v="88.34"/>
    <n v="102.17"/>
    <n v="44.16"/>
    <n v="174.29000000000002"/>
    <x v="2"/>
    <s v="2"/>
    <x v="11"/>
    <m/>
    <m/>
    <m/>
    <m/>
    <m/>
  </r>
  <r>
    <x v="120"/>
    <x v="5"/>
    <x v="0"/>
    <x v="17"/>
    <x v="1"/>
    <x v="13"/>
    <x v="0"/>
    <x v="0"/>
    <n v="3"/>
    <n v="15.3"/>
    <n v="3"/>
    <n v="308.07"/>
    <n v="72"/>
    <x v="2"/>
    <n v="36"/>
    <n v="136"/>
    <s v=""/>
    <x v="4"/>
    <n v="26.47"/>
    <n v="44.06"/>
    <n v="369.68"/>
    <n v="137.70000000000002"/>
    <n v="677.75"/>
    <x v="1"/>
    <s v="16"/>
    <x v="11"/>
    <m/>
    <m/>
    <m/>
    <m/>
    <m/>
  </r>
  <r>
    <x v="108"/>
    <x v="5"/>
    <x v="2"/>
    <x v="16"/>
    <x v="4"/>
    <x v="5"/>
    <x v="1"/>
    <x v="3"/>
    <n v="1"/>
    <n v="10"/>
    <n v="5"/>
    <n v="434.13"/>
    <n v="49"/>
    <x v="1"/>
    <n v="32"/>
    <n v="277"/>
    <s v=""/>
    <x v="3"/>
    <n v="11.55"/>
    <n v="75.900000000000006"/>
    <n v="354.54"/>
    <n v="50"/>
    <n v="788.67000000000007"/>
    <x v="0"/>
    <s v="10"/>
    <x v="11"/>
    <m/>
    <m/>
    <m/>
    <m/>
    <m/>
  </r>
  <r>
    <x v="205"/>
    <x v="1"/>
    <x v="0"/>
    <x v="0"/>
    <x v="2"/>
    <x v="4"/>
    <x v="2"/>
    <x v="4"/>
    <n v="2"/>
    <n v="9.49"/>
    <n v="2"/>
    <n v="158.87"/>
    <n v="23"/>
    <x v="5"/>
    <n v="46"/>
    <n v="738"/>
    <s v=""/>
    <x v="4"/>
    <n v="6.23"/>
    <n v="85.54"/>
    <n v="60.9"/>
    <n v="37.96"/>
    <n v="219.77"/>
    <x v="0"/>
    <s v="10"/>
    <x v="11"/>
    <m/>
    <m/>
    <m/>
    <m/>
    <m/>
  </r>
  <r>
    <x v="271"/>
    <x v="1"/>
    <x v="0"/>
    <x v="10"/>
    <x v="4"/>
    <x v="10"/>
    <x v="0"/>
    <x v="1"/>
    <n v="1"/>
    <n v="1.1299999999999999"/>
    <n v="7"/>
    <n v="444.33"/>
    <n v="68"/>
    <x v="4"/>
    <n v="36"/>
    <n v="728"/>
    <s v=""/>
    <x v="2"/>
    <n v="4.95"/>
    <n v="89.1"/>
    <n v="503.57"/>
    <n v="7.9099999999999993"/>
    <n v="947.9"/>
    <x v="2"/>
    <s v="2"/>
    <x v="11"/>
    <m/>
    <m/>
    <m/>
    <m/>
    <m/>
  </r>
  <r>
    <x v="216"/>
    <x v="4"/>
    <x v="0"/>
    <x v="7"/>
    <x v="2"/>
    <x v="10"/>
    <x v="1"/>
    <x v="2"/>
    <n v="3"/>
    <n v="16.57"/>
    <n v="8"/>
    <n v="58.57"/>
    <n v="70"/>
    <x v="3"/>
    <n v="28"/>
    <n v="951"/>
    <s v=""/>
    <x v="4"/>
    <n v="2.94"/>
    <n v="91.12"/>
    <n v="68.33"/>
    <n v="397.68"/>
    <n v="126.9"/>
    <x v="1"/>
    <s v="18"/>
    <x v="11"/>
    <m/>
    <m/>
    <m/>
    <m/>
    <m/>
  </r>
  <r>
    <x v="198"/>
    <x v="3"/>
    <x v="0"/>
    <x v="9"/>
    <x v="2"/>
    <x v="8"/>
    <x v="0"/>
    <x v="4"/>
    <n v="3"/>
    <n v="7.84"/>
    <n v="9"/>
    <n v="379.6"/>
    <n v="83"/>
    <x v="1"/>
    <n v="14"/>
    <n v="171"/>
    <s v=""/>
    <x v="2"/>
    <n v="8.19"/>
    <n v="80.62"/>
    <n v="525.11"/>
    <n v="211.68"/>
    <n v="904.71"/>
    <x v="0"/>
    <s v="8"/>
    <x v="11"/>
    <m/>
    <m/>
    <m/>
    <m/>
    <m/>
  </r>
  <r>
    <x v="61"/>
    <x v="2"/>
    <x v="1"/>
    <x v="7"/>
    <x v="4"/>
    <x v="8"/>
    <x v="3"/>
    <x v="4"/>
    <n v="2"/>
    <n v="11.27"/>
    <n v="7"/>
    <n v="469.9"/>
    <n v="70"/>
    <x v="2"/>
    <n v="36"/>
    <n v="451"/>
    <s v=""/>
    <x v="0"/>
    <n v="7.98"/>
    <n v="82.04"/>
    <n v="548.22"/>
    <n v="157.78"/>
    <n v="1018.12"/>
    <x v="0"/>
    <s v="12"/>
    <x v="11"/>
    <m/>
    <m/>
    <m/>
    <m/>
    <m/>
  </r>
  <r>
    <x v="35"/>
    <x v="2"/>
    <x v="1"/>
    <x v="15"/>
    <x v="4"/>
    <x v="2"/>
    <x v="4"/>
    <x v="0"/>
    <n v="5"/>
    <n v="13.87"/>
    <n v="8"/>
    <n v="345.74"/>
    <n v="79"/>
    <x v="1"/>
    <n v="6"/>
    <n v="722"/>
    <s v=""/>
    <x v="4"/>
    <n v="0.83"/>
    <n v="93.34"/>
    <n v="455.22"/>
    <n v="554.79999999999995"/>
    <n v="800.96"/>
    <x v="0"/>
    <s v="14"/>
    <x v="11"/>
    <m/>
    <m/>
    <m/>
    <m/>
    <m/>
  </r>
  <r>
    <x v="152"/>
    <x v="4"/>
    <x v="2"/>
    <x v="15"/>
    <x v="2"/>
    <x v="12"/>
    <x v="3"/>
    <x v="1"/>
    <n v="5"/>
    <n v="14.35"/>
    <n v="9"/>
    <n v="247.56"/>
    <n v="49"/>
    <x v="0"/>
    <n v="9"/>
    <n v="248"/>
    <s v=""/>
    <x v="2"/>
    <n v="3.63"/>
    <n v="87.74"/>
    <n v="202.17"/>
    <n v="645.75"/>
    <n v="449.73"/>
    <x v="0"/>
    <s v="16"/>
    <x v="11"/>
    <m/>
    <m/>
    <m/>
    <m/>
    <m/>
  </r>
  <r>
    <x v="152"/>
    <x v="0"/>
    <x v="1"/>
    <x v="3"/>
    <x v="1"/>
    <x v="14"/>
    <x v="0"/>
    <x v="1"/>
    <n v="2"/>
    <n v="19.16"/>
    <n v="6"/>
    <n v="70.2"/>
    <n v="78"/>
    <x v="1"/>
    <n v="21"/>
    <n v="796"/>
    <s v=""/>
    <x v="1"/>
    <n v="2.64"/>
    <n v="92.72"/>
    <n v="91.26"/>
    <n v="229.92000000000002"/>
    <n v="161.46"/>
    <x v="1"/>
    <s v="20"/>
    <x v="11"/>
    <m/>
    <m/>
    <m/>
    <m/>
    <m/>
  </r>
  <r>
    <x v="79"/>
    <x v="3"/>
    <x v="1"/>
    <x v="12"/>
    <x v="2"/>
    <x v="10"/>
    <x v="2"/>
    <x v="2"/>
    <n v="5"/>
    <n v="11.1"/>
    <n v="2"/>
    <n v="464.05"/>
    <n v="71"/>
    <x v="2"/>
    <n v="12"/>
    <n v="204"/>
    <s v=""/>
    <x v="3"/>
    <n v="5.88"/>
    <n v="83.24"/>
    <n v="549.13"/>
    <n v="111"/>
    <n v="1013.1800000000001"/>
    <x v="0"/>
    <s v="12"/>
    <x v="11"/>
    <m/>
    <m/>
    <m/>
    <m/>
    <m/>
  </r>
  <r>
    <x v="142"/>
    <x v="4"/>
    <x v="2"/>
    <x v="14"/>
    <x v="0"/>
    <x v="18"/>
    <x v="4"/>
    <x v="0"/>
    <n v="4"/>
    <n v="8.59"/>
    <n v="2"/>
    <n v="261.63"/>
    <n v="73"/>
    <x v="0"/>
    <n v="30"/>
    <n v="758"/>
    <s v="Eğitim önerildi"/>
    <x v="2"/>
    <n v="3.96"/>
    <n v="88.08"/>
    <n v="318.32"/>
    <n v="68.72"/>
    <n v="579.95000000000005"/>
    <x v="0"/>
    <s v="10"/>
    <x v="11"/>
    <m/>
    <m/>
    <m/>
    <m/>
    <m/>
  </r>
  <r>
    <x v="140"/>
    <x v="3"/>
    <x v="2"/>
    <x v="7"/>
    <x v="2"/>
    <x v="5"/>
    <x v="3"/>
    <x v="2"/>
    <n v="5"/>
    <n v="19.12"/>
    <n v="4"/>
    <n v="63.05"/>
    <n v="7"/>
    <x v="0"/>
    <n v="31"/>
    <n v="320"/>
    <s v=""/>
    <x v="4"/>
    <n v="9.69"/>
    <n v="75.62"/>
    <n v="7.36"/>
    <n v="382.40000000000003"/>
    <n v="70.41"/>
    <x v="1"/>
    <s v="20"/>
    <x v="11"/>
    <m/>
    <m/>
    <m/>
    <m/>
    <m/>
  </r>
  <r>
    <x v="39"/>
    <x v="3"/>
    <x v="2"/>
    <x v="9"/>
    <x v="1"/>
    <x v="13"/>
    <x v="1"/>
    <x v="3"/>
    <n v="5"/>
    <n v="13.2"/>
    <n v="9"/>
    <n v="360.42"/>
    <n v="42"/>
    <x v="2"/>
    <n v="40"/>
    <n v="925"/>
    <s v=""/>
    <x v="4"/>
    <n v="4.32"/>
    <n v="86.36"/>
    <n v="252.29"/>
    <n v="594"/>
    <n v="612.71"/>
    <x v="0"/>
    <s v="14"/>
    <x v="11"/>
    <m/>
    <m/>
    <m/>
    <m/>
    <m/>
  </r>
  <r>
    <x v="193"/>
    <x v="3"/>
    <x v="1"/>
    <x v="11"/>
    <x v="0"/>
    <x v="4"/>
    <x v="2"/>
    <x v="4"/>
    <n v="5"/>
    <n v="6.66"/>
    <n v="7"/>
    <n v="266.83"/>
    <n v="81"/>
    <x v="0"/>
    <n v="4"/>
    <n v="962"/>
    <s v=""/>
    <x v="0"/>
    <n v="0.42"/>
    <n v="94.16"/>
    <n v="360.22"/>
    <n v="233.1"/>
    <n v="627.04999999999995"/>
    <x v="0"/>
    <s v="8"/>
    <x v="11"/>
    <m/>
    <m/>
    <m/>
    <m/>
    <m/>
  </r>
  <r>
    <x v="144"/>
    <x v="4"/>
    <x v="1"/>
    <x v="1"/>
    <x v="3"/>
    <x v="10"/>
    <x v="3"/>
    <x v="2"/>
    <n v="4"/>
    <n v="3.4"/>
    <n v="2"/>
    <n v="105.96"/>
    <n v="46"/>
    <x v="4"/>
    <n v="31"/>
    <n v="473"/>
    <s v=""/>
    <x v="1"/>
    <n v="6.55"/>
    <n v="82.9"/>
    <n v="81.239999999999995"/>
    <n v="27.2"/>
    <n v="187.2"/>
    <x v="2"/>
    <s v="4"/>
    <x v="11"/>
    <m/>
    <m/>
    <m/>
    <m/>
    <m/>
  </r>
  <r>
    <x v="253"/>
    <x v="2"/>
    <x v="2"/>
    <x v="4"/>
    <x v="3"/>
    <x v="12"/>
    <x v="1"/>
    <x v="4"/>
    <n v="5"/>
    <n v="17.010000000000002"/>
    <n v="8"/>
    <n v="146.41999999999999"/>
    <n v="87"/>
    <x v="3"/>
    <n v="27"/>
    <n v="617"/>
    <s v=""/>
    <x v="2"/>
    <n v="4.38"/>
    <n v="86.24"/>
    <n v="212.31"/>
    <n v="680.40000000000009"/>
    <n v="358.73"/>
    <x v="1"/>
    <s v="18"/>
    <x v="11"/>
    <m/>
    <m/>
    <m/>
    <m/>
    <m/>
  </r>
  <r>
    <x v="94"/>
    <x v="2"/>
    <x v="0"/>
    <x v="17"/>
    <x v="1"/>
    <x v="12"/>
    <x v="0"/>
    <x v="0"/>
    <n v="4"/>
    <n v="7.88"/>
    <n v="7"/>
    <n v="79.02"/>
    <n v="44"/>
    <x v="4"/>
    <n v="25"/>
    <n v="359"/>
    <s v=""/>
    <x v="1"/>
    <n v="6.96"/>
    <n v="82.08"/>
    <n v="57.95"/>
    <n v="220.64"/>
    <n v="136.97"/>
    <x v="0"/>
    <s v="8"/>
    <x v="11"/>
    <m/>
    <m/>
    <m/>
    <m/>
    <m/>
  </r>
  <r>
    <x v="96"/>
    <x v="3"/>
    <x v="2"/>
    <x v="7"/>
    <x v="2"/>
    <x v="1"/>
    <x v="1"/>
    <x v="3"/>
    <n v="2"/>
    <n v="13.55"/>
    <n v="9"/>
    <n v="308.43"/>
    <n v="54"/>
    <x v="4"/>
    <n v="5"/>
    <n v="398"/>
    <s v=""/>
    <x v="0"/>
    <n v="1.26"/>
    <n v="95.48"/>
    <n v="277.58999999999997"/>
    <n v="243.9"/>
    <n v="586.02"/>
    <x v="0"/>
    <s v="14"/>
    <x v="11"/>
    <m/>
    <m/>
    <m/>
    <m/>
    <m/>
  </r>
  <r>
    <x v="162"/>
    <x v="0"/>
    <x v="0"/>
    <x v="4"/>
    <x v="4"/>
    <x v="1"/>
    <x v="3"/>
    <x v="0"/>
    <n v="1"/>
    <n v="9.9499999999999993"/>
    <n v="8"/>
    <n v="329.91"/>
    <n v="39"/>
    <x v="2"/>
    <n v="6"/>
    <n v="960"/>
    <s v=""/>
    <x v="3"/>
    <n v="0.62"/>
    <n v="97.76"/>
    <n v="214.44"/>
    <n v="79.599999999999994"/>
    <n v="544.35"/>
    <x v="0"/>
    <s v="10"/>
    <x v="11"/>
    <m/>
    <m/>
    <m/>
    <m/>
    <m/>
  </r>
  <r>
    <x v="160"/>
    <x v="5"/>
    <x v="0"/>
    <x v="0"/>
    <x v="1"/>
    <x v="10"/>
    <x v="3"/>
    <x v="3"/>
    <n v="2"/>
    <n v="4.78"/>
    <n v="3"/>
    <n v="277.58"/>
    <n v="28"/>
    <x v="2"/>
    <n v="5"/>
    <n v="141"/>
    <s v=""/>
    <x v="1"/>
    <n v="3.55"/>
    <n v="90.9"/>
    <n v="129.54"/>
    <n v="28.68"/>
    <n v="407.12"/>
    <x v="2"/>
    <s v="6"/>
    <x v="11"/>
    <m/>
    <m/>
    <m/>
    <m/>
    <m/>
  </r>
  <r>
    <x v="114"/>
    <x v="4"/>
    <x v="2"/>
    <x v="15"/>
    <x v="0"/>
    <x v="6"/>
    <x v="0"/>
    <x v="3"/>
    <n v="1"/>
    <n v="12.43"/>
    <n v="1"/>
    <n v="417.7"/>
    <n v="21"/>
    <x v="3"/>
    <n v="27"/>
    <n v="870"/>
    <s v=""/>
    <x v="0"/>
    <n v="3.1"/>
    <n v="92.8"/>
    <n v="146.19999999999999"/>
    <n v="12.43"/>
    <n v="563.9"/>
    <x v="0"/>
    <s v="14"/>
    <x v="11"/>
    <m/>
    <m/>
    <m/>
    <m/>
    <m/>
  </r>
  <r>
    <x v="242"/>
    <x v="5"/>
    <x v="2"/>
    <x v="12"/>
    <x v="0"/>
    <x v="17"/>
    <x v="1"/>
    <x v="4"/>
    <n v="2"/>
    <n v="2.15"/>
    <n v="2"/>
    <n v="437.45"/>
    <n v="44"/>
    <x v="1"/>
    <n v="8"/>
    <n v="996"/>
    <s v=""/>
    <x v="2"/>
    <n v="0.8"/>
    <n v="96.4"/>
    <n v="320.8"/>
    <n v="8.6"/>
    <n v="758.25"/>
    <x v="2"/>
    <s v="4"/>
    <x v="11"/>
    <m/>
    <m/>
    <m/>
    <m/>
    <m/>
  </r>
  <r>
    <x v="76"/>
    <x v="0"/>
    <x v="2"/>
    <x v="1"/>
    <x v="3"/>
    <x v="12"/>
    <x v="1"/>
    <x v="0"/>
    <n v="1"/>
    <n v="8.85"/>
    <n v="2"/>
    <n v="327.02999999999997"/>
    <n v="78"/>
    <x v="4"/>
    <n v="9"/>
    <n v="591"/>
    <s v=""/>
    <x v="3"/>
    <n v="1.52"/>
    <n v="95.96"/>
    <n v="425.14"/>
    <n v="17.7"/>
    <n v="752.17"/>
    <x v="0"/>
    <s v="10"/>
    <x v="11"/>
    <m/>
    <m/>
    <m/>
    <m/>
    <m/>
  </r>
  <r>
    <x v="231"/>
    <x v="4"/>
    <x v="1"/>
    <x v="0"/>
    <x v="0"/>
    <x v="4"/>
    <x v="0"/>
    <x v="0"/>
    <n v="1"/>
    <n v="11.39"/>
    <n v="4"/>
    <n v="55.74"/>
    <n v="70"/>
    <x v="0"/>
    <n v="15"/>
    <n v="538"/>
    <s v=""/>
    <x v="4"/>
    <n v="2.79"/>
    <n v="93.42"/>
    <n v="65.03"/>
    <n v="45.56"/>
    <n v="120.77000000000001"/>
    <x v="0"/>
    <s v="12"/>
    <x v="11"/>
    <m/>
    <m/>
    <m/>
    <m/>
    <m/>
  </r>
  <r>
    <x v="192"/>
    <x v="3"/>
    <x v="0"/>
    <x v="19"/>
    <x v="1"/>
    <x v="4"/>
    <x v="1"/>
    <x v="2"/>
    <n v="3"/>
    <n v="9.2799999999999994"/>
    <n v="6"/>
    <n v="362.85"/>
    <n v="48"/>
    <x v="3"/>
    <n v="36"/>
    <n v="882"/>
    <s v=""/>
    <x v="0"/>
    <n v="4.08"/>
    <n v="88.84"/>
    <n v="290.27999999999997"/>
    <n v="167.04"/>
    <n v="653.13"/>
    <x v="0"/>
    <s v="10"/>
    <x v="11"/>
    <m/>
    <m/>
    <m/>
    <m/>
    <m/>
  </r>
  <r>
    <x v="68"/>
    <x v="2"/>
    <x v="1"/>
    <x v="19"/>
    <x v="0"/>
    <x v="12"/>
    <x v="0"/>
    <x v="0"/>
    <n v="1"/>
    <n v="15.22"/>
    <n v="4"/>
    <n v="238.1"/>
    <n v="27"/>
    <x v="4"/>
    <n v="41"/>
    <n v="146"/>
    <s v=""/>
    <x v="4"/>
    <n v="28.08"/>
    <n v="42.84"/>
    <n v="107.14"/>
    <n v="60.88"/>
    <n v="345.24"/>
    <x v="1"/>
    <s v="16"/>
    <x v="11"/>
    <m/>
    <m/>
    <m/>
    <m/>
    <m/>
  </r>
  <r>
    <x v="141"/>
    <x v="5"/>
    <x v="1"/>
    <x v="0"/>
    <x v="1"/>
    <x v="18"/>
    <x v="2"/>
    <x v="2"/>
    <n v="1"/>
    <n v="16.73"/>
    <n v="9"/>
    <n v="304.5"/>
    <n v="10"/>
    <x v="1"/>
    <n v="7"/>
    <n v="184"/>
    <s v=""/>
    <x v="3"/>
    <n v="3.8"/>
    <n v="91.4"/>
    <n v="50.75"/>
    <n v="150.57"/>
    <n v="355.25"/>
    <x v="1"/>
    <s v="18"/>
    <x v="11"/>
    <m/>
    <m/>
    <m/>
    <m/>
    <m/>
  </r>
  <r>
    <x v="162"/>
    <x v="1"/>
    <x v="2"/>
    <x v="5"/>
    <x v="4"/>
    <x v="1"/>
    <x v="3"/>
    <x v="1"/>
    <n v="3"/>
    <n v="15.65"/>
    <n v="4"/>
    <n v="342.09"/>
    <n v="70"/>
    <x v="0"/>
    <n v="32"/>
    <n v="785"/>
    <s v=""/>
    <x v="0"/>
    <n v="4.08"/>
    <n v="88.84"/>
    <n v="399.1"/>
    <n v="187.8"/>
    <n v="741.19"/>
    <x v="1"/>
    <s v="16"/>
    <x v="11"/>
    <m/>
    <m/>
    <m/>
    <m/>
    <m/>
  </r>
  <r>
    <x v="221"/>
    <x v="1"/>
    <x v="1"/>
    <x v="9"/>
    <x v="3"/>
    <x v="7"/>
    <x v="2"/>
    <x v="1"/>
    <n v="5"/>
    <n v="1.74"/>
    <n v="6"/>
    <n v="207.61"/>
    <n v="25"/>
    <x v="4"/>
    <n v="8"/>
    <n v="157"/>
    <s v=""/>
    <x v="0"/>
    <n v="5.0999999999999996"/>
    <n v="84.8"/>
    <n v="86.5"/>
    <n v="52.2"/>
    <n v="294.11"/>
    <x v="2"/>
    <s v="2"/>
    <x v="11"/>
    <m/>
    <m/>
    <m/>
    <m/>
    <m/>
  </r>
  <r>
    <x v="213"/>
    <x v="0"/>
    <x v="2"/>
    <x v="4"/>
    <x v="0"/>
    <x v="1"/>
    <x v="4"/>
    <x v="1"/>
    <n v="5"/>
    <n v="4.6900000000000004"/>
    <n v="6"/>
    <n v="462.69"/>
    <n v="39"/>
    <x v="5"/>
    <n v="47"/>
    <n v="810"/>
    <s v=""/>
    <x v="3"/>
    <n v="5.8"/>
    <n v="83.4"/>
    <n v="300.75"/>
    <n v="140.70000000000002"/>
    <n v="763.44"/>
    <x v="2"/>
    <s v="6"/>
    <x v="11"/>
    <m/>
    <m/>
    <m/>
    <m/>
    <m/>
  </r>
  <r>
    <x v="151"/>
    <x v="3"/>
    <x v="0"/>
    <x v="11"/>
    <x v="1"/>
    <x v="15"/>
    <x v="4"/>
    <x v="0"/>
    <n v="3"/>
    <n v="11.2"/>
    <n v="1"/>
    <n v="110.29"/>
    <n v="33"/>
    <x v="3"/>
    <n v="15"/>
    <n v="308"/>
    <s v=""/>
    <x v="2"/>
    <n v="4.87"/>
    <n v="87.26"/>
    <n v="60.66"/>
    <n v="33.599999999999994"/>
    <n v="170.95"/>
    <x v="0"/>
    <s v="12"/>
    <x v="11"/>
    <m/>
    <m/>
    <m/>
    <m/>
    <m/>
  </r>
  <r>
    <x v="124"/>
    <x v="5"/>
    <x v="2"/>
    <x v="5"/>
    <x v="2"/>
    <x v="8"/>
    <x v="4"/>
    <x v="0"/>
    <n v="4"/>
    <n v="18.760000000000002"/>
    <n v="8"/>
    <n v="352.18"/>
    <n v="11"/>
    <x v="2"/>
    <n v="37"/>
    <n v="347"/>
    <s v=""/>
    <x v="0"/>
    <n v="10.66"/>
    <n v="74.680000000000007"/>
    <n v="64.569999999999993"/>
    <n v="600.32000000000005"/>
    <n v="416.75"/>
    <x v="1"/>
    <s v="20"/>
    <x v="11"/>
    <m/>
    <m/>
    <m/>
    <m/>
    <m/>
  </r>
  <r>
    <x v="56"/>
    <x v="3"/>
    <x v="1"/>
    <x v="7"/>
    <x v="3"/>
    <x v="2"/>
    <x v="0"/>
    <x v="2"/>
    <n v="1"/>
    <n v="16.86"/>
    <n v="3"/>
    <n v="51.96"/>
    <n v="57"/>
    <x v="4"/>
    <n v="19"/>
    <n v="310"/>
    <s v=""/>
    <x v="3"/>
    <n v="6.13"/>
    <n v="86.74"/>
    <n v="49.36"/>
    <n v="50.58"/>
    <n v="101.32"/>
    <x v="1"/>
    <s v="18"/>
    <x v="11"/>
    <m/>
    <m/>
    <m/>
    <m/>
    <m/>
  </r>
  <r>
    <x v="208"/>
    <x v="5"/>
    <x v="1"/>
    <x v="2"/>
    <x v="4"/>
    <x v="9"/>
    <x v="1"/>
    <x v="3"/>
    <n v="1"/>
    <n v="17.010000000000002"/>
    <n v="6"/>
    <n v="466.09"/>
    <n v="41"/>
    <x v="0"/>
    <n v="39"/>
    <n v="138"/>
    <s v=""/>
    <x v="1"/>
    <n v="28.26"/>
    <n v="42.48"/>
    <n v="318.49"/>
    <n v="102.06"/>
    <n v="784.57999999999993"/>
    <x v="1"/>
    <s v="18"/>
    <x v="11"/>
    <m/>
    <m/>
    <m/>
    <m/>
    <m/>
  </r>
  <r>
    <x v="97"/>
    <x v="0"/>
    <x v="2"/>
    <x v="17"/>
    <x v="1"/>
    <x v="11"/>
    <x v="2"/>
    <x v="2"/>
    <n v="3"/>
    <n v="6.76"/>
    <n v="3"/>
    <n v="100.63"/>
    <n v="27"/>
    <x v="0"/>
    <n v="6"/>
    <n v="351"/>
    <s v=""/>
    <x v="4"/>
    <n v="1.71"/>
    <n v="93.58"/>
    <n v="45.28"/>
    <n v="60.839999999999996"/>
    <n v="145.91"/>
    <x v="0"/>
    <s v="8"/>
    <x v="11"/>
    <m/>
    <m/>
    <m/>
    <m/>
    <m/>
  </r>
  <r>
    <x v="283"/>
    <x v="0"/>
    <x v="2"/>
    <x v="3"/>
    <x v="4"/>
    <x v="9"/>
    <x v="2"/>
    <x v="1"/>
    <n v="3"/>
    <n v="9.16"/>
    <n v="2"/>
    <n v="92.7"/>
    <n v="12"/>
    <x v="3"/>
    <n v="19"/>
    <n v="742"/>
    <s v=""/>
    <x v="0"/>
    <n v="2.56"/>
    <n v="91.88"/>
    <n v="18.54"/>
    <n v="54.96"/>
    <n v="111.24000000000001"/>
    <x v="0"/>
    <s v="10"/>
    <x v="11"/>
    <m/>
    <m/>
    <m/>
    <m/>
    <m/>
  </r>
  <r>
    <x v="158"/>
    <x v="1"/>
    <x v="1"/>
    <x v="2"/>
    <x v="4"/>
    <x v="13"/>
    <x v="2"/>
    <x v="2"/>
    <n v="4"/>
    <n v="9.94"/>
    <n v="5"/>
    <n v="199.85"/>
    <n v="80"/>
    <x v="3"/>
    <n v="28"/>
    <n v="902"/>
    <s v=""/>
    <x v="1"/>
    <n v="3.1"/>
    <n v="89.8"/>
    <n v="266.47000000000003"/>
    <n v="198.79999999999998"/>
    <n v="466.32000000000005"/>
    <x v="0"/>
    <s v="10"/>
    <x v="11"/>
    <m/>
    <m/>
    <m/>
    <m/>
    <m/>
  </r>
  <r>
    <x v="63"/>
    <x v="3"/>
    <x v="0"/>
    <x v="7"/>
    <x v="0"/>
    <x v="5"/>
    <x v="2"/>
    <x v="3"/>
    <n v="5"/>
    <n v="3.99"/>
    <n v="1"/>
    <n v="218.1"/>
    <n v="52"/>
    <x v="0"/>
    <n v="17"/>
    <n v="861"/>
    <s v=""/>
    <x v="0"/>
    <n v="1.97"/>
    <n v="91.06"/>
    <n v="189.02"/>
    <n v="19.950000000000003"/>
    <n v="407.12"/>
    <x v="2"/>
    <s v="4"/>
    <x v="11"/>
    <m/>
    <m/>
    <m/>
    <m/>
    <m/>
  </r>
  <r>
    <x v="162"/>
    <x v="4"/>
    <x v="0"/>
    <x v="3"/>
    <x v="0"/>
    <x v="10"/>
    <x v="4"/>
    <x v="0"/>
    <n v="2"/>
    <n v="1.59"/>
    <n v="9"/>
    <n v="146.44"/>
    <n v="14"/>
    <x v="0"/>
    <n v="42"/>
    <n v="512"/>
    <s v=""/>
    <x v="2"/>
    <n v="8.1999999999999993"/>
    <n v="81.599999999999994"/>
    <n v="34.17"/>
    <n v="28.62"/>
    <n v="180.61"/>
    <x v="2"/>
    <s v="2"/>
    <x v="11"/>
    <m/>
    <m/>
    <m/>
    <m/>
    <m/>
  </r>
  <r>
    <x v="133"/>
    <x v="1"/>
    <x v="2"/>
    <x v="14"/>
    <x v="1"/>
    <x v="10"/>
    <x v="2"/>
    <x v="2"/>
    <n v="5"/>
    <n v="18.989999999999998"/>
    <n v="7"/>
    <n v="313.3"/>
    <n v="83"/>
    <x v="0"/>
    <n v="19"/>
    <n v="545"/>
    <s v="Makine ayarı değiştirildi"/>
    <x v="3"/>
    <n v="3.49"/>
    <n v="88.02"/>
    <n v="433.4"/>
    <n v="664.65"/>
    <n v="746.7"/>
    <x v="1"/>
    <s v="20"/>
    <x v="11"/>
    <m/>
    <m/>
    <m/>
    <m/>
    <m/>
  </r>
  <r>
    <x v="51"/>
    <x v="3"/>
    <x v="0"/>
    <x v="15"/>
    <x v="2"/>
    <x v="7"/>
    <x v="1"/>
    <x v="1"/>
    <n v="1"/>
    <n v="5.57"/>
    <n v="3"/>
    <n v="249.31"/>
    <n v="28"/>
    <x v="4"/>
    <n v="31"/>
    <n v="151"/>
    <s v=""/>
    <x v="0"/>
    <n v="20.53"/>
    <n v="57.94"/>
    <n v="116.34"/>
    <n v="16.71"/>
    <n v="365.65"/>
    <x v="2"/>
    <s v="6"/>
    <x v="11"/>
    <m/>
    <m/>
    <m/>
    <m/>
    <m/>
  </r>
  <r>
    <x v="264"/>
    <x v="1"/>
    <x v="1"/>
    <x v="9"/>
    <x v="1"/>
    <x v="16"/>
    <x v="4"/>
    <x v="1"/>
    <n v="3"/>
    <n v="5.56"/>
    <n v="4"/>
    <n v="65.38"/>
    <n v="51"/>
    <x v="0"/>
    <n v="11"/>
    <n v="473"/>
    <s v=""/>
    <x v="3"/>
    <n v="2.33"/>
    <n v="92.34"/>
    <n v="55.57"/>
    <n v="66.72"/>
    <n v="120.94999999999999"/>
    <x v="2"/>
    <s v="6"/>
    <x v="11"/>
    <m/>
    <m/>
    <m/>
    <m/>
    <m/>
  </r>
  <r>
    <x v="101"/>
    <x v="4"/>
    <x v="2"/>
    <x v="13"/>
    <x v="2"/>
    <x v="8"/>
    <x v="2"/>
    <x v="0"/>
    <n v="4"/>
    <n v="2.58"/>
    <n v="6"/>
    <n v="193.84"/>
    <n v="57"/>
    <x v="2"/>
    <n v="15"/>
    <n v="625"/>
    <s v=""/>
    <x v="0"/>
    <n v="2.4"/>
    <n v="91.2"/>
    <n v="184.15"/>
    <n v="61.92"/>
    <n v="377.99"/>
    <x v="2"/>
    <s v="4"/>
    <x v="11"/>
    <m/>
    <m/>
    <m/>
    <m/>
    <m/>
  </r>
  <r>
    <x v="25"/>
    <x v="2"/>
    <x v="1"/>
    <x v="3"/>
    <x v="4"/>
    <x v="9"/>
    <x v="0"/>
    <x v="2"/>
    <n v="5"/>
    <n v="18.64"/>
    <n v="3"/>
    <n v="414.69"/>
    <n v="43"/>
    <x v="0"/>
    <n v="10"/>
    <n v="255"/>
    <s v=""/>
    <x v="2"/>
    <n v="3.92"/>
    <n v="87.16"/>
    <n v="297.19"/>
    <n v="279.60000000000002"/>
    <n v="711.88"/>
    <x v="1"/>
    <s v="20"/>
    <x v="11"/>
    <m/>
    <m/>
    <m/>
    <m/>
    <m/>
  </r>
  <r>
    <x v="123"/>
    <x v="2"/>
    <x v="1"/>
    <x v="2"/>
    <x v="3"/>
    <x v="9"/>
    <x v="3"/>
    <x v="3"/>
    <n v="4"/>
    <n v="12.02"/>
    <n v="7"/>
    <n v="360.37"/>
    <n v="71"/>
    <x v="2"/>
    <n v="43"/>
    <n v="641"/>
    <s v=""/>
    <x v="2"/>
    <n v="6.71"/>
    <n v="82.58"/>
    <n v="426.44"/>
    <n v="336.56"/>
    <n v="786.81"/>
    <x v="0"/>
    <s v="14"/>
    <x v="11"/>
    <m/>
    <m/>
    <m/>
    <m/>
    <m/>
  </r>
  <r>
    <x v="175"/>
    <x v="2"/>
    <x v="0"/>
    <x v="17"/>
    <x v="1"/>
    <x v="10"/>
    <x v="3"/>
    <x v="0"/>
    <n v="5"/>
    <n v="13.67"/>
    <n v="6"/>
    <n v="376.19"/>
    <n v="70"/>
    <x v="4"/>
    <n v="23"/>
    <n v="189"/>
    <s v=""/>
    <x v="1"/>
    <n v="12.17"/>
    <n v="70.66"/>
    <n v="438.89"/>
    <n v="410.1"/>
    <n v="815.07999999999993"/>
    <x v="0"/>
    <s v="14"/>
    <x v="11"/>
    <m/>
    <m/>
    <m/>
    <m/>
    <m/>
  </r>
  <r>
    <x v="98"/>
    <x v="2"/>
    <x v="2"/>
    <x v="13"/>
    <x v="1"/>
    <x v="8"/>
    <x v="3"/>
    <x v="2"/>
    <n v="1"/>
    <n v="18.32"/>
    <n v="9"/>
    <n v="364.15"/>
    <n v="10"/>
    <x v="3"/>
    <n v="3"/>
    <n v="778"/>
    <s v=""/>
    <x v="2"/>
    <n v="0.39"/>
    <n v="98.22"/>
    <n v="60.69"/>
    <n v="164.88"/>
    <n v="424.84"/>
    <x v="1"/>
    <s v="20"/>
    <x v="11"/>
    <m/>
    <m/>
    <m/>
    <m/>
    <m/>
  </r>
  <r>
    <x v="111"/>
    <x v="5"/>
    <x v="2"/>
    <x v="19"/>
    <x v="2"/>
    <x v="5"/>
    <x v="4"/>
    <x v="4"/>
    <n v="2"/>
    <n v="7.57"/>
    <n v="5"/>
    <n v="189.94"/>
    <n v="25"/>
    <x v="2"/>
    <n v="3"/>
    <n v="450"/>
    <s v=""/>
    <x v="3"/>
    <n v="0.67"/>
    <n v="96.66"/>
    <n v="79.14"/>
    <n v="75.7"/>
    <n v="269.08"/>
    <x v="0"/>
    <s v="8"/>
    <x v="11"/>
    <m/>
    <m/>
    <m/>
    <m/>
    <m/>
  </r>
  <r>
    <x v="50"/>
    <x v="2"/>
    <x v="0"/>
    <x v="15"/>
    <x v="4"/>
    <x v="3"/>
    <x v="2"/>
    <x v="1"/>
    <n v="4"/>
    <n v="12.81"/>
    <n v="4"/>
    <n v="94.85"/>
    <n v="77"/>
    <x v="4"/>
    <n v="18"/>
    <n v="168"/>
    <s v=""/>
    <x v="2"/>
    <n v="10.71"/>
    <n v="74.58"/>
    <n v="121.72"/>
    <n v="204.96"/>
    <n v="216.57"/>
    <x v="0"/>
    <s v="14"/>
    <x v="11"/>
    <m/>
    <m/>
    <m/>
    <m/>
    <m/>
  </r>
  <r>
    <x v="258"/>
    <x v="4"/>
    <x v="1"/>
    <x v="0"/>
    <x v="4"/>
    <x v="3"/>
    <x v="4"/>
    <x v="3"/>
    <n v="4"/>
    <n v="1.74"/>
    <n v="3"/>
    <n v="172.61"/>
    <n v="78"/>
    <x v="0"/>
    <n v="25"/>
    <n v="262"/>
    <s v=""/>
    <x v="0"/>
    <n v="9.5399999999999991"/>
    <n v="76.92"/>
    <n v="224.39"/>
    <n v="20.88"/>
    <n v="397"/>
    <x v="2"/>
    <s v="2"/>
    <x v="11"/>
    <m/>
    <m/>
    <m/>
    <m/>
    <m/>
  </r>
  <r>
    <x v="284"/>
    <x v="0"/>
    <x v="1"/>
    <x v="4"/>
    <x v="2"/>
    <x v="0"/>
    <x v="1"/>
    <x v="3"/>
    <n v="2"/>
    <n v="4.55"/>
    <n v="1"/>
    <n v="424.3"/>
    <n v="40"/>
    <x v="4"/>
    <n v="43"/>
    <n v="341"/>
    <s v=""/>
    <x v="2"/>
    <n v="12.61"/>
    <n v="72.78"/>
    <n v="282.87"/>
    <n v="9.1"/>
    <n v="707.17000000000007"/>
    <x v="2"/>
    <s v="6"/>
    <x v="11"/>
    <m/>
    <m/>
    <m/>
    <m/>
    <m/>
  </r>
  <r>
    <x v="71"/>
    <x v="0"/>
    <x v="1"/>
    <x v="1"/>
    <x v="4"/>
    <x v="10"/>
    <x v="0"/>
    <x v="3"/>
    <n v="4"/>
    <n v="16.79"/>
    <n v="3"/>
    <n v="491.21"/>
    <n v="7"/>
    <x v="0"/>
    <n v="20"/>
    <n v="594"/>
    <s v=""/>
    <x v="3"/>
    <n v="3.37"/>
    <n v="89.26"/>
    <n v="57.31"/>
    <n v="201.48"/>
    <n v="548.52"/>
    <x v="1"/>
    <s v="18"/>
    <x v="11"/>
    <m/>
    <m/>
    <m/>
    <m/>
    <m/>
  </r>
  <r>
    <x v="232"/>
    <x v="5"/>
    <x v="1"/>
    <x v="10"/>
    <x v="0"/>
    <x v="8"/>
    <x v="0"/>
    <x v="1"/>
    <n v="4"/>
    <n v="15.57"/>
    <n v="3"/>
    <n v="272.23"/>
    <n v="82"/>
    <x v="4"/>
    <n v="29"/>
    <n v="482"/>
    <s v=""/>
    <x v="0"/>
    <n v="6.02"/>
    <n v="83.96"/>
    <n v="372.05"/>
    <n v="186.84"/>
    <n v="644.28"/>
    <x v="1"/>
    <s v="16"/>
    <x v="11"/>
    <m/>
    <m/>
    <m/>
    <m/>
    <m/>
  </r>
  <r>
    <x v="167"/>
    <x v="2"/>
    <x v="2"/>
    <x v="3"/>
    <x v="3"/>
    <x v="4"/>
    <x v="3"/>
    <x v="2"/>
    <n v="5"/>
    <n v="7.66"/>
    <n v="7"/>
    <n v="54.37"/>
    <n v="46"/>
    <x v="3"/>
    <n v="22"/>
    <n v="151"/>
    <s v=""/>
    <x v="1"/>
    <n v="14.57"/>
    <n v="65.86"/>
    <n v="41.68"/>
    <n v="268.10000000000002"/>
    <n v="96.05"/>
    <x v="0"/>
    <s v="8"/>
    <x v="11"/>
    <m/>
    <m/>
    <m/>
    <m/>
    <m/>
  </r>
  <r>
    <x v="158"/>
    <x v="2"/>
    <x v="2"/>
    <x v="10"/>
    <x v="1"/>
    <x v="16"/>
    <x v="3"/>
    <x v="0"/>
    <n v="5"/>
    <n v="8.16"/>
    <n v="7"/>
    <n v="113.02"/>
    <n v="49"/>
    <x v="2"/>
    <n v="15"/>
    <n v="753"/>
    <s v=""/>
    <x v="1"/>
    <n v="1.99"/>
    <n v="91.02"/>
    <n v="92.3"/>
    <n v="285.60000000000002"/>
    <n v="205.32"/>
    <x v="0"/>
    <s v="10"/>
    <x v="11"/>
    <m/>
    <m/>
    <m/>
    <m/>
    <m/>
  </r>
  <r>
    <x v="141"/>
    <x v="2"/>
    <x v="0"/>
    <x v="12"/>
    <x v="3"/>
    <x v="10"/>
    <x v="3"/>
    <x v="2"/>
    <n v="2"/>
    <n v="11.14"/>
    <n v="1"/>
    <n v="194.94"/>
    <n v="48"/>
    <x v="3"/>
    <n v="39"/>
    <n v="162"/>
    <s v=""/>
    <x v="1"/>
    <n v="24.07"/>
    <n v="49.86"/>
    <n v="155.94999999999999"/>
    <n v="22.28"/>
    <n v="350.89"/>
    <x v="0"/>
    <s v="12"/>
    <x v="11"/>
    <m/>
    <m/>
    <m/>
    <m/>
    <m/>
  </r>
  <r>
    <x v="86"/>
    <x v="1"/>
    <x v="0"/>
    <x v="10"/>
    <x v="1"/>
    <x v="18"/>
    <x v="2"/>
    <x v="0"/>
    <n v="1"/>
    <n v="1"/>
    <n v="3"/>
    <n v="310.36"/>
    <n v="37"/>
    <x v="5"/>
    <n v="10"/>
    <n v="608"/>
    <s v=""/>
    <x v="0"/>
    <n v="1.64"/>
    <n v="95.72"/>
    <n v="191.39"/>
    <n v="3"/>
    <n v="501.75"/>
    <x v="2"/>
    <s v="2"/>
    <x v="11"/>
    <m/>
    <m/>
    <m/>
    <m/>
    <m/>
  </r>
  <r>
    <x v="149"/>
    <x v="3"/>
    <x v="2"/>
    <x v="16"/>
    <x v="0"/>
    <x v="4"/>
    <x v="1"/>
    <x v="3"/>
    <n v="4"/>
    <n v="5.58"/>
    <n v="8"/>
    <n v="83.79"/>
    <n v="64"/>
    <x v="0"/>
    <n v="21"/>
    <n v="391"/>
    <s v=""/>
    <x v="1"/>
    <n v="5.37"/>
    <n v="85.26"/>
    <n v="89.38"/>
    <n v="178.56"/>
    <n v="173.17000000000002"/>
    <x v="2"/>
    <s v="6"/>
    <x v="11"/>
    <m/>
    <m/>
    <m/>
    <m/>
    <m/>
  </r>
  <r>
    <x v="200"/>
    <x v="1"/>
    <x v="2"/>
    <x v="6"/>
    <x v="4"/>
    <x v="4"/>
    <x v="1"/>
    <x v="2"/>
    <n v="1"/>
    <n v="4.96"/>
    <n v="9"/>
    <n v="474.51"/>
    <n v="87"/>
    <x v="2"/>
    <n v="29"/>
    <n v="190"/>
    <s v=""/>
    <x v="2"/>
    <n v="15.26"/>
    <n v="68.48"/>
    <n v="688.04"/>
    <n v="44.64"/>
    <n v="1162.55"/>
    <x v="2"/>
    <s v="6"/>
    <x v="11"/>
    <m/>
    <m/>
    <m/>
    <m/>
    <m/>
  </r>
  <r>
    <x v="23"/>
    <x v="3"/>
    <x v="1"/>
    <x v="6"/>
    <x v="2"/>
    <x v="0"/>
    <x v="1"/>
    <x v="3"/>
    <n v="2"/>
    <n v="5.76"/>
    <n v="7"/>
    <n v="214.29"/>
    <n v="87"/>
    <x v="3"/>
    <n v="32"/>
    <n v="763"/>
    <s v=""/>
    <x v="0"/>
    <n v="4.1900000000000004"/>
    <n v="89.62"/>
    <n v="310.72000000000003"/>
    <n v="80.64"/>
    <n v="525.01"/>
    <x v="2"/>
    <s v="6"/>
    <x v="11"/>
    <m/>
    <m/>
    <m/>
    <m/>
    <m/>
  </r>
  <r>
    <x v="154"/>
    <x v="2"/>
    <x v="1"/>
    <x v="4"/>
    <x v="0"/>
    <x v="10"/>
    <x v="1"/>
    <x v="4"/>
    <n v="2"/>
    <n v="16.309999999999999"/>
    <n v="7"/>
    <n v="460.66"/>
    <n v="74"/>
    <x v="2"/>
    <n v="10"/>
    <n v="523"/>
    <s v=""/>
    <x v="0"/>
    <n v="1.91"/>
    <n v="94.18"/>
    <n v="568.15"/>
    <n v="228.33999999999997"/>
    <n v="1028.81"/>
    <x v="1"/>
    <s v="18"/>
    <x v="11"/>
    <m/>
    <m/>
    <m/>
    <m/>
    <m/>
  </r>
  <r>
    <x v="226"/>
    <x v="2"/>
    <x v="0"/>
    <x v="11"/>
    <x v="3"/>
    <x v="13"/>
    <x v="3"/>
    <x v="3"/>
    <n v="5"/>
    <n v="6.31"/>
    <n v="8"/>
    <n v="401.23"/>
    <n v="87"/>
    <x v="5"/>
    <n v="13"/>
    <n v="768"/>
    <s v=""/>
    <x v="0"/>
    <n v="1.69"/>
    <n v="91.62"/>
    <n v="581.78"/>
    <n v="252.39999999999998"/>
    <n v="983.01"/>
    <x v="0"/>
    <s v="8"/>
    <x v="11"/>
    <m/>
    <m/>
    <m/>
    <m/>
    <m/>
  </r>
  <r>
    <x v="226"/>
    <x v="1"/>
    <x v="2"/>
    <x v="14"/>
    <x v="2"/>
    <x v="2"/>
    <x v="0"/>
    <x v="3"/>
    <n v="4"/>
    <n v="4.6399999999999997"/>
    <n v="6"/>
    <n v="389.95"/>
    <n v="81"/>
    <x v="1"/>
    <n v="47"/>
    <n v="920"/>
    <s v="Kontrol tekrarlandı"/>
    <x v="4"/>
    <n v="5.1100000000000003"/>
    <n v="85.78"/>
    <n v="526.42999999999995"/>
    <n v="111.35999999999999"/>
    <n v="916.37999999999988"/>
    <x v="2"/>
    <s v="6"/>
    <x v="11"/>
    <m/>
    <m/>
    <m/>
    <m/>
    <m/>
  </r>
  <r>
    <x v="143"/>
    <x v="1"/>
    <x v="0"/>
    <x v="3"/>
    <x v="4"/>
    <x v="8"/>
    <x v="3"/>
    <x v="0"/>
    <n v="3"/>
    <n v="10.58"/>
    <n v="3"/>
    <n v="323.02"/>
    <n v="30"/>
    <x v="0"/>
    <n v="23"/>
    <n v="464"/>
    <s v=""/>
    <x v="3"/>
    <n v="4.96"/>
    <n v="87.08"/>
    <n v="161.51"/>
    <n v="95.22"/>
    <n v="484.53"/>
    <x v="0"/>
    <s v="12"/>
    <x v="11"/>
    <m/>
    <m/>
    <m/>
    <m/>
    <m/>
  </r>
  <r>
    <x v="250"/>
    <x v="3"/>
    <x v="2"/>
    <x v="7"/>
    <x v="0"/>
    <x v="17"/>
    <x v="1"/>
    <x v="4"/>
    <n v="2"/>
    <n v="17.45"/>
    <n v="1"/>
    <n v="332.05"/>
    <n v="25"/>
    <x v="0"/>
    <n v="23"/>
    <n v="249"/>
    <s v=""/>
    <x v="4"/>
    <n v="9.24"/>
    <n v="79.52"/>
    <n v="138.35"/>
    <n v="34.9"/>
    <n v="470.4"/>
    <x v="1"/>
    <s v="18"/>
    <x v="11"/>
    <m/>
    <m/>
    <m/>
    <m/>
    <m/>
  </r>
  <r>
    <x v="119"/>
    <x v="0"/>
    <x v="1"/>
    <x v="0"/>
    <x v="2"/>
    <x v="6"/>
    <x v="3"/>
    <x v="3"/>
    <n v="4"/>
    <n v="5.59"/>
    <n v="7"/>
    <n v="337.1"/>
    <n v="6"/>
    <x v="4"/>
    <n v="31"/>
    <n v="939"/>
    <s v=""/>
    <x v="4"/>
    <n v="3.3"/>
    <n v="89.4"/>
    <n v="33.71"/>
    <n v="156.51999999999998"/>
    <n v="370.81"/>
    <x v="2"/>
    <s v="6"/>
    <x v="11"/>
    <m/>
    <m/>
    <m/>
    <m/>
    <m/>
  </r>
  <r>
    <x v="194"/>
    <x v="3"/>
    <x v="0"/>
    <x v="15"/>
    <x v="0"/>
    <x v="16"/>
    <x v="1"/>
    <x v="3"/>
    <n v="1"/>
    <n v="2.4900000000000002"/>
    <n v="1"/>
    <n v="332.92"/>
    <n v="51"/>
    <x v="0"/>
    <n v="4"/>
    <n v="370"/>
    <s v=""/>
    <x v="4"/>
    <n v="1.08"/>
    <n v="96.84"/>
    <n v="282.98"/>
    <n v="2.4900000000000002"/>
    <n v="615.90000000000009"/>
    <x v="2"/>
    <s v="4"/>
    <x v="11"/>
    <m/>
    <m/>
    <m/>
    <m/>
    <m/>
  </r>
  <r>
    <x v="209"/>
    <x v="1"/>
    <x v="0"/>
    <x v="14"/>
    <x v="0"/>
    <x v="8"/>
    <x v="4"/>
    <x v="4"/>
    <n v="5"/>
    <n v="7.77"/>
    <n v="1"/>
    <n v="299.18"/>
    <n v="34"/>
    <x v="0"/>
    <n v="49"/>
    <n v="980"/>
    <s v="Rutin kontrol"/>
    <x v="3"/>
    <n v="5"/>
    <n v="85"/>
    <n v="169.54"/>
    <n v="38.849999999999994"/>
    <n v="468.72"/>
    <x v="0"/>
    <s v="8"/>
    <x v="11"/>
    <m/>
    <m/>
    <m/>
    <m/>
    <m/>
  </r>
  <r>
    <x v="143"/>
    <x v="4"/>
    <x v="2"/>
    <x v="16"/>
    <x v="4"/>
    <x v="13"/>
    <x v="0"/>
    <x v="4"/>
    <n v="1"/>
    <n v="15.21"/>
    <n v="9"/>
    <n v="493.89"/>
    <n v="31"/>
    <x v="3"/>
    <n v="3"/>
    <n v="680"/>
    <s v=""/>
    <x v="4"/>
    <n v="0.44"/>
    <n v="98.12"/>
    <n v="255.18"/>
    <n v="136.89000000000001"/>
    <n v="749.06999999999994"/>
    <x v="1"/>
    <s v="16"/>
    <x v="11"/>
    <m/>
    <m/>
    <m/>
    <m/>
    <m/>
  </r>
  <r>
    <x v="156"/>
    <x v="1"/>
    <x v="1"/>
    <x v="18"/>
    <x v="1"/>
    <x v="10"/>
    <x v="4"/>
    <x v="2"/>
    <n v="2"/>
    <n v="11.46"/>
    <n v="7"/>
    <n v="379.53"/>
    <n v="75"/>
    <x v="0"/>
    <n v="21"/>
    <n v="215"/>
    <s v=""/>
    <x v="1"/>
    <n v="9.77"/>
    <n v="78.459999999999994"/>
    <n v="474.41"/>
    <n v="160.44"/>
    <n v="853.94"/>
    <x v="0"/>
    <s v="12"/>
    <x v="11"/>
    <m/>
    <m/>
    <m/>
    <m/>
    <m/>
  </r>
  <r>
    <x v="45"/>
    <x v="4"/>
    <x v="0"/>
    <x v="2"/>
    <x v="2"/>
    <x v="16"/>
    <x v="2"/>
    <x v="0"/>
    <n v="2"/>
    <n v="16.52"/>
    <n v="4"/>
    <n v="399.63"/>
    <n v="24"/>
    <x v="0"/>
    <n v="2"/>
    <n v="803"/>
    <s v=""/>
    <x v="0"/>
    <n v="0.25"/>
    <n v="97.5"/>
    <n v="159.85"/>
    <n v="132.16"/>
    <n v="559.48"/>
    <x v="1"/>
    <s v="18"/>
    <x v="11"/>
    <m/>
    <m/>
    <m/>
    <m/>
    <m/>
  </r>
  <r>
    <x v="16"/>
    <x v="5"/>
    <x v="1"/>
    <x v="11"/>
    <x v="4"/>
    <x v="18"/>
    <x v="3"/>
    <x v="4"/>
    <n v="1"/>
    <n v="19.23"/>
    <n v="6"/>
    <n v="442.61"/>
    <n v="54"/>
    <x v="5"/>
    <n v="4"/>
    <n v="615"/>
    <s v=""/>
    <x v="0"/>
    <n v="0.65"/>
    <n v="97.7"/>
    <n v="398.35"/>
    <n v="115.38"/>
    <n v="840.96"/>
    <x v="1"/>
    <s v="20"/>
    <x v="11"/>
    <m/>
    <m/>
    <m/>
    <m/>
    <m/>
  </r>
  <r>
    <x v="104"/>
    <x v="1"/>
    <x v="0"/>
    <x v="15"/>
    <x v="0"/>
    <x v="16"/>
    <x v="2"/>
    <x v="4"/>
    <n v="2"/>
    <n v="16.059999999999999"/>
    <n v="1"/>
    <n v="147.04"/>
    <n v="27"/>
    <x v="5"/>
    <n v="1"/>
    <n v="686"/>
    <s v=""/>
    <x v="2"/>
    <n v="0.15"/>
    <n v="97.7"/>
    <n v="66.17"/>
    <n v="32.119999999999997"/>
    <n v="213.20999999999998"/>
    <x v="1"/>
    <s v="18"/>
    <x v="11"/>
    <m/>
    <m/>
    <m/>
    <m/>
    <m/>
  </r>
  <r>
    <x v="198"/>
    <x v="5"/>
    <x v="1"/>
    <x v="16"/>
    <x v="4"/>
    <x v="10"/>
    <x v="3"/>
    <x v="1"/>
    <n v="4"/>
    <n v="12.47"/>
    <n v="7"/>
    <n v="87.71"/>
    <n v="17"/>
    <x v="2"/>
    <n v="15"/>
    <n v="909"/>
    <s v=""/>
    <x v="1"/>
    <n v="1.65"/>
    <n v="92.7"/>
    <n v="24.85"/>
    <n v="349.16"/>
    <n v="112.56"/>
    <x v="0"/>
    <s v="14"/>
    <x v="11"/>
    <m/>
    <m/>
    <m/>
    <m/>
    <m/>
  </r>
  <r>
    <x v="47"/>
    <x v="0"/>
    <x v="2"/>
    <x v="16"/>
    <x v="1"/>
    <x v="19"/>
    <x v="4"/>
    <x v="4"/>
    <n v="2"/>
    <n v="10.37"/>
    <n v="6"/>
    <n v="267.3"/>
    <n v="85"/>
    <x v="2"/>
    <n v="33"/>
    <n v="340"/>
    <s v=""/>
    <x v="3"/>
    <n v="9.7100000000000009"/>
    <n v="78.58"/>
    <n v="378.68"/>
    <n v="124.44"/>
    <n v="645.98"/>
    <x v="0"/>
    <s v="12"/>
    <x v="11"/>
    <m/>
    <m/>
    <m/>
    <m/>
    <m/>
  </r>
  <r>
    <x v="137"/>
    <x v="3"/>
    <x v="0"/>
    <x v="18"/>
    <x v="2"/>
    <x v="17"/>
    <x v="1"/>
    <x v="0"/>
    <n v="5"/>
    <n v="1.76"/>
    <n v="4"/>
    <n v="281.33999999999997"/>
    <n v="8"/>
    <x v="0"/>
    <n v="6"/>
    <n v="129"/>
    <s v=""/>
    <x v="0"/>
    <n v="4.6500000000000004"/>
    <n v="85.7"/>
    <n v="37.51"/>
    <n v="35.200000000000003"/>
    <n v="318.84999999999997"/>
    <x v="2"/>
    <s v="2"/>
    <x v="11"/>
    <m/>
    <m/>
    <m/>
    <m/>
    <m/>
  </r>
  <r>
    <x v="232"/>
    <x v="4"/>
    <x v="0"/>
    <x v="9"/>
    <x v="1"/>
    <x v="8"/>
    <x v="1"/>
    <x v="3"/>
    <n v="4"/>
    <n v="19.7"/>
    <n v="7"/>
    <n v="423.13"/>
    <n v="18"/>
    <x v="0"/>
    <n v="7"/>
    <n v="242"/>
    <s v=""/>
    <x v="4"/>
    <n v="2.89"/>
    <n v="90.22"/>
    <n v="126.94"/>
    <n v="551.6"/>
    <n v="550.06999999999994"/>
    <x v="1"/>
    <s v="20"/>
    <x v="11"/>
    <m/>
    <m/>
    <m/>
    <m/>
    <m/>
  </r>
  <r>
    <x v="121"/>
    <x v="3"/>
    <x v="1"/>
    <x v="1"/>
    <x v="3"/>
    <x v="4"/>
    <x v="3"/>
    <x v="3"/>
    <n v="3"/>
    <n v="8.2899999999999991"/>
    <n v="3"/>
    <n v="249.7"/>
    <n v="24"/>
    <x v="4"/>
    <n v="19"/>
    <n v="425"/>
    <s v=""/>
    <x v="2"/>
    <n v="4.47"/>
    <n v="88.06"/>
    <n v="99.88"/>
    <n v="74.609999999999985"/>
    <n v="349.58"/>
    <x v="0"/>
    <s v="10"/>
    <x v="11"/>
    <m/>
    <m/>
    <m/>
    <m/>
    <m/>
  </r>
  <r>
    <x v="226"/>
    <x v="5"/>
    <x v="1"/>
    <x v="9"/>
    <x v="2"/>
    <x v="14"/>
    <x v="1"/>
    <x v="3"/>
    <n v="2"/>
    <n v="3.89"/>
    <n v="1"/>
    <n v="306.88"/>
    <n v="17"/>
    <x v="2"/>
    <n v="44"/>
    <n v="794"/>
    <s v=""/>
    <x v="2"/>
    <n v="5.54"/>
    <n v="86.92"/>
    <n v="86.95"/>
    <n v="7.78"/>
    <n v="393.83"/>
    <x v="2"/>
    <s v="4"/>
    <x v="11"/>
    <m/>
    <m/>
    <m/>
    <m/>
    <m/>
  </r>
  <r>
    <x v="178"/>
    <x v="4"/>
    <x v="0"/>
    <x v="18"/>
    <x v="1"/>
    <x v="9"/>
    <x v="4"/>
    <x v="3"/>
    <n v="2"/>
    <n v="13.67"/>
    <n v="4"/>
    <n v="287.18"/>
    <n v="7"/>
    <x v="3"/>
    <n v="1"/>
    <n v="115"/>
    <s v=""/>
    <x v="0"/>
    <n v="0.87"/>
    <n v="96.26"/>
    <n v="33.5"/>
    <n v="109.36"/>
    <n v="320.68"/>
    <x v="0"/>
    <s v="14"/>
    <x v="11"/>
    <m/>
    <m/>
    <m/>
    <m/>
    <m/>
  </r>
  <r>
    <x v="61"/>
    <x v="3"/>
    <x v="2"/>
    <x v="14"/>
    <x v="0"/>
    <x v="0"/>
    <x v="1"/>
    <x v="1"/>
    <n v="5"/>
    <n v="6.4"/>
    <n v="3"/>
    <n v="67.19"/>
    <n v="86"/>
    <x v="0"/>
    <n v="39"/>
    <n v="210"/>
    <s v="Kontrol tekrarlandı"/>
    <x v="1"/>
    <n v="18.57"/>
    <n v="57.86"/>
    <n v="96.31"/>
    <n v="96"/>
    <n v="163.5"/>
    <x v="0"/>
    <s v="8"/>
    <x v="11"/>
    <m/>
    <m/>
    <m/>
    <m/>
    <m/>
  </r>
  <r>
    <x v="203"/>
    <x v="1"/>
    <x v="1"/>
    <x v="0"/>
    <x v="2"/>
    <x v="11"/>
    <x v="4"/>
    <x v="4"/>
    <n v="5"/>
    <n v="12.13"/>
    <n v="1"/>
    <n v="326.85000000000002"/>
    <n v="82"/>
    <x v="3"/>
    <n v="19"/>
    <n v="971"/>
    <s v=""/>
    <x v="2"/>
    <n v="1.96"/>
    <n v="91.08"/>
    <n v="446.7"/>
    <n v="60.650000000000006"/>
    <n v="773.55"/>
    <x v="0"/>
    <s v="14"/>
    <x v="11"/>
    <m/>
    <m/>
    <m/>
    <m/>
    <m/>
  </r>
  <r>
    <x v="0"/>
    <x v="2"/>
    <x v="1"/>
    <x v="10"/>
    <x v="2"/>
    <x v="9"/>
    <x v="2"/>
    <x v="3"/>
    <n v="1"/>
    <n v="12.15"/>
    <n v="2"/>
    <n v="422.62"/>
    <n v="51"/>
    <x v="0"/>
    <n v="45"/>
    <n v="812"/>
    <s v=""/>
    <x v="0"/>
    <n v="5.54"/>
    <n v="87.92"/>
    <n v="359.23"/>
    <n v="24.3"/>
    <n v="781.85"/>
    <x v="0"/>
    <s v="14"/>
    <x v="11"/>
    <m/>
    <m/>
    <m/>
    <m/>
    <m/>
  </r>
  <r>
    <x v="221"/>
    <x v="5"/>
    <x v="1"/>
    <x v="18"/>
    <x v="4"/>
    <x v="7"/>
    <x v="4"/>
    <x v="2"/>
    <n v="1"/>
    <n v="9.4700000000000006"/>
    <n v="5"/>
    <n v="120.88"/>
    <n v="7"/>
    <x v="3"/>
    <n v="26"/>
    <n v="206"/>
    <s v=""/>
    <x v="1"/>
    <n v="12.62"/>
    <n v="73.760000000000005"/>
    <n v="14.1"/>
    <n v="47.35"/>
    <n v="134.97999999999999"/>
    <x v="0"/>
    <s v="10"/>
    <x v="11"/>
    <m/>
    <m/>
    <m/>
    <m/>
    <m/>
  </r>
  <r>
    <x v="38"/>
    <x v="3"/>
    <x v="0"/>
    <x v="19"/>
    <x v="0"/>
    <x v="15"/>
    <x v="0"/>
    <x v="3"/>
    <n v="1"/>
    <n v="16.89"/>
    <n v="8"/>
    <n v="317.45"/>
    <n v="5"/>
    <x v="1"/>
    <n v="44"/>
    <n v="478"/>
    <s v=""/>
    <x v="0"/>
    <n v="9.2100000000000009"/>
    <n v="80.58"/>
    <n v="26.45"/>
    <n v="135.12"/>
    <n v="343.9"/>
    <x v="1"/>
    <s v="18"/>
    <x v="11"/>
    <m/>
    <m/>
    <m/>
    <m/>
    <m/>
  </r>
  <r>
    <x v="285"/>
    <x v="5"/>
    <x v="0"/>
    <x v="18"/>
    <x v="3"/>
    <x v="9"/>
    <x v="0"/>
    <x v="4"/>
    <n v="5"/>
    <n v="6.03"/>
    <n v="1"/>
    <n v="317.12"/>
    <n v="28"/>
    <x v="3"/>
    <n v="12"/>
    <n v="261"/>
    <s v=""/>
    <x v="0"/>
    <n v="4.5999999999999996"/>
    <n v="85.8"/>
    <n v="147.99"/>
    <n v="30.150000000000002"/>
    <n v="465.11"/>
    <x v="0"/>
    <s v="8"/>
    <x v="11"/>
    <m/>
    <m/>
    <m/>
    <m/>
    <m/>
  </r>
  <r>
    <x v="42"/>
    <x v="5"/>
    <x v="0"/>
    <x v="0"/>
    <x v="1"/>
    <x v="3"/>
    <x v="0"/>
    <x v="3"/>
    <n v="1"/>
    <n v="9.52"/>
    <n v="4"/>
    <n v="123.88"/>
    <n v="39"/>
    <x v="2"/>
    <n v="22"/>
    <n v="382"/>
    <s v=""/>
    <x v="1"/>
    <n v="5.76"/>
    <n v="87.48"/>
    <n v="80.52"/>
    <n v="38.08"/>
    <n v="204.39999999999998"/>
    <x v="0"/>
    <s v="10"/>
    <x v="11"/>
    <m/>
    <m/>
    <m/>
    <m/>
    <m/>
  </r>
  <r>
    <x v="140"/>
    <x v="4"/>
    <x v="0"/>
    <x v="18"/>
    <x v="4"/>
    <x v="9"/>
    <x v="3"/>
    <x v="1"/>
    <n v="1"/>
    <n v="11.22"/>
    <n v="4"/>
    <n v="105.56"/>
    <n v="18"/>
    <x v="0"/>
    <n v="13"/>
    <n v="368"/>
    <s v=""/>
    <x v="1"/>
    <n v="3.53"/>
    <n v="91.94"/>
    <n v="31.67"/>
    <n v="44.88"/>
    <n v="137.23000000000002"/>
    <x v="0"/>
    <s v="12"/>
    <x v="11"/>
    <m/>
    <m/>
    <m/>
    <m/>
    <m/>
  </r>
  <r>
    <x v="250"/>
    <x v="4"/>
    <x v="2"/>
    <x v="19"/>
    <x v="1"/>
    <x v="11"/>
    <x v="3"/>
    <x v="0"/>
    <n v="3"/>
    <n v="13.61"/>
    <n v="5"/>
    <n v="491.02"/>
    <n v="71"/>
    <x v="2"/>
    <n v="28"/>
    <n v="583"/>
    <s v=""/>
    <x v="1"/>
    <n v="4.8"/>
    <n v="87.4"/>
    <n v="581.04"/>
    <n v="204.14999999999998"/>
    <n v="1072.06"/>
    <x v="0"/>
    <s v="14"/>
    <x v="11"/>
    <m/>
    <m/>
    <m/>
    <m/>
    <m/>
  </r>
  <r>
    <x v="232"/>
    <x v="2"/>
    <x v="2"/>
    <x v="19"/>
    <x v="3"/>
    <x v="0"/>
    <x v="3"/>
    <x v="0"/>
    <n v="1"/>
    <n v="15.9"/>
    <n v="7"/>
    <n v="227.17"/>
    <n v="17"/>
    <x v="3"/>
    <n v="14"/>
    <n v="766"/>
    <s v=""/>
    <x v="0"/>
    <n v="1.83"/>
    <n v="95.34"/>
    <n v="64.36"/>
    <n v="111.3"/>
    <n v="291.52999999999997"/>
    <x v="1"/>
    <s v="16"/>
    <x v="11"/>
    <m/>
    <m/>
    <m/>
    <m/>
    <m/>
  </r>
  <r>
    <x v="119"/>
    <x v="1"/>
    <x v="0"/>
    <x v="6"/>
    <x v="3"/>
    <x v="3"/>
    <x v="4"/>
    <x v="4"/>
    <n v="2"/>
    <n v="8.5"/>
    <n v="8"/>
    <n v="152.34"/>
    <n v="51"/>
    <x v="5"/>
    <n v="22"/>
    <n v="172"/>
    <s v=""/>
    <x v="2"/>
    <n v="12.79"/>
    <n v="72.42"/>
    <n v="129.49"/>
    <n v="136"/>
    <n v="281.83000000000004"/>
    <x v="0"/>
    <s v="10"/>
    <x v="11"/>
    <m/>
    <m/>
    <m/>
    <m/>
    <m/>
  </r>
  <r>
    <x v="140"/>
    <x v="5"/>
    <x v="2"/>
    <x v="15"/>
    <x v="2"/>
    <x v="15"/>
    <x v="3"/>
    <x v="0"/>
    <n v="5"/>
    <n v="13.27"/>
    <n v="6"/>
    <n v="127.1"/>
    <n v="54"/>
    <x v="5"/>
    <n v="30"/>
    <n v="296"/>
    <s v=""/>
    <x v="3"/>
    <n v="10.14"/>
    <n v="74.72"/>
    <n v="114.39"/>
    <n v="398.09999999999997"/>
    <n v="241.49"/>
    <x v="0"/>
    <s v="14"/>
    <x v="11"/>
    <m/>
    <m/>
    <m/>
    <m/>
    <m/>
  </r>
  <r>
    <x v="128"/>
    <x v="3"/>
    <x v="1"/>
    <x v="4"/>
    <x v="3"/>
    <x v="1"/>
    <x v="2"/>
    <x v="0"/>
    <n v="4"/>
    <n v="3.86"/>
    <n v="1"/>
    <n v="350.42"/>
    <n v="82"/>
    <x v="5"/>
    <n v="44"/>
    <n v="342"/>
    <s v=""/>
    <x v="3"/>
    <n v="12.87"/>
    <n v="70.260000000000005"/>
    <n v="478.91"/>
    <n v="15.44"/>
    <n v="829.33"/>
    <x v="2"/>
    <s v="4"/>
    <x v="11"/>
    <m/>
    <m/>
    <m/>
    <m/>
    <m/>
  </r>
  <r>
    <x v="168"/>
    <x v="0"/>
    <x v="1"/>
    <x v="13"/>
    <x v="1"/>
    <x v="19"/>
    <x v="0"/>
    <x v="2"/>
    <n v="3"/>
    <n v="18.72"/>
    <n v="7"/>
    <n v="324.25"/>
    <n v="89"/>
    <x v="0"/>
    <n v="20"/>
    <n v="697"/>
    <s v=""/>
    <x v="0"/>
    <n v="2.87"/>
    <n v="91.26"/>
    <n v="480.97"/>
    <n v="393.12"/>
    <n v="805.22"/>
    <x v="1"/>
    <s v="20"/>
    <x v="11"/>
    <m/>
    <m/>
    <m/>
    <m/>
    <m/>
  </r>
  <r>
    <x v="93"/>
    <x v="5"/>
    <x v="1"/>
    <x v="8"/>
    <x v="0"/>
    <x v="6"/>
    <x v="4"/>
    <x v="4"/>
    <n v="5"/>
    <n v="8.2799999999999994"/>
    <n v="3"/>
    <n v="339.6"/>
    <n v="30"/>
    <x v="4"/>
    <n v="44"/>
    <n v="898"/>
    <s v=""/>
    <x v="0"/>
    <n v="4.9000000000000004"/>
    <n v="85.2"/>
    <n v="169.8"/>
    <n v="124.19999999999999"/>
    <n v="509.40000000000003"/>
    <x v="0"/>
    <s v="10"/>
    <x v="11"/>
    <m/>
    <m/>
    <m/>
    <m/>
    <m/>
  </r>
  <r>
    <x v="238"/>
    <x v="5"/>
    <x v="0"/>
    <x v="9"/>
    <x v="0"/>
    <x v="17"/>
    <x v="0"/>
    <x v="4"/>
    <n v="5"/>
    <n v="14.86"/>
    <n v="6"/>
    <n v="89.6"/>
    <n v="7"/>
    <x v="1"/>
    <n v="27"/>
    <n v="358"/>
    <s v=""/>
    <x v="2"/>
    <n v="7.54"/>
    <n v="79.92"/>
    <n v="10.45"/>
    <n v="445.79999999999995"/>
    <n v="100.05"/>
    <x v="0"/>
    <s v="16"/>
    <x v="11"/>
    <m/>
    <m/>
    <m/>
    <m/>
    <m/>
  </r>
  <r>
    <x v="182"/>
    <x v="2"/>
    <x v="1"/>
    <x v="0"/>
    <x v="2"/>
    <x v="11"/>
    <x v="3"/>
    <x v="0"/>
    <n v="2"/>
    <n v="1.39"/>
    <n v="8"/>
    <n v="452.09"/>
    <n v="55"/>
    <x v="3"/>
    <n v="38"/>
    <n v="897"/>
    <s v=""/>
    <x v="1"/>
    <n v="4.24"/>
    <n v="89.52"/>
    <n v="414.42"/>
    <n v="22.24"/>
    <n v="866.51"/>
    <x v="2"/>
    <s v="2"/>
    <x v="11"/>
    <m/>
    <m/>
    <m/>
    <m/>
    <m/>
  </r>
  <r>
    <x v="165"/>
    <x v="1"/>
    <x v="2"/>
    <x v="12"/>
    <x v="1"/>
    <x v="0"/>
    <x v="4"/>
    <x v="0"/>
    <n v="1"/>
    <n v="4.9000000000000004"/>
    <n v="7"/>
    <n v="225.17"/>
    <n v="44"/>
    <x v="4"/>
    <n v="42"/>
    <n v="248"/>
    <s v=""/>
    <x v="0"/>
    <n v="16.940000000000001"/>
    <n v="65.12"/>
    <n v="165.12"/>
    <n v="34.300000000000004"/>
    <n v="390.28999999999996"/>
    <x v="2"/>
    <s v="6"/>
    <x v="11"/>
    <m/>
    <m/>
    <m/>
    <m/>
    <m/>
  </r>
  <r>
    <x v="286"/>
    <x v="0"/>
    <x v="0"/>
    <x v="6"/>
    <x v="1"/>
    <x v="15"/>
    <x v="1"/>
    <x v="0"/>
    <n v="2"/>
    <n v="10.25"/>
    <n v="6"/>
    <n v="191.02"/>
    <n v="72"/>
    <x v="5"/>
    <n v="41"/>
    <n v="966"/>
    <s v=""/>
    <x v="4"/>
    <n v="4.24"/>
    <n v="89.52"/>
    <n v="229.22"/>
    <n v="123"/>
    <n v="420.24"/>
    <x v="0"/>
    <s v="12"/>
    <x v="11"/>
    <m/>
    <m/>
    <m/>
    <m/>
    <m/>
  </r>
  <r>
    <x v="210"/>
    <x v="4"/>
    <x v="2"/>
    <x v="16"/>
    <x v="3"/>
    <x v="3"/>
    <x v="2"/>
    <x v="1"/>
    <n v="1"/>
    <n v="17.690000000000001"/>
    <n v="9"/>
    <n v="258.06"/>
    <n v="40"/>
    <x v="3"/>
    <n v="34"/>
    <n v="489"/>
    <s v=""/>
    <x v="1"/>
    <n v="6.95"/>
    <n v="85.1"/>
    <n v="172.04"/>
    <n v="159.21"/>
    <n v="430.1"/>
    <x v="1"/>
    <s v="18"/>
    <x v="11"/>
    <m/>
    <m/>
    <m/>
    <m/>
    <m/>
  </r>
  <r>
    <x v="244"/>
    <x v="4"/>
    <x v="1"/>
    <x v="15"/>
    <x v="1"/>
    <x v="10"/>
    <x v="3"/>
    <x v="3"/>
    <n v="1"/>
    <n v="11.02"/>
    <n v="9"/>
    <n v="225.53"/>
    <n v="55"/>
    <x v="4"/>
    <n v="39"/>
    <n v="515"/>
    <s v=""/>
    <x v="0"/>
    <n v="7.57"/>
    <n v="83.86"/>
    <n v="206.74"/>
    <n v="99.179999999999993"/>
    <n v="432.27"/>
    <x v="0"/>
    <s v="12"/>
    <x v="11"/>
    <m/>
    <m/>
    <m/>
    <m/>
    <m/>
  </r>
  <r>
    <x v="28"/>
    <x v="3"/>
    <x v="1"/>
    <x v="17"/>
    <x v="4"/>
    <x v="18"/>
    <x v="3"/>
    <x v="1"/>
    <n v="5"/>
    <n v="18.670000000000002"/>
    <n v="1"/>
    <n v="438.61"/>
    <n v="5"/>
    <x v="2"/>
    <n v="41"/>
    <n v="525"/>
    <s v=""/>
    <x v="4"/>
    <n v="7.81"/>
    <n v="79.38"/>
    <n v="36.549999999999997"/>
    <n v="93.350000000000009"/>
    <n v="475.16"/>
    <x v="1"/>
    <s v="20"/>
    <x v="11"/>
    <m/>
    <m/>
    <m/>
    <m/>
    <m/>
  </r>
  <r>
    <x v="128"/>
    <x v="0"/>
    <x v="1"/>
    <x v="7"/>
    <x v="3"/>
    <x v="4"/>
    <x v="2"/>
    <x v="4"/>
    <n v="1"/>
    <n v="10.19"/>
    <n v="1"/>
    <n v="468.17"/>
    <n v="37"/>
    <x v="5"/>
    <n v="44"/>
    <n v="801"/>
    <s v=""/>
    <x v="2"/>
    <n v="5.49"/>
    <n v="88.02"/>
    <n v="288.7"/>
    <n v="10.19"/>
    <n v="756.87"/>
    <x v="0"/>
    <s v="12"/>
    <x v="11"/>
    <m/>
    <m/>
    <m/>
    <m/>
    <m/>
  </r>
  <r>
    <x v="215"/>
    <x v="4"/>
    <x v="0"/>
    <x v="1"/>
    <x v="4"/>
    <x v="4"/>
    <x v="2"/>
    <x v="2"/>
    <n v="3"/>
    <n v="10.32"/>
    <n v="1"/>
    <n v="186.55"/>
    <n v="11"/>
    <x v="4"/>
    <n v="37"/>
    <n v="316"/>
    <s v=""/>
    <x v="4"/>
    <n v="11.71"/>
    <n v="73.58"/>
    <n v="34.200000000000003"/>
    <n v="30.96"/>
    <n v="220.75"/>
    <x v="0"/>
    <s v="12"/>
    <x v="11"/>
    <m/>
    <m/>
    <m/>
    <m/>
    <m/>
  </r>
  <r>
    <x v="287"/>
    <x v="3"/>
    <x v="2"/>
    <x v="17"/>
    <x v="2"/>
    <x v="15"/>
    <x v="1"/>
    <x v="3"/>
    <n v="3"/>
    <n v="3.28"/>
    <n v="8"/>
    <n v="438.77"/>
    <n v="56"/>
    <x v="0"/>
    <n v="1"/>
    <n v="966"/>
    <s v=""/>
    <x v="0"/>
    <n v="0.1"/>
    <n v="96.8"/>
    <n v="409.52"/>
    <n v="78.72"/>
    <n v="848.29"/>
    <x v="2"/>
    <s v="4"/>
    <x v="11"/>
    <m/>
    <m/>
    <m/>
    <m/>
    <m/>
  </r>
  <r>
    <x v="252"/>
    <x v="1"/>
    <x v="0"/>
    <x v="13"/>
    <x v="0"/>
    <x v="3"/>
    <x v="3"/>
    <x v="2"/>
    <n v="3"/>
    <n v="16.25"/>
    <n v="7"/>
    <n v="401.69"/>
    <n v="15"/>
    <x v="2"/>
    <n v="15"/>
    <n v="185"/>
    <s v=""/>
    <x v="3"/>
    <n v="8.11"/>
    <n v="80.78"/>
    <n v="100.42"/>
    <n v="341.25"/>
    <n v="502.11"/>
    <x v="1"/>
    <s v="18"/>
    <x v="11"/>
    <m/>
    <m/>
    <m/>
    <m/>
    <m/>
  </r>
  <r>
    <x v="48"/>
    <x v="3"/>
    <x v="0"/>
    <x v="8"/>
    <x v="2"/>
    <x v="19"/>
    <x v="3"/>
    <x v="4"/>
    <n v="5"/>
    <n v="5.69"/>
    <n v="3"/>
    <n v="468.86"/>
    <n v="31"/>
    <x v="5"/>
    <n v="32"/>
    <n v="315"/>
    <s v=""/>
    <x v="0"/>
    <n v="10.16"/>
    <n v="74.680000000000007"/>
    <n v="242.24"/>
    <n v="85.350000000000009"/>
    <n v="711.1"/>
    <x v="2"/>
    <s v="6"/>
    <x v="11"/>
    <m/>
    <m/>
    <m/>
    <m/>
    <m/>
  </r>
  <r>
    <x v="288"/>
    <x v="4"/>
    <x v="1"/>
    <x v="13"/>
    <x v="0"/>
    <x v="4"/>
    <x v="0"/>
    <x v="4"/>
    <n v="2"/>
    <n v="18.09"/>
    <n v="2"/>
    <n v="160.59"/>
    <n v="18"/>
    <x v="1"/>
    <n v="8"/>
    <n v="522"/>
    <s v=""/>
    <x v="3"/>
    <n v="1.53"/>
    <n v="94.94"/>
    <n v="48.18"/>
    <n v="72.36"/>
    <n v="208.77"/>
    <x v="1"/>
    <s v="20"/>
    <x v="11"/>
    <m/>
    <m/>
    <m/>
    <m/>
    <m/>
  </r>
  <r>
    <x v="13"/>
    <x v="2"/>
    <x v="0"/>
    <x v="17"/>
    <x v="2"/>
    <x v="7"/>
    <x v="4"/>
    <x v="2"/>
    <n v="4"/>
    <n v="18.309999999999999"/>
    <n v="4"/>
    <n v="309.63"/>
    <n v="84"/>
    <x v="5"/>
    <n v="33"/>
    <n v="419"/>
    <s v=""/>
    <x v="2"/>
    <n v="7.88"/>
    <n v="80.239999999999995"/>
    <n v="433.48"/>
    <n v="292.95999999999998"/>
    <n v="743.11"/>
    <x v="1"/>
    <s v="20"/>
    <x v="11"/>
    <m/>
    <m/>
    <m/>
    <m/>
    <m/>
  </r>
  <r>
    <x v="36"/>
    <x v="2"/>
    <x v="0"/>
    <x v="1"/>
    <x v="1"/>
    <x v="14"/>
    <x v="4"/>
    <x v="2"/>
    <n v="1"/>
    <n v="18.920000000000002"/>
    <n v="3"/>
    <n v="173.55"/>
    <n v="50"/>
    <x v="0"/>
    <n v="18"/>
    <n v="217"/>
    <s v=""/>
    <x v="2"/>
    <n v="8.2899999999999991"/>
    <n v="82.42"/>
    <n v="144.63"/>
    <n v="56.760000000000005"/>
    <n v="318.18"/>
    <x v="1"/>
    <s v="20"/>
    <x v="11"/>
    <m/>
    <m/>
    <m/>
    <m/>
    <m/>
  </r>
  <r>
    <x v="15"/>
    <x v="2"/>
    <x v="1"/>
    <x v="11"/>
    <x v="4"/>
    <x v="19"/>
    <x v="0"/>
    <x v="2"/>
    <n v="4"/>
    <n v="10.88"/>
    <n v="7"/>
    <n v="420.84"/>
    <n v="80"/>
    <x v="1"/>
    <n v="45"/>
    <n v="981"/>
    <s v=""/>
    <x v="1"/>
    <n v="4.59"/>
    <n v="86.82"/>
    <n v="561.12"/>
    <n v="304.64000000000004"/>
    <n v="981.96"/>
    <x v="0"/>
    <s v="12"/>
    <x v="11"/>
    <m/>
    <m/>
    <m/>
    <m/>
    <m/>
  </r>
  <r>
    <x v="289"/>
    <x v="4"/>
    <x v="0"/>
    <x v="8"/>
    <x v="0"/>
    <x v="13"/>
    <x v="4"/>
    <x v="4"/>
    <n v="2"/>
    <n v="13.86"/>
    <n v="8"/>
    <n v="52.4"/>
    <n v="14"/>
    <x v="1"/>
    <n v="29"/>
    <n v="514"/>
    <s v=""/>
    <x v="1"/>
    <n v="5.64"/>
    <n v="86.72"/>
    <n v="12.23"/>
    <n v="221.76"/>
    <n v="64.63"/>
    <x v="0"/>
    <s v="14"/>
    <x v="11"/>
    <m/>
    <m/>
    <m/>
    <m/>
    <m/>
  </r>
  <r>
    <x v="27"/>
    <x v="2"/>
    <x v="1"/>
    <x v="16"/>
    <x v="3"/>
    <x v="19"/>
    <x v="2"/>
    <x v="0"/>
    <n v="2"/>
    <n v="15.79"/>
    <n v="6"/>
    <n v="304.17"/>
    <n v="28"/>
    <x v="1"/>
    <n v="32"/>
    <n v="698"/>
    <s v=""/>
    <x v="3"/>
    <n v="4.58"/>
    <n v="88.84"/>
    <n v="141.94999999999999"/>
    <n v="189.48"/>
    <n v="446.12"/>
    <x v="1"/>
    <s v="16"/>
    <x v="11"/>
    <m/>
    <m/>
    <m/>
    <m/>
    <m/>
  </r>
  <r>
    <x v="167"/>
    <x v="0"/>
    <x v="1"/>
    <x v="18"/>
    <x v="4"/>
    <x v="8"/>
    <x v="4"/>
    <x v="2"/>
    <n v="5"/>
    <n v="3.49"/>
    <n v="3"/>
    <n v="202.64"/>
    <n v="65"/>
    <x v="3"/>
    <n v="33"/>
    <n v="139"/>
    <s v=""/>
    <x v="3"/>
    <n v="23.74"/>
    <n v="47.52"/>
    <n v="219.53"/>
    <n v="52.35"/>
    <n v="422.16999999999996"/>
    <x v="2"/>
    <s v="4"/>
    <x v="11"/>
    <m/>
    <m/>
    <m/>
    <m/>
    <m/>
  </r>
  <r>
    <x v="275"/>
    <x v="1"/>
    <x v="1"/>
    <x v="12"/>
    <x v="3"/>
    <x v="3"/>
    <x v="4"/>
    <x v="3"/>
    <n v="3"/>
    <n v="12.42"/>
    <n v="6"/>
    <n v="195.21"/>
    <n v="22"/>
    <x v="3"/>
    <n v="5"/>
    <n v="260"/>
    <s v=""/>
    <x v="2"/>
    <n v="1.92"/>
    <n v="93.16"/>
    <n v="71.58"/>
    <n v="223.56"/>
    <n v="266.79000000000002"/>
    <x v="0"/>
    <s v="14"/>
    <x v="11"/>
    <m/>
    <m/>
    <m/>
    <m/>
    <m/>
  </r>
  <r>
    <x v="267"/>
    <x v="3"/>
    <x v="1"/>
    <x v="8"/>
    <x v="4"/>
    <x v="4"/>
    <x v="0"/>
    <x v="4"/>
    <n v="3"/>
    <n v="1.65"/>
    <n v="2"/>
    <n v="340.21"/>
    <n v="13"/>
    <x v="1"/>
    <n v="18"/>
    <n v="802"/>
    <s v=""/>
    <x v="4"/>
    <n v="2.2400000000000002"/>
    <n v="92.52"/>
    <n v="73.709999999999994"/>
    <n v="9.8999999999999986"/>
    <n v="413.91999999999996"/>
    <x v="2"/>
    <s v="2"/>
    <x v="11"/>
    <m/>
    <m/>
    <m/>
    <m/>
    <m/>
  </r>
  <r>
    <x v="218"/>
    <x v="3"/>
    <x v="0"/>
    <x v="4"/>
    <x v="4"/>
    <x v="12"/>
    <x v="1"/>
    <x v="1"/>
    <n v="2"/>
    <n v="10.45"/>
    <n v="7"/>
    <n v="433.17"/>
    <n v="21"/>
    <x v="2"/>
    <n v="48"/>
    <n v="636"/>
    <s v=""/>
    <x v="3"/>
    <n v="7.55"/>
    <n v="82.9"/>
    <n v="151.61000000000001"/>
    <n v="146.29999999999998"/>
    <n v="584.78"/>
    <x v="0"/>
    <s v="12"/>
    <x v="11"/>
    <m/>
    <m/>
    <m/>
    <m/>
    <m/>
  </r>
  <r>
    <x v="33"/>
    <x v="4"/>
    <x v="1"/>
    <x v="14"/>
    <x v="2"/>
    <x v="16"/>
    <x v="4"/>
    <x v="1"/>
    <n v="5"/>
    <n v="3.94"/>
    <n v="7"/>
    <n v="324.14"/>
    <n v="62"/>
    <x v="1"/>
    <n v="10"/>
    <n v="519"/>
    <s v="Eğitim önerildi"/>
    <x v="3"/>
    <n v="1.93"/>
    <n v="91.14"/>
    <n v="334.94"/>
    <n v="137.9"/>
    <n v="659.07999999999993"/>
    <x v="2"/>
    <s v="4"/>
    <x v="11"/>
    <m/>
    <m/>
    <m/>
    <m/>
    <m/>
  </r>
  <r>
    <x v="130"/>
    <x v="2"/>
    <x v="1"/>
    <x v="0"/>
    <x v="0"/>
    <x v="12"/>
    <x v="4"/>
    <x v="3"/>
    <n v="5"/>
    <n v="4.4800000000000004"/>
    <n v="4"/>
    <n v="433.93"/>
    <n v="17"/>
    <x v="4"/>
    <n v="36"/>
    <n v="763"/>
    <s v=""/>
    <x v="4"/>
    <n v="4.72"/>
    <n v="85.56"/>
    <n v="122.95"/>
    <n v="89.600000000000009"/>
    <n v="556.88"/>
    <x v="2"/>
    <s v="6"/>
    <x v="11"/>
    <m/>
    <m/>
    <m/>
    <m/>
    <m/>
  </r>
  <r>
    <x v="114"/>
    <x v="2"/>
    <x v="0"/>
    <x v="17"/>
    <x v="0"/>
    <x v="2"/>
    <x v="1"/>
    <x v="0"/>
    <n v="1"/>
    <n v="7.94"/>
    <n v="8"/>
    <n v="169.07"/>
    <n v="54"/>
    <x v="1"/>
    <n v="33"/>
    <n v="194"/>
    <s v=""/>
    <x v="1"/>
    <n v="17.010000000000002"/>
    <n v="64.98"/>
    <n v="152.16"/>
    <n v="63.52"/>
    <n v="321.23"/>
    <x v="0"/>
    <s v="8"/>
    <x v="11"/>
    <m/>
    <m/>
    <m/>
    <m/>
    <m/>
  </r>
  <r>
    <x v="24"/>
    <x v="5"/>
    <x v="0"/>
    <x v="12"/>
    <x v="4"/>
    <x v="10"/>
    <x v="0"/>
    <x v="2"/>
    <n v="3"/>
    <n v="9.2200000000000006"/>
    <n v="4"/>
    <n v="283.77999999999997"/>
    <n v="10"/>
    <x v="3"/>
    <n v="23"/>
    <n v="541"/>
    <s v=""/>
    <x v="1"/>
    <n v="4.25"/>
    <n v="88.5"/>
    <n v="47.3"/>
    <n v="110.64000000000001"/>
    <n v="331.08"/>
    <x v="0"/>
    <s v="10"/>
    <x v="11"/>
    <m/>
    <m/>
    <m/>
    <m/>
    <m/>
  </r>
  <r>
    <x v="167"/>
    <x v="1"/>
    <x v="2"/>
    <x v="9"/>
    <x v="1"/>
    <x v="14"/>
    <x v="1"/>
    <x v="4"/>
    <n v="2"/>
    <n v="12.84"/>
    <n v="7"/>
    <n v="252.74"/>
    <n v="89"/>
    <x v="3"/>
    <n v="40"/>
    <n v="657"/>
    <s v=""/>
    <x v="3"/>
    <n v="6.09"/>
    <n v="85.82"/>
    <n v="374.9"/>
    <n v="179.76"/>
    <n v="627.64"/>
    <x v="0"/>
    <s v="14"/>
    <x v="11"/>
    <m/>
    <m/>
    <m/>
    <m/>
    <m/>
  </r>
  <r>
    <x v="228"/>
    <x v="0"/>
    <x v="0"/>
    <x v="15"/>
    <x v="1"/>
    <x v="4"/>
    <x v="0"/>
    <x v="2"/>
    <n v="4"/>
    <n v="2.41"/>
    <n v="4"/>
    <n v="55.24"/>
    <n v="55"/>
    <x v="4"/>
    <n v="5"/>
    <n v="749"/>
    <s v=""/>
    <x v="1"/>
    <n v="0.67"/>
    <n v="94.66"/>
    <n v="50.64"/>
    <n v="38.56"/>
    <n v="105.88"/>
    <x v="2"/>
    <s v="4"/>
    <x v="11"/>
    <m/>
    <m/>
    <m/>
    <m/>
    <m/>
  </r>
  <r>
    <x v="19"/>
    <x v="3"/>
    <x v="0"/>
    <x v="17"/>
    <x v="3"/>
    <x v="11"/>
    <x v="2"/>
    <x v="4"/>
    <n v="3"/>
    <n v="10.57"/>
    <n v="5"/>
    <n v="300.57"/>
    <n v="40"/>
    <x v="4"/>
    <n v="34"/>
    <n v="565"/>
    <s v=""/>
    <x v="1"/>
    <n v="6.02"/>
    <n v="84.96"/>
    <n v="200.38"/>
    <n v="158.55000000000001"/>
    <n v="500.95"/>
    <x v="0"/>
    <s v="12"/>
    <x v="11"/>
    <m/>
    <m/>
    <m/>
    <m/>
    <m/>
  </r>
  <r>
    <x v="218"/>
    <x v="5"/>
    <x v="2"/>
    <x v="3"/>
    <x v="3"/>
    <x v="8"/>
    <x v="0"/>
    <x v="1"/>
    <n v="1"/>
    <n v="4.47"/>
    <n v="7"/>
    <n v="347.69"/>
    <n v="75"/>
    <x v="5"/>
    <n v="24"/>
    <n v="387"/>
    <s v=""/>
    <x v="1"/>
    <n v="6.2"/>
    <n v="86.6"/>
    <n v="434.61"/>
    <n v="31.29"/>
    <n v="782.3"/>
    <x v="2"/>
    <s v="6"/>
    <x v="11"/>
    <m/>
    <m/>
    <m/>
    <m/>
    <m/>
  </r>
  <r>
    <x v="92"/>
    <x v="5"/>
    <x v="0"/>
    <x v="2"/>
    <x v="2"/>
    <x v="1"/>
    <x v="2"/>
    <x v="2"/>
    <n v="5"/>
    <n v="11.91"/>
    <n v="3"/>
    <n v="316.36"/>
    <n v="29"/>
    <x v="2"/>
    <n v="17"/>
    <n v="964"/>
    <s v=""/>
    <x v="2"/>
    <n v="1.76"/>
    <n v="91.48"/>
    <n v="152.91"/>
    <n v="178.65"/>
    <n v="469.27"/>
    <x v="0"/>
    <s v="12"/>
    <x v="11"/>
    <m/>
    <m/>
    <m/>
    <m/>
    <m/>
  </r>
  <r>
    <x v="109"/>
    <x v="4"/>
    <x v="0"/>
    <x v="6"/>
    <x v="4"/>
    <x v="14"/>
    <x v="2"/>
    <x v="3"/>
    <n v="2"/>
    <n v="13.11"/>
    <n v="5"/>
    <n v="381.33"/>
    <n v="15"/>
    <x v="2"/>
    <n v="31"/>
    <n v="775"/>
    <s v=""/>
    <x v="0"/>
    <n v="4"/>
    <n v="90"/>
    <n v="95.33"/>
    <n v="131.1"/>
    <n v="476.65999999999997"/>
    <x v="0"/>
    <s v="14"/>
    <x v="11"/>
    <m/>
    <m/>
    <m/>
    <m/>
    <m/>
  </r>
  <r>
    <x v="242"/>
    <x v="3"/>
    <x v="0"/>
    <x v="10"/>
    <x v="3"/>
    <x v="19"/>
    <x v="0"/>
    <x v="0"/>
    <n v="3"/>
    <n v="11.58"/>
    <n v="3"/>
    <n v="307.10000000000002"/>
    <n v="48"/>
    <x v="2"/>
    <n v="7"/>
    <n v="511"/>
    <s v=""/>
    <x v="3"/>
    <n v="1.37"/>
    <n v="94.26"/>
    <n v="245.68"/>
    <n v="104.22"/>
    <n v="552.78"/>
    <x v="0"/>
    <s v="12"/>
    <x v="11"/>
    <m/>
    <m/>
    <m/>
    <m/>
    <m/>
  </r>
  <r>
    <x v="135"/>
    <x v="4"/>
    <x v="0"/>
    <x v="6"/>
    <x v="3"/>
    <x v="8"/>
    <x v="3"/>
    <x v="3"/>
    <n v="4"/>
    <n v="15.03"/>
    <n v="5"/>
    <n v="80.040000000000006"/>
    <n v="18"/>
    <x v="0"/>
    <n v="17"/>
    <n v="499"/>
    <s v=""/>
    <x v="3"/>
    <n v="3.41"/>
    <n v="89.18"/>
    <n v="24.01"/>
    <n v="300.59999999999997"/>
    <n v="104.05000000000001"/>
    <x v="1"/>
    <s v="16"/>
    <x v="11"/>
    <m/>
    <m/>
    <m/>
    <m/>
    <m/>
  </r>
  <r>
    <x v="118"/>
    <x v="0"/>
    <x v="2"/>
    <x v="2"/>
    <x v="4"/>
    <x v="14"/>
    <x v="0"/>
    <x v="0"/>
    <n v="1"/>
    <n v="7.38"/>
    <n v="3"/>
    <n v="102.4"/>
    <n v="33"/>
    <x v="3"/>
    <n v="28"/>
    <n v="627"/>
    <s v=""/>
    <x v="2"/>
    <n v="4.47"/>
    <n v="90.06"/>
    <n v="56.32"/>
    <n v="22.14"/>
    <n v="158.72"/>
    <x v="0"/>
    <s v="8"/>
    <x v="11"/>
    <m/>
    <m/>
    <m/>
    <m/>
    <m/>
  </r>
  <r>
    <x v="226"/>
    <x v="5"/>
    <x v="0"/>
    <x v="4"/>
    <x v="2"/>
    <x v="6"/>
    <x v="4"/>
    <x v="2"/>
    <n v="1"/>
    <n v="15.54"/>
    <n v="7"/>
    <n v="318.41000000000003"/>
    <n v="78"/>
    <x v="2"/>
    <n v="38"/>
    <n v="117"/>
    <s v=""/>
    <x v="0"/>
    <n v="32.479999999999997"/>
    <n v="34.04"/>
    <n v="413.93"/>
    <n v="108.78"/>
    <n v="732.34"/>
    <x v="1"/>
    <s v="16"/>
    <x v="11"/>
    <m/>
    <m/>
    <m/>
    <m/>
    <m/>
  </r>
  <r>
    <x v="267"/>
    <x v="5"/>
    <x v="0"/>
    <x v="0"/>
    <x v="3"/>
    <x v="4"/>
    <x v="4"/>
    <x v="2"/>
    <n v="3"/>
    <n v="9.2200000000000006"/>
    <n v="1"/>
    <n v="173.74"/>
    <n v="54"/>
    <x v="5"/>
    <n v="22"/>
    <n v="235"/>
    <s v=""/>
    <x v="0"/>
    <n v="9.36"/>
    <n v="78.28"/>
    <n v="156.37"/>
    <n v="27.660000000000004"/>
    <n v="330.11"/>
    <x v="0"/>
    <s v="10"/>
    <x v="11"/>
    <m/>
    <m/>
    <m/>
    <m/>
    <m/>
  </r>
  <r>
    <x v="222"/>
    <x v="1"/>
    <x v="2"/>
    <x v="8"/>
    <x v="2"/>
    <x v="14"/>
    <x v="3"/>
    <x v="0"/>
    <n v="4"/>
    <n v="10.199999999999999"/>
    <n v="9"/>
    <n v="85.84"/>
    <n v="9"/>
    <x v="5"/>
    <n v="15"/>
    <n v="563"/>
    <s v=""/>
    <x v="2"/>
    <n v="2.66"/>
    <n v="90.68"/>
    <n v="12.88"/>
    <n v="367.2"/>
    <n v="98.72"/>
    <x v="0"/>
    <s v="12"/>
    <x v="11"/>
    <m/>
    <m/>
    <m/>
    <m/>
    <m/>
  </r>
  <r>
    <x v="178"/>
    <x v="0"/>
    <x v="1"/>
    <x v="11"/>
    <x v="0"/>
    <x v="13"/>
    <x v="2"/>
    <x v="1"/>
    <n v="1"/>
    <n v="13.31"/>
    <n v="9"/>
    <n v="243.32"/>
    <n v="76"/>
    <x v="2"/>
    <n v="37"/>
    <n v="858"/>
    <s v=""/>
    <x v="4"/>
    <n v="4.3099999999999996"/>
    <n v="90.38"/>
    <n v="308.20999999999998"/>
    <n v="119.79"/>
    <n v="551.53"/>
    <x v="0"/>
    <s v="14"/>
    <x v="11"/>
    <m/>
    <m/>
    <m/>
    <m/>
    <m/>
  </r>
  <r>
    <x v="60"/>
    <x v="5"/>
    <x v="2"/>
    <x v="7"/>
    <x v="2"/>
    <x v="8"/>
    <x v="3"/>
    <x v="4"/>
    <n v="2"/>
    <n v="1.35"/>
    <n v="5"/>
    <n v="299.45"/>
    <n v="73"/>
    <x v="4"/>
    <n v="15"/>
    <n v="347"/>
    <s v=""/>
    <x v="4"/>
    <n v="4.32"/>
    <n v="89.36"/>
    <n v="364.33"/>
    <n v="13.5"/>
    <n v="663.78"/>
    <x v="2"/>
    <s v="2"/>
    <x v="11"/>
    <m/>
    <m/>
    <m/>
    <m/>
    <m/>
  </r>
  <r>
    <x v="99"/>
    <x v="0"/>
    <x v="1"/>
    <x v="10"/>
    <x v="1"/>
    <x v="12"/>
    <x v="4"/>
    <x v="3"/>
    <n v="1"/>
    <n v="13.43"/>
    <n v="9"/>
    <n v="197.94"/>
    <n v="61"/>
    <x v="5"/>
    <n v="25"/>
    <n v="942"/>
    <s v=""/>
    <x v="0"/>
    <n v="2.65"/>
    <n v="93.7"/>
    <n v="201.24"/>
    <n v="120.87"/>
    <n v="399.18"/>
    <x v="0"/>
    <s v="14"/>
    <x v="11"/>
    <m/>
    <m/>
    <m/>
    <m/>
    <m/>
  </r>
  <r>
    <x v="178"/>
    <x v="3"/>
    <x v="2"/>
    <x v="8"/>
    <x v="1"/>
    <x v="14"/>
    <x v="3"/>
    <x v="3"/>
    <n v="4"/>
    <n v="12.75"/>
    <n v="6"/>
    <n v="374.2"/>
    <n v="30"/>
    <x v="4"/>
    <n v="21"/>
    <n v="809"/>
    <s v=""/>
    <x v="4"/>
    <n v="2.6"/>
    <n v="90.8"/>
    <n v="187.1"/>
    <n v="306"/>
    <n v="561.29999999999995"/>
    <x v="0"/>
    <s v="14"/>
    <x v="11"/>
    <m/>
    <m/>
    <m/>
    <m/>
    <m/>
  </r>
  <r>
    <x v="22"/>
    <x v="2"/>
    <x v="2"/>
    <x v="11"/>
    <x v="2"/>
    <x v="12"/>
    <x v="0"/>
    <x v="3"/>
    <n v="5"/>
    <n v="6.89"/>
    <n v="5"/>
    <n v="339.7"/>
    <n v="10"/>
    <x v="3"/>
    <n v="38"/>
    <n v="100"/>
    <s v=""/>
    <x v="4"/>
    <n v="38"/>
    <n v="19"/>
    <n v="56.62"/>
    <n v="172.25"/>
    <n v="396.32"/>
    <x v="0"/>
    <s v="8"/>
    <x v="11"/>
    <m/>
    <m/>
    <m/>
    <m/>
    <m/>
  </r>
  <r>
    <x v="165"/>
    <x v="5"/>
    <x v="0"/>
    <x v="13"/>
    <x v="1"/>
    <x v="6"/>
    <x v="3"/>
    <x v="2"/>
    <n v="5"/>
    <n v="2.63"/>
    <n v="3"/>
    <n v="199.77"/>
    <n v="20"/>
    <x v="0"/>
    <n v="2"/>
    <n v="801"/>
    <s v=""/>
    <x v="4"/>
    <n v="0.25"/>
    <n v="94.5"/>
    <n v="66.59"/>
    <n v="39.449999999999996"/>
    <n v="266.36"/>
    <x v="2"/>
    <s v="4"/>
    <x v="11"/>
    <m/>
    <m/>
    <m/>
    <m/>
    <m/>
  </r>
  <r>
    <x v="122"/>
    <x v="1"/>
    <x v="1"/>
    <x v="13"/>
    <x v="0"/>
    <x v="12"/>
    <x v="2"/>
    <x v="3"/>
    <n v="3"/>
    <n v="2.73"/>
    <n v="8"/>
    <n v="389.69"/>
    <n v="64"/>
    <x v="5"/>
    <n v="27"/>
    <n v="480"/>
    <s v=""/>
    <x v="0"/>
    <n v="5.62"/>
    <n v="85.76"/>
    <n v="415.67"/>
    <n v="65.52"/>
    <n v="805.36"/>
    <x v="2"/>
    <s v="4"/>
    <x v="11"/>
    <m/>
    <m/>
    <m/>
    <m/>
    <m/>
  </r>
  <r>
    <x v="258"/>
    <x v="3"/>
    <x v="0"/>
    <x v="19"/>
    <x v="4"/>
    <x v="2"/>
    <x v="0"/>
    <x v="4"/>
    <n v="4"/>
    <n v="18.54"/>
    <n v="4"/>
    <n v="341.91"/>
    <n v="16"/>
    <x v="4"/>
    <n v="49"/>
    <n v="608"/>
    <s v=""/>
    <x v="4"/>
    <n v="8.06"/>
    <n v="79.88"/>
    <n v="91.18"/>
    <n v="296.64"/>
    <n v="433.09000000000003"/>
    <x v="1"/>
    <s v="20"/>
    <x v="11"/>
    <m/>
    <m/>
    <m/>
    <m/>
    <m/>
  </r>
  <r>
    <x v="70"/>
    <x v="0"/>
    <x v="1"/>
    <x v="1"/>
    <x v="1"/>
    <x v="14"/>
    <x v="1"/>
    <x v="4"/>
    <n v="1"/>
    <n v="14.1"/>
    <n v="3"/>
    <n v="336.85"/>
    <n v="79"/>
    <x v="2"/>
    <n v="32"/>
    <n v="559"/>
    <s v=""/>
    <x v="3"/>
    <n v="5.72"/>
    <n v="87.56"/>
    <n v="443.52"/>
    <n v="42.3"/>
    <n v="780.37"/>
    <x v="0"/>
    <s v="16"/>
    <x v="11"/>
    <m/>
    <m/>
    <m/>
    <m/>
    <m/>
  </r>
  <r>
    <x v="153"/>
    <x v="4"/>
    <x v="2"/>
    <x v="8"/>
    <x v="1"/>
    <x v="9"/>
    <x v="4"/>
    <x v="0"/>
    <n v="1"/>
    <n v="3.41"/>
    <n v="6"/>
    <n v="299.04000000000002"/>
    <n v="7"/>
    <x v="3"/>
    <n v="21"/>
    <n v="604"/>
    <s v=""/>
    <x v="0"/>
    <n v="3.48"/>
    <n v="92.04"/>
    <n v="34.89"/>
    <n v="20.46"/>
    <n v="333.93"/>
    <x v="2"/>
    <s v="4"/>
    <x v="11"/>
    <m/>
    <m/>
    <m/>
    <m/>
    <m/>
  </r>
  <r>
    <x v="241"/>
    <x v="3"/>
    <x v="2"/>
    <x v="3"/>
    <x v="2"/>
    <x v="5"/>
    <x v="4"/>
    <x v="2"/>
    <n v="5"/>
    <n v="7.78"/>
    <n v="8"/>
    <n v="55.13"/>
    <n v="67"/>
    <x v="1"/>
    <n v="4"/>
    <n v="905"/>
    <s v=""/>
    <x v="2"/>
    <n v="0.44"/>
    <n v="94.12"/>
    <n v="61.56"/>
    <n v="311.2"/>
    <n v="116.69"/>
    <x v="0"/>
    <s v="8"/>
    <x v="11"/>
    <m/>
    <m/>
    <m/>
    <m/>
    <m/>
  </r>
  <r>
    <x v="42"/>
    <x v="5"/>
    <x v="1"/>
    <x v="0"/>
    <x v="0"/>
    <x v="8"/>
    <x v="3"/>
    <x v="4"/>
    <n v="5"/>
    <n v="12.26"/>
    <n v="9"/>
    <n v="363.43"/>
    <n v="68"/>
    <x v="1"/>
    <n v="44"/>
    <n v="575"/>
    <s v=""/>
    <x v="4"/>
    <n v="7.65"/>
    <n v="79.7"/>
    <n v="411.89"/>
    <n v="551.70000000000005"/>
    <n v="775.31999999999994"/>
    <x v="0"/>
    <s v="14"/>
    <x v="11"/>
    <m/>
    <m/>
    <m/>
    <m/>
    <m/>
  </r>
  <r>
    <x v="179"/>
    <x v="0"/>
    <x v="0"/>
    <x v="17"/>
    <x v="4"/>
    <x v="19"/>
    <x v="0"/>
    <x v="1"/>
    <n v="2"/>
    <n v="16.88"/>
    <n v="6"/>
    <n v="219.22"/>
    <n v="66"/>
    <x v="2"/>
    <n v="19"/>
    <n v="656"/>
    <s v=""/>
    <x v="1"/>
    <n v="2.9"/>
    <n v="92.2"/>
    <n v="241.14"/>
    <n v="202.56"/>
    <n v="460.36"/>
    <x v="1"/>
    <s v="18"/>
    <x v="11"/>
    <m/>
    <m/>
    <m/>
    <m/>
    <m/>
  </r>
  <r>
    <x v="226"/>
    <x v="2"/>
    <x v="0"/>
    <x v="9"/>
    <x v="2"/>
    <x v="5"/>
    <x v="1"/>
    <x v="2"/>
    <n v="5"/>
    <n v="1.83"/>
    <n v="5"/>
    <n v="474.17"/>
    <n v="10"/>
    <x v="3"/>
    <n v="2"/>
    <n v="948"/>
    <s v=""/>
    <x v="0"/>
    <n v="0.21"/>
    <n v="94.58"/>
    <n v="79.03"/>
    <n v="45.75"/>
    <n v="553.20000000000005"/>
    <x v="2"/>
    <s v="2"/>
    <x v="11"/>
    <m/>
    <m/>
    <m/>
    <m/>
    <m/>
  </r>
  <r>
    <x v="229"/>
    <x v="3"/>
    <x v="0"/>
    <x v="4"/>
    <x v="2"/>
    <x v="10"/>
    <x v="0"/>
    <x v="2"/>
    <n v="2"/>
    <n v="5.5"/>
    <n v="2"/>
    <n v="418.09"/>
    <n v="23"/>
    <x v="3"/>
    <n v="26"/>
    <n v="996"/>
    <s v=""/>
    <x v="2"/>
    <n v="2.61"/>
    <n v="92.78"/>
    <n v="160.27000000000001"/>
    <n v="22"/>
    <n v="578.36"/>
    <x v="2"/>
    <s v="6"/>
    <x v="11"/>
    <m/>
    <m/>
    <m/>
    <m/>
    <m/>
  </r>
  <r>
    <x v="233"/>
    <x v="5"/>
    <x v="0"/>
    <x v="18"/>
    <x v="0"/>
    <x v="9"/>
    <x v="4"/>
    <x v="4"/>
    <n v="1"/>
    <n v="17.91"/>
    <n v="2"/>
    <n v="314.45999999999998"/>
    <n v="22"/>
    <x v="3"/>
    <n v="34"/>
    <n v="131"/>
    <s v=""/>
    <x v="3"/>
    <n v="25.95"/>
    <n v="47.1"/>
    <n v="115.3"/>
    <n v="35.82"/>
    <n v="429.76"/>
    <x v="1"/>
    <s v="18"/>
    <x v="11"/>
    <m/>
    <m/>
    <m/>
    <m/>
    <m/>
  </r>
  <r>
    <x v="252"/>
    <x v="1"/>
    <x v="2"/>
    <x v="15"/>
    <x v="4"/>
    <x v="8"/>
    <x v="0"/>
    <x v="1"/>
    <n v="2"/>
    <n v="1.17"/>
    <n v="9"/>
    <n v="163.47999999999999"/>
    <n v="84"/>
    <x v="3"/>
    <n v="14"/>
    <n v="217"/>
    <s v=""/>
    <x v="2"/>
    <n v="6.45"/>
    <n v="85.1"/>
    <n v="228.87"/>
    <n v="21.06"/>
    <n v="392.35"/>
    <x v="2"/>
    <s v="2"/>
    <x v="11"/>
    <m/>
    <m/>
    <m/>
    <m/>
    <m/>
  </r>
  <r>
    <x v="255"/>
    <x v="4"/>
    <x v="2"/>
    <x v="19"/>
    <x v="0"/>
    <x v="11"/>
    <x v="1"/>
    <x v="0"/>
    <n v="2"/>
    <n v="4.83"/>
    <n v="2"/>
    <n v="141.66999999999999"/>
    <n v="47"/>
    <x v="1"/>
    <n v="15"/>
    <n v="907"/>
    <s v=""/>
    <x v="4"/>
    <n v="1.65"/>
    <n v="94.7"/>
    <n v="110.97"/>
    <n v="19.32"/>
    <n v="252.64"/>
    <x v="2"/>
    <s v="6"/>
    <x v="11"/>
    <m/>
    <m/>
    <m/>
    <m/>
    <m/>
  </r>
  <r>
    <x v="87"/>
    <x v="0"/>
    <x v="2"/>
    <x v="12"/>
    <x v="4"/>
    <x v="5"/>
    <x v="3"/>
    <x v="4"/>
    <n v="3"/>
    <n v="19.22"/>
    <n v="2"/>
    <n v="203.17"/>
    <n v="77"/>
    <x v="4"/>
    <n v="20"/>
    <n v="283"/>
    <s v=""/>
    <x v="1"/>
    <n v="7.07"/>
    <n v="82.86"/>
    <n v="260.73"/>
    <n v="115.32"/>
    <n v="463.9"/>
    <x v="1"/>
    <s v="20"/>
    <x v="11"/>
    <m/>
    <m/>
    <m/>
    <m/>
    <m/>
  </r>
  <r>
    <x v="243"/>
    <x v="3"/>
    <x v="2"/>
    <x v="5"/>
    <x v="0"/>
    <x v="18"/>
    <x v="2"/>
    <x v="1"/>
    <n v="5"/>
    <n v="12.65"/>
    <n v="3"/>
    <n v="264.45999999999998"/>
    <n v="7"/>
    <x v="3"/>
    <n v="34"/>
    <n v="290"/>
    <s v=""/>
    <x v="4"/>
    <n v="11.72"/>
    <n v="71.56"/>
    <n v="30.85"/>
    <n v="189.75"/>
    <n v="295.31"/>
    <x v="0"/>
    <s v="14"/>
    <x v="11"/>
    <m/>
    <m/>
    <m/>
    <m/>
    <m/>
  </r>
  <r>
    <x v="247"/>
    <x v="3"/>
    <x v="2"/>
    <x v="12"/>
    <x v="2"/>
    <x v="14"/>
    <x v="0"/>
    <x v="2"/>
    <n v="2"/>
    <n v="5.97"/>
    <n v="3"/>
    <n v="183.23"/>
    <n v="76"/>
    <x v="4"/>
    <n v="36"/>
    <n v="846"/>
    <s v=""/>
    <x v="2"/>
    <n v="4.26"/>
    <n v="89.48"/>
    <n v="232.09"/>
    <n v="35.82"/>
    <n v="415.32"/>
    <x v="2"/>
    <s v="6"/>
    <x v="11"/>
    <m/>
    <m/>
    <m/>
    <m/>
    <m/>
  </r>
  <r>
    <x v="124"/>
    <x v="2"/>
    <x v="0"/>
    <x v="3"/>
    <x v="2"/>
    <x v="1"/>
    <x v="2"/>
    <x v="1"/>
    <n v="1"/>
    <n v="2.27"/>
    <n v="4"/>
    <n v="281.72000000000003"/>
    <n v="42"/>
    <x v="3"/>
    <n v="19"/>
    <n v="849"/>
    <s v=""/>
    <x v="0"/>
    <n v="2.2400000000000002"/>
    <n v="94.52"/>
    <n v="197.2"/>
    <n v="9.08"/>
    <n v="478.92"/>
    <x v="2"/>
    <s v="4"/>
    <x v="11"/>
    <m/>
    <m/>
    <m/>
    <m/>
    <m/>
  </r>
  <r>
    <x v="56"/>
    <x v="2"/>
    <x v="0"/>
    <x v="2"/>
    <x v="3"/>
    <x v="18"/>
    <x v="4"/>
    <x v="2"/>
    <n v="4"/>
    <n v="1.54"/>
    <n v="7"/>
    <n v="124.42"/>
    <n v="72"/>
    <x v="5"/>
    <n v="9"/>
    <n v="827"/>
    <s v=""/>
    <x v="1"/>
    <n v="1.0900000000000001"/>
    <n v="93.82"/>
    <n v="149.30000000000001"/>
    <n v="43.120000000000005"/>
    <n v="273.72000000000003"/>
    <x v="2"/>
    <s v="2"/>
    <x v="11"/>
    <m/>
    <m/>
    <m/>
    <m/>
    <m/>
  </r>
  <r>
    <x v="130"/>
    <x v="1"/>
    <x v="0"/>
    <x v="8"/>
    <x v="1"/>
    <x v="4"/>
    <x v="3"/>
    <x v="4"/>
    <n v="2"/>
    <n v="5.65"/>
    <n v="9"/>
    <n v="489.97"/>
    <n v="80"/>
    <x v="0"/>
    <n v="7"/>
    <n v="173"/>
    <s v=""/>
    <x v="1"/>
    <n v="4.05"/>
    <n v="89.9"/>
    <n v="653.29"/>
    <n v="101.7"/>
    <n v="1143.26"/>
    <x v="2"/>
    <s v="6"/>
    <x v="11"/>
    <m/>
    <m/>
    <m/>
    <m/>
    <m/>
  </r>
  <r>
    <x v="166"/>
    <x v="4"/>
    <x v="0"/>
    <x v="9"/>
    <x v="0"/>
    <x v="3"/>
    <x v="3"/>
    <x v="4"/>
    <n v="5"/>
    <n v="17.75"/>
    <n v="2"/>
    <n v="98.57"/>
    <n v="48"/>
    <x v="5"/>
    <n v="30"/>
    <n v="722"/>
    <s v=""/>
    <x v="2"/>
    <n v="4.16"/>
    <n v="86.68"/>
    <n v="78.86"/>
    <n v="177.5"/>
    <n v="177.43"/>
    <x v="1"/>
    <s v="18"/>
    <x v="11"/>
    <m/>
    <m/>
    <m/>
    <m/>
    <m/>
  </r>
  <r>
    <x v="274"/>
    <x v="1"/>
    <x v="2"/>
    <x v="14"/>
    <x v="3"/>
    <x v="7"/>
    <x v="0"/>
    <x v="3"/>
    <n v="3"/>
    <n v="8.9"/>
    <n v="4"/>
    <n v="469.37"/>
    <n v="84"/>
    <x v="0"/>
    <n v="13"/>
    <n v="202"/>
    <s v="Makine ayarı değiştirildi"/>
    <x v="4"/>
    <n v="6.44"/>
    <n v="84.12"/>
    <n v="657.12"/>
    <n v="106.80000000000001"/>
    <n v="1126.49"/>
    <x v="0"/>
    <s v="10"/>
    <x v="11"/>
    <m/>
    <m/>
    <m/>
    <m/>
    <m/>
  </r>
  <r>
    <x v="151"/>
    <x v="5"/>
    <x v="2"/>
    <x v="14"/>
    <x v="1"/>
    <x v="16"/>
    <x v="3"/>
    <x v="3"/>
    <n v="1"/>
    <n v="14.69"/>
    <n v="9"/>
    <n v="461.11"/>
    <n v="67"/>
    <x v="5"/>
    <n v="27"/>
    <n v="970"/>
    <s v="Rutin kontrol"/>
    <x v="2"/>
    <n v="2.78"/>
    <n v="93.44"/>
    <n v="514.91"/>
    <n v="132.21"/>
    <n v="976.02"/>
    <x v="0"/>
    <s v="16"/>
    <x v="11"/>
    <m/>
    <m/>
    <m/>
    <m/>
    <m/>
  </r>
  <r>
    <x v="148"/>
    <x v="5"/>
    <x v="2"/>
    <x v="8"/>
    <x v="0"/>
    <x v="17"/>
    <x v="0"/>
    <x v="3"/>
    <n v="3"/>
    <n v="18.45"/>
    <n v="2"/>
    <n v="286.41000000000003"/>
    <n v="46"/>
    <x v="3"/>
    <n v="44"/>
    <n v="685"/>
    <s v=""/>
    <x v="1"/>
    <n v="6.42"/>
    <n v="84.16"/>
    <n v="219.58"/>
    <n v="110.69999999999999"/>
    <n v="505.99"/>
    <x v="1"/>
    <s v="20"/>
    <x v="11"/>
    <m/>
    <m/>
    <m/>
    <m/>
    <m/>
  </r>
  <r>
    <x v="16"/>
    <x v="1"/>
    <x v="1"/>
    <x v="10"/>
    <x v="4"/>
    <x v="4"/>
    <x v="0"/>
    <x v="4"/>
    <n v="4"/>
    <n v="8.75"/>
    <n v="1"/>
    <n v="376.21"/>
    <n v="68"/>
    <x v="4"/>
    <n v="35"/>
    <n v="519"/>
    <s v=""/>
    <x v="2"/>
    <n v="6.74"/>
    <n v="82.52"/>
    <n v="426.37"/>
    <n v="35"/>
    <n v="802.57999999999993"/>
    <x v="0"/>
    <s v="10"/>
    <x v="1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922D8-A68B-46F5-A4EE-FF87C3D15EDE}" name="Date-ErrorRateAnalysi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3:L294"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1"/>
  </rowFields>
  <rowItems count="291">
    <i>
      <x v="1"/>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5"/>
    </i>
    <i>
      <x v="66"/>
    </i>
    <i>
      <x v="67"/>
    </i>
    <i>
      <x v="68"/>
    </i>
    <i>
      <x v="69"/>
    </i>
    <i>
      <x v="70"/>
    </i>
    <i>
      <x v="71"/>
    </i>
    <i>
      <x v="72"/>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7"/>
    </i>
    <i>
      <x v="128"/>
    </i>
    <i>
      <x v="129"/>
    </i>
    <i>
      <x v="130"/>
    </i>
    <i>
      <x v="131"/>
    </i>
    <i>
      <x v="132"/>
    </i>
    <i>
      <x v="133"/>
    </i>
    <i>
      <x v="134"/>
    </i>
    <i>
      <x v="135"/>
    </i>
    <i>
      <x v="136"/>
    </i>
    <i>
      <x v="137"/>
    </i>
    <i>
      <x v="138"/>
    </i>
    <i>
      <x v="139"/>
    </i>
    <i>
      <x v="140"/>
    </i>
    <i>
      <x v="141"/>
    </i>
    <i>
      <x v="142"/>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70"/>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8"/>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t="grand">
      <x/>
    </i>
  </rowItems>
  <colItems count="1">
    <i/>
  </colItems>
  <dataFields count="1">
    <dataField name="Average of ErrorRate (%)" fld="18" subtotal="average" baseField="21" baseItem="1" numFmtId="2"/>
  </dataFields>
  <chartFormats count="2">
    <chartFormat chart="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10F56-20CD-4C32-BB3B-BB1CC8113D89}" name="ErrorType-Description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Q3:CW10" firstHeaderRow="1" firstDataRow="2"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axis="axisCol" dataField="1"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Fields count="1">
    <field x="7"/>
  </colFields>
  <colItems count="6">
    <i>
      <x v="2"/>
    </i>
    <i>
      <x/>
    </i>
    <i>
      <x v="3"/>
    </i>
    <i>
      <x v="4"/>
    </i>
    <i>
      <x v="1"/>
    </i>
    <i t="grand">
      <x/>
    </i>
  </colItems>
  <dataFields count="1">
    <dataField name="Count of ErrorDescription" fld="7" subtotal="count" baseField="0" baseItem="0"/>
  </dataFields>
  <chartFormats count="10">
    <chartFormat chart="6" format="0" series="1">
      <pivotArea type="data" outline="0" fieldPosition="0">
        <references count="2">
          <reference field="4294967294" count="1" selected="0">
            <x v="0"/>
          </reference>
          <reference field="7" count="1" selected="0">
            <x v="2"/>
          </reference>
        </references>
      </pivotArea>
    </chartFormat>
    <chartFormat chart="6" format="1" series="1">
      <pivotArea type="data" outline="0" fieldPosition="0">
        <references count="2">
          <reference field="4294967294" count="1" selected="0">
            <x v="0"/>
          </reference>
          <reference field="7" count="1" selected="0">
            <x v="0"/>
          </reference>
        </references>
      </pivotArea>
    </chartFormat>
    <chartFormat chart="6" format="2" series="1">
      <pivotArea type="data" outline="0" fieldPosition="0">
        <references count="2">
          <reference field="4294967294" count="1" selected="0">
            <x v="0"/>
          </reference>
          <reference field="7" count="1" selected="0">
            <x v="3"/>
          </reference>
        </references>
      </pivotArea>
    </chartFormat>
    <chartFormat chart="6" format="3" series="1">
      <pivotArea type="data" outline="0" fieldPosition="0">
        <references count="2">
          <reference field="4294967294" count="1" selected="0">
            <x v="0"/>
          </reference>
          <reference field="7" count="1" selected="0">
            <x v="4"/>
          </reference>
        </references>
      </pivotArea>
    </chartFormat>
    <chartFormat chart="6" format="4" series="1">
      <pivotArea type="data" outline="0" fieldPosition="0">
        <references count="2">
          <reference field="4294967294" count="1" selected="0">
            <x v="0"/>
          </reference>
          <reference field="7" count="1" selected="0">
            <x v="1"/>
          </reference>
        </references>
      </pivotArea>
    </chartFormat>
    <chartFormat chart="15" format="20" series="1">
      <pivotArea type="data" outline="0" fieldPosition="0">
        <references count="2">
          <reference field="4294967294" count="1" selected="0">
            <x v="0"/>
          </reference>
          <reference field="7" count="1" selected="0">
            <x v="2"/>
          </reference>
        </references>
      </pivotArea>
    </chartFormat>
    <chartFormat chart="15" format="21" series="1">
      <pivotArea type="data" outline="0" fieldPosition="0">
        <references count="2">
          <reference field="4294967294" count="1" selected="0">
            <x v="0"/>
          </reference>
          <reference field="7" count="1" selected="0">
            <x v="0"/>
          </reference>
        </references>
      </pivotArea>
    </chartFormat>
    <chartFormat chart="15" format="22" series="1">
      <pivotArea type="data" outline="0" fieldPosition="0">
        <references count="2">
          <reference field="4294967294" count="1" selected="0">
            <x v="0"/>
          </reference>
          <reference field="7" count="1" selected="0">
            <x v="3"/>
          </reference>
        </references>
      </pivotArea>
    </chartFormat>
    <chartFormat chart="15" format="23" series="1">
      <pivotArea type="data" outline="0" fieldPosition="0">
        <references count="2">
          <reference field="4294967294" count="1" selected="0">
            <x v="0"/>
          </reference>
          <reference field="7" count="1" selected="0">
            <x v="4"/>
          </reference>
        </references>
      </pivotArea>
    </chartFormat>
    <chartFormat chart="15" format="24"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27CF5-AEF4-43EC-8E84-259F2C1FD5BB}"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Z3:AA9"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dataField="1"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frequency" fld="6"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BF115-CF3D-4ADB-BD51-C176D722AED0}" name="AverageCorrection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KPI – AverageCorrectionCost (TL)" fld="2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403A44-0734-4745-AD5C-2410F07CDB87}"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3:X34" firstHeaderRow="0"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axis="axisRow" showAll="0" sortType="descending">
      <items count="6">
        <item x="4"/>
        <item x="1"/>
        <item x="0"/>
        <item x="2"/>
        <item x="3"/>
        <item t="default"/>
      </items>
      <autoSortScope>
        <pivotArea dataOnly="0" outline="0" fieldPosition="0">
          <references count="1">
            <reference field="4294967294" count="1" selected="0">
              <x v="5"/>
            </reference>
          </references>
        </pivotArea>
      </autoSortScope>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7"/>
  </rowFields>
  <rowItems count="31">
    <i>
      <x/>
    </i>
    <i r="1">
      <x v="2"/>
    </i>
    <i r="1">
      <x v="4"/>
    </i>
    <i r="1">
      <x/>
    </i>
    <i r="1">
      <x v="1"/>
    </i>
    <i r="1">
      <x v="3"/>
    </i>
    <i>
      <x v="1"/>
    </i>
    <i r="1">
      <x v="2"/>
    </i>
    <i r="1">
      <x/>
    </i>
    <i r="1">
      <x v="4"/>
    </i>
    <i r="1">
      <x v="1"/>
    </i>
    <i r="1">
      <x v="3"/>
    </i>
    <i>
      <x v="2"/>
    </i>
    <i r="1">
      <x v="3"/>
    </i>
    <i r="1">
      <x/>
    </i>
    <i r="1">
      <x v="2"/>
    </i>
    <i r="1">
      <x v="4"/>
    </i>
    <i r="1">
      <x v="1"/>
    </i>
    <i>
      <x v="3"/>
    </i>
    <i r="1">
      <x v="3"/>
    </i>
    <i r="1">
      <x v="2"/>
    </i>
    <i r="1">
      <x/>
    </i>
    <i r="1">
      <x v="1"/>
    </i>
    <i r="1">
      <x v="4"/>
    </i>
    <i>
      <x v="4"/>
    </i>
    <i r="1">
      <x v="3"/>
    </i>
    <i r="1">
      <x v="4"/>
    </i>
    <i r="1">
      <x v="2"/>
    </i>
    <i r="1">
      <x/>
    </i>
    <i r="1">
      <x v="1"/>
    </i>
    <i t="grand">
      <x/>
    </i>
  </rowItems>
  <colFields count="1">
    <field x="-2"/>
  </colFields>
  <colItems count="6">
    <i>
      <x/>
    </i>
    <i i="1">
      <x v="1"/>
    </i>
    <i i="2">
      <x v="2"/>
    </i>
    <i i="3">
      <x v="3"/>
    </i>
    <i i="4">
      <x v="4"/>
    </i>
    <i i="5">
      <x v="5"/>
    </i>
  </colItems>
  <dataFields count="6">
    <dataField name="Sum of ErrorFrequency (units/day)" fld="10" baseField="0" baseItem="0"/>
    <dataField name="Average of ErrorSeverity (1–5)" fld="8" subtotal="average" baseField="0" baseItem="1"/>
    <dataField name="Sum of ErrorCost (TL/unit)" fld="11" baseField="0" baseItem="0"/>
    <dataField name="Average of ErrorProbability (%)" fld="9" subtotal="average" baseField="0" baseItem="1"/>
    <dataField name="Average of CorrectionTime (minutes)" fld="12" subtotal="average" baseField="0" baseItem="1"/>
    <dataField name="Sum of risk scor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13F767-C639-48E3-9BAF-05658A29C30F}"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efectiveUnits" fld="1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23CE8-E05B-4B5E-9B22-652C9776452A}" name="PivotTable6"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BL3:BO158" firstHeaderRow="1" firstDataRow="1" firstDataCol="3"/>
  <pivotFields count="33">
    <pivotField compact="0" numFmtId="164" outline="0"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extLst>
        <ext xmlns:x14="http://schemas.microsoft.com/office/spreadsheetml/2009/9/main" uri="{2946ED86-A175-432a-8AC1-64E0C546D7DE}">
          <x14:pivotField fillDownLabels="1"/>
        </ext>
      </extLst>
    </pivotField>
    <pivotField compact="0" outline="0" showAll="0">
      <items count="7">
        <item x="3"/>
        <item x="1"/>
        <item x="2"/>
        <item x="5"/>
        <item x="0"/>
        <item x="4"/>
        <item t="default"/>
      </items>
      <extLst>
        <ext xmlns:x14="http://schemas.microsoft.com/office/spreadsheetml/2009/9/main" uri="{2946ED86-A175-432a-8AC1-64E0C546D7DE}">
          <x14:pivotField fillDownLabels="1"/>
        </ext>
      </extLst>
    </pivotField>
    <pivotField compact="0" outline="0" showAll="0">
      <items count="4">
        <item x="1"/>
        <item x="0"/>
        <item x="2"/>
        <item t="default"/>
      </items>
      <extLst>
        <ext xmlns:x14="http://schemas.microsoft.com/office/spreadsheetml/2009/9/main" uri="{2946ED86-A175-432a-8AC1-64E0C546D7DE}">
          <x14:pivotField fillDownLabels="1"/>
        </ext>
      </extLst>
    </pivotField>
    <pivotField compact="0" outline="0" showAll="0">
      <items count="21">
        <item x="14"/>
        <item x="18"/>
        <item x="12"/>
        <item x="7"/>
        <item x="10"/>
        <item x="9"/>
        <item x="15"/>
        <item x="8"/>
        <item x="11"/>
        <item x="0"/>
        <item x="2"/>
        <item x="4"/>
        <item x="5"/>
        <item x="1"/>
        <item x="13"/>
        <item x="19"/>
        <item x="16"/>
        <item x="3"/>
        <item x="6"/>
        <item x="17"/>
        <item t="default"/>
      </items>
      <extLst>
        <ext xmlns:x14="http://schemas.microsoft.com/office/spreadsheetml/2009/9/main" uri="{2946ED86-A175-432a-8AC1-64E0C546D7DE}">
          <x14:pivotField fillDownLabels="1"/>
        </ext>
      </extLst>
    </pivotField>
    <pivotField compact="0" outline="0" showAll="0">
      <items count="6">
        <item x="3"/>
        <item x="4"/>
        <item x="1"/>
        <item x="0"/>
        <item x="2"/>
        <item t="default"/>
      </items>
      <extLst>
        <ext xmlns:x14="http://schemas.microsoft.com/office/spreadsheetml/2009/9/main" uri="{2946ED86-A175-432a-8AC1-64E0C546D7DE}">
          <x14:pivotField fillDownLabels="1"/>
        </ext>
      </extLst>
    </pivotField>
    <pivotField compact="0" outline="0" showAll="0">
      <items count="21">
        <item x="3"/>
        <item x="6"/>
        <item x="1"/>
        <item x="5"/>
        <item x="2"/>
        <item x="12"/>
        <item x="13"/>
        <item x="4"/>
        <item x="11"/>
        <item x="7"/>
        <item x="19"/>
        <item x="15"/>
        <item x="10"/>
        <item x="18"/>
        <item x="0"/>
        <item x="17"/>
        <item x="8"/>
        <item x="16"/>
        <item x="14"/>
        <item x="9"/>
        <item t="default"/>
      </items>
      <extLst>
        <ext xmlns:x14="http://schemas.microsoft.com/office/spreadsheetml/2009/9/main" uri="{2946ED86-A175-432a-8AC1-64E0C546D7DE}">
          <x14:pivotField fillDownLabels="1"/>
        </ext>
      </extLst>
    </pivotField>
    <pivotField axis="axisRow" compact="0" outline="0" showAll="0">
      <items count="6">
        <item x="4"/>
        <item x="3"/>
        <item x="0"/>
        <item x="2"/>
        <item x="1"/>
        <item t="default"/>
      </items>
      <extLst>
        <ext xmlns:x14="http://schemas.microsoft.com/office/spreadsheetml/2009/9/main" uri="{2946ED86-A175-432a-8AC1-64E0C546D7DE}">
          <x14:pivotField fillDownLabels="1"/>
        </ext>
      </extLst>
    </pivotField>
    <pivotField axis="axisRow" compact="0" outline="0" showAll="0">
      <items count="6">
        <item x="4"/>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
        <item x="3"/>
        <item x="0"/>
        <item x="1"/>
        <item x="2"/>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3">
    <field x="6"/>
    <field x="7"/>
    <field x="17"/>
  </rowFields>
  <rowItems count="155">
    <i>
      <x/>
      <x/>
      <x/>
    </i>
    <i r="2">
      <x v="1"/>
    </i>
    <i r="2">
      <x v="2"/>
    </i>
    <i r="2">
      <x v="3"/>
    </i>
    <i r="2">
      <x v="4"/>
    </i>
    <i t="default" r="1">
      <x/>
    </i>
    <i r="1">
      <x v="1"/>
      <x/>
    </i>
    <i r="2">
      <x v="1"/>
    </i>
    <i r="2">
      <x v="2"/>
    </i>
    <i r="2">
      <x v="3"/>
    </i>
    <i r="2">
      <x v="4"/>
    </i>
    <i t="default" r="1">
      <x v="1"/>
    </i>
    <i r="1">
      <x v="2"/>
      <x/>
    </i>
    <i r="2">
      <x v="1"/>
    </i>
    <i r="2">
      <x v="2"/>
    </i>
    <i r="2">
      <x v="3"/>
    </i>
    <i r="2">
      <x v="4"/>
    </i>
    <i t="default" r="1">
      <x v="2"/>
    </i>
    <i r="1">
      <x v="3"/>
      <x/>
    </i>
    <i r="2">
      <x v="1"/>
    </i>
    <i r="2">
      <x v="2"/>
    </i>
    <i r="2">
      <x v="3"/>
    </i>
    <i r="2">
      <x v="4"/>
    </i>
    <i t="default" r="1">
      <x v="3"/>
    </i>
    <i r="1">
      <x v="4"/>
      <x/>
    </i>
    <i r="2">
      <x v="1"/>
    </i>
    <i r="2">
      <x v="2"/>
    </i>
    <i r="2">
      <x v="3"/>
    </i>
    <i r="2">
      <x v="4"/>
    </i>
    <i t="default" r="1">
      <x v="4"/>
    </i>
    <i t="default">
      <x/>
    </i>
    <i>
      <x v="1"/>
      <x/>
      <x/>
    </i>
    <i r="2">
      <x v="1"/>
    </i>
    <i r="2">
      <x v="2"/>
    </i>
    <i r="2">
      <x v="3"/>
    </i>
    <i r="2">
      <x v="4"/>
    </i>
    <i t="default" r="1">
      <x/>
    </i>
    <i r="1">
      <x v="1"/>
      <x/>
    </i>
    <i r="2">
      <x v="1"/>
    </i>
    <i r="2">
      <x v="2"/>
    </i>
    <i r="2">
      <x v="3"/>
    </i>
    <i r="2">
      <x v="4"/>
    </i>
    <i t="default" r="1">
      <x v="1"/>
    </i>
    <i r="1">
      <x v="2"/>
      <x/>
    </i>
    <i r="2">
      <x v="1"/>
    </i>
    <i r="2">
      <x v="2"/>
    </i>
    <i r="2">
      <x v="3"/>
    </i>
    <i r="2">
      <x v="4"/>
    </i>
    <i t="default" r="1">
      <x v="2"/>
    </i>
    <i r="1">
      <x v="3"/>
      <x/>
    </i>
    <i r="2">
      <x v="1"/>
    </i>
    <i r="2">
      <x v="2"/>
    </i>
    <i r="2">
      <x v="3"/>
    </i>
    <i r="2">
      <x v="4"/>
    </i>
    <i t="default" r="1">
      <x v="3"/>
    </i>
    <i r="1">
      <x v="4"/>
      <x/>
    </i>
    <i r="2">
      <x v="1"/>
    </i>
    <i r="2">
      <x v="2"/>
    </i>
    <i r="2">
      <x v="3"/>
    </i>
    <i r="2">
      <x v="4"/>
    </i>
    <i t="default" r="1">
      <x v="4"/>
    </i>
    <i t="default">
      <x v="1"/>
    </i>
    <i>
      <x v="2"/>
      <x/>
      <x/>
    </i>
    <i r="2">
      <x v="1"/>
    </i>
    <i r="2">
      <x v="2"/>
    </i>
    <i r="2">
      <x v="3"/>
    </i>
    <i r="2">
      <x v="4"/>
    </i>
    <i t="default" r="1">
      <x/>
    </i>
    <i r="1">
      <x v="1"/>
      <x/>
    </i>
    <i r="2">
      <x v="1"/>
    </i>
    <i r="2">
      <x v="2"/>
    </i>
    <i r="2">
      <x v="3"/>
    </i>
    <i t="default" r="1">
      <x v="1"/>
    </i>
    <i r="1">
      <x v="2"/>
      <x/>
    </i>
    <i r="2">
      <x v="1"/>
    </i>
    <i r="2">
      <x v="2"/>
    </i>
    <i r="2">
      <x v="3"/>
    </i>
    <i r="2">
      <x v="4"/>
    </i>
    <i t="default" r="1">
      <x v="2"/>
    </i>
    <i r="1">
      <x v="3"/>
      <x/>
    </i>
    <i r="2">
      <x v="1"/>
    </i>
    <i r="2">
      <x v="2"/>
    </i>
    <i r="2">
      <x v="3"/>
    </i>
    <i r="2">
      <x v="4"/>
    </i>
    <i t="default" r="1">
      <x v="3"/>
    </i>
    <i r="1">
      <x v="4"/>
      <x/>
    </i>
    <i r="2">
      <x v="1"/>
    </i>
    <i r="2">
      <x v="2"/>
    </i>
    <i r="2">
      <x v="3"/>
    </i>
    <i r="2">
      <x v="4"/>
    </i>
    <i t="default" r="1">
      <x v="4"/>
    </i>
    <i t="default">
      <x v="2"/>
    </i>
    <i>
      <x v="3"/>
      <x/>
      <x/>
    </i>
    <i r="2">
      <x v="1"/>
    </i>
    <i r="2">
      <x v="2"/>
    </i>
    <i r="2">
      <x v="3"/>
    </i>
    <i r="2">
      <x v="4"/>
    </i>
    <i t="default" r="1">
      <x/>
    </i>
    <i r="1">
      <x v="1"/>
      <x/>
    </i>
    <i r="2">
      <x v="1"/>
    </i>
    <i r="2">
      <x v="2"/>
    </i>
    <i r="2">
      <x v="3"/>
    </i>
    <i r="2">
      <x v="4"/>
    </i>
    <i t="default" r="1">
      <x v="1"/>
    </i>
    <i r="1">
      <x v="2"/>
      <x/>
    </i>
    <i r="2">
      <x v="1"/>
    </i>
    <i r="2">
      <x v="2"/>
    </i>
    <i r="2">
      <x v="3"/>
    </i>
    <i r="2">
      <x v="4"/>
    </i>
    <i t="default" r="1">
      <x v="2"/>
    </i>
    <i r="1">
      <x v="3"/>
      <x/>
    </i>
    <i r="2">
      <x v="1"/>
    </i>
    <i r="2">
      <x v="2"/>
    </i>
    <i r="2">
      <x v="3"/>
    </i>
    <i r="2">
      <x v="4"/>
    </i>
    <i t="default" r="1">
      <x v="3"/>
    </i>
    <i r="1">
      <x v="4"/>
      <x/>
    </i>
    <i r="2">
      <x v="1"/>
    </i>
    <i r="2">
      <x v="2"/>
    </i>
    <i r="2">
      <x v="3"/>
    </i>
    <i r="2">
      <x v="4"/>
    </i>
    <i t="default" r="1">
      <x v="4"/>
    </i>
    <i t="default">
      <x v="3"/>
    </i>
    <i>
      <x v="4"/>
      <x/>
      <x/>
    </i>
    <i r="2">
      <x v="1"/>
    </i>
    <i r="2">
      <x v="2"/>
    </i>
    <i r="2">
      <x v="3"/>
    </i>
    <i r="2">
      <x v="4"/>
    </i>
    <i t="default" r="1">
      <x/>
    </i>
    <i r="1">
      <x v="1"/>
      <x/>
    </i>
    <i r="2">
      <x v="1"/>
    </i>
    <i r="2">
      <x v="2"/>
    </i>
    <i r="2">
      <x v="3"/>
    </i>
    <i r="2">
      <x v="4"/>
    </i>
    <i t="default" r="1">
      <x v="1"/>
    </i>
    <i r="1">
      <x v="2"/>
      <x/>
    </i>
    <i r="2">
      <x v="1"/>
    </i>
    <i r="2">
      <x v="2"/>
    </i>
    <i r="2">
      <x v="3"/>
    </i>
    <i r="2">
      <x v="4"/>
    </i>
    <i t="default" r="1">
      <x v="2"/>
    </i>
    <i r="1">
      <x v="3"/>
      <x/>
    </i>
    <i r="2">
      <x v="1"/>
    </i>
    <i r="2">
      <x v="2"/>
    </i>
    <i r="2">
      <x v="3"/>
    </i>
    <i r="2">
      <x v="4"/>
    </i>
    <i t="default" r="1">
      <x v="3"/>
    </i>
    <i r="1">
      <x v="4"/>
      <x/>
    </i>
    <i r="2">
      <x v="1"/>
    </i>
    <i r="2">
      <x v="2"/>
    </i>
    <i r="2">
      <x v="3"/>
    </i>
    <i r="2">
      <x v="4"/>
    </i>
    <i t="default" r="1">
      <x v="4"/>
    </i>
    <i t="default">
      <x v="4"/>
    </i>
    <i t="grand">
      <x/>
    </i>
  </rowItems>
  <colItems count="1">
    <i/>
  </colItems>
  <dataFields count="1">
    <dataField name="Sum of DefectiveUnit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E8B3FD-680F-4484-8999-0E4BE273796D}" name="Total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W3:BW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Cost" fld="2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2CA28-5507-4B8C-8F82-515B382A622C}" name="InspectorAnalysi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spector Name">
  <location ref="AV3:AX10" firstHeaderRow="0"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dataField="1" showAll="0"/>
    <pivotField showAll="0"/>
    <pivotField showAll="0"/>
    <pivotField axis="axisRow" showAll="0" measureFilter="1">
      <items count="7">
        <item x="2"/>
        <item x="4"/>
        <item x="5"/>
        <item x="0"/>
        <item x="1"/>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7">
    <i>
      <x/>
    </i>
    <i>
      <x v="1"/>
    </i>
    <i>
      <x v="2"/>
    </i>
    <i>
      <x v="3"/>
    </i>
    <i>
      <x v="4"/>
    </i>
    <i>
      <x v="5"/>
    </i>
    <i t="grand">
      <x/>
    </i>
  </rowItems>
  <colFields count="1">
    <field x="-2"/>
  </colFields>
  <colItems count="2">
    <i>
      <x/>
    </i>
    <i i="1">
      <x v="1"/>
    </i>
  </colItems>
  <dataFields count="2">
    <dataField name="Average of QualityScore (0–100)" fld="19" subtotal="average" baseField="13" baseItem="0" numFmtId="2"/>
    <dataField name="Sum of ErrorFrequency (units/day)" fld="10" baseField="0" baseItem="0"/>
  </dataFields>
  <formats count="5">
    <format dxfId="5">
      <pivotArea collapsedLevelsAreSubtotals="1" fieldPosition="0">
        <references count="2">
          <reference field="4294967294" count="1" selected="0">
            <x v="0"/>
          </reference>
          <reference field="13" count="5">
            <x v="1"/>
            <x v="2"/>
            <x v="3"/>
            <x v="4"/>
            <x v="5"/>
          </reference>
        </references>
      </pivotArea>
    </format>
    <format dxfId="4">
      <pivotArea collapsedLevelsAreSubtotals="1" fieldPosition="0">
        <references count="2">
          <reference field="4294967294" count="1" selected="0">
            <x v="0"/>
          </reference>
          <reference field="13" count="5">
            <x v="1"/>
            <x v="2"/>
            <x v="3"/>
            <x v="4"/>
            <x v="5"/>
          </reference>
        </references>
      </pivotArea>
    </format>
    <format dxfId="3">
      <pivotArea collapsedLevelsAreSubtotals="1" fieldPosition="0">
        <references count="2">
          <reference field="4294967294" count="1" selected="0">
            <x v="0"/>
          </reference>
          <reference field="13" count="0"/>
        </references>
      </pivotArea>
    </format>
    <format dxfId="2">
      <pivotArea collapsedLevelsAreSubtotals="1" fieldPosition="0">
        <references count="2">
          <reference field="4294967294" count="1" selected="0">
            <x v="0"/>
          </reference>
          <reference field="13" count="0"/>
        </references>
      </pivotArea>
    </format>
    <format dxfId="1">
      <pivotArea collapsedLevelsAreSubtotals="1" fieldPosition="0">
        <references count="2">
          <reference field="4294967294" count="1" selected="0">
            <x v="0"/>
          </reference>
          <reference field="13" count="0"/>
        </references>
      </pivotArea>
    </format>
  </formats>
  <conditionalFormats count="2">
    <conditionalFormat priority="5">
      <pivotAreas count="1">
        <pivotArea type="data" collapsedLevelsAreSubtotals="1" fieldPosition="0">
          <references count="2">
            <reference field="4294967294" count="1" selected="0">
              <x v="0"/>
            </reference>
            <reference field="13" count="5">
              <x v="1"/>
              <x v="2"/>
              <x v="3"/>
              <x v="4"/>
              <x v="5"/>
            </reference>
          </references>
        </pivotArea>
      </pivotAreas>
    </conditionalFormat>
    <conditionalFormat priority="4">
      <pivotAreas count="1">
        <pivotArea type="data" collapsedLevelsAreSubtotals="1" fieldPosition="0">
          <references count="2">
            <reference field="4294967294" count="1" selected="0">
              <x v="0"/>
            </reference>
            <reference field="13" count="6">
              <x v="0"/>
              <x v="1"/>
              <x v="2"/>
              <x v="3"/>
              <x v="4"/>
              <x v="5"/>
            </reference>
          </references>
        </pivotArea>
      </pivotAreas>
    </conditionalFormat>
  </conditionalFormats>
  <pivotTableStyleInfo showRowHeaders="0" showColHeaders="0" showRowStripes="0" showColStripes="0" showLastColumn="1"/>
  <filters count="1">
    <filter fld="13"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456733-E9E2-4311-ACE2-C9E0A6639786}" name="Correction 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KPI – AverageCorrectionCost (TL)" fld="2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33227F-CAC2-404E-AD8D-C82DC23575A5}" name="FixedSumOfCorrectionTim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rrectionTime (minutes)"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503EB5-D554-4AC9-B1A2-125E46CCE0A9}" name="SumOfError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ErrorCost (TL/unit)"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E1AFE7-146C-4DFC-A0F1-F338AB95AD29}" name="SumOfRiskScor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L3:AM9"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risk score" fld="21" showDataAs="percentOfTotal" baseField="0" baseItem="0" numFmtId="9"/>
  </dataFields>
  <chartFormats count="8">
    <chartFormat chart="34" format="0" series="1">
      <pivotArea type="data" outline="0" fieldPosition="0">
        <references count="1">
          <reference field="4294967294" count="1" selected="0">
            <x v="0"/>
          </reference>
        </references>
      </pivotArea>
    </chartFormat>
    <chartFormat chart="44" format="37" series="1">
      <pivotArea type="data" outline="0" fieldPosition="0">
        <references count="1">
          <reference field="4294967294" count="1" selected="0">
            <x v="0"/>
          </reference>
        </references>
      </pivotArea>
    </chartFormat>
    <chartFormat chart="44" format="38">
      <pivotArea type="data" outline="0" fieldPosition="0">
        <references count="2">
          <reference field="4294967294" count="1" selected="0">
            <x v="0"/>
          </reference>
          <reference field="6" count="1" selected="0">
            <x v="0"/>
          </reference>
        </references>
      </pivotArea>
    </chartFormat>
    <chartFormat chart="44" format="39">
      <pivotArea type="data" outline="0" fieldPosition="0">
        <references count="2">
          <reference field="4294967294" count="1" selected="0">
            <x v="0"/>
          </reference>
          <reference field="6" count="1" selected="0">
            <x v="1"/>
          </reference>
        </references>
      </pivotArea>
    </chartFormat>
    <chartFormat chart="44" format="40">
      <pivotArea type="data" outline="0" fieldPosition="0">
        <references count="2">
          <reference field="4294967294" count="1" selected="0">
            <x v="0"/>
          </reference>
          <reference field="6" count="1" selected="0">
            <x v="2"/>
          </reference>
        </references>
      </pivotArea>
    </chartFormat>
    <chartFormat chart="44" format="41">
      <pivotArea type="data" outline="0" fieldPosition="0">
        <references count="2">
          <reference field="4294967294" count="1" selected="0">
            <x v="0"/>
          </reference>
          <reference field="6" count="1" selected="0">
            <x v="3"/>
          </reference>
        </references>
      </pivotArea>
    </chartFormat>
    <chartFormat chart="44" format="42">
      <pivotArea type="data" outline="0" fieldPosition="0">
        <references count="2">
          <reference field="4294967294" count="1" selected="0">
            <x v="0"/>
          </reference>
          <reference field="6" count="1" selected="0">
            <x v="4"/>
          </reference>
        </references>
      </pivotArea>
    </chartFormat>
    <chartFormat chart="45"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60DB70-CD24-4622-9856-306166F2B8F2}" name="ErrorSeverity-ErrorTyp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Z3:BA9"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Average of ErrorSeverity (1–5)" fld="8" subtotal="average" baseField="6" baseItem="0" numFmtId="2"/>
  </dataFields>
  <conditionalFormats count="1">
    <conditionalFormat priority="1">
      <pivotAreas count="1">
        <pivotArea type="data" collapsedLevelsAreSubtotals="1" fieldPosition="0">
          <references count="2">
            <reference field="4294967294" count="1" selected="0">
              <x v="0"/>
            </reference>
            <reference field="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D70B55-2F11-4F33-BC1E-889904860899}" name="AverageQualityScor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QualityScore (0–100)" fld="1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99524BF-5D57-4EBD-80E8-3617BA3545C9}" name="PivotTable10"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machine code">
  <location ref="AS3:AS23"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axis="axisRow" showAll="0">
      <items count="21">
        <item x="14"/>
        <item x="18"/>
        <item x="12"/>
        <item x="7"/>
        <item x="10"/>
        <item x="15"/>
        <item x="8"/>
        <item x="11"/>
        <item x="0"/>
        <item x="2"/>
        <item x="4"/>
        <item x="5"/>
        <item x="1"/>
        <item x="13"/>
        <item x="19"/>
        <item x="16"/>
        <item x="3"/>
        <item x="6"/>
        <item x="17"/>
        <item x="9"/>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0">
    <i>
      <x/>
    </i>
    <i>
      <x v="1"/>
    </i>
    <i>
      <x v="2"/>
    </i>
    <i>
      <x v="3"/>
    </i>
    <i>
      <x v="4"/>
    </i>
    <i>
      <x v="5"/>
    </i>
    <i>
      <x v="6"/>
    </i>
    <i>
      <x v="7"/>
    </i>
    <i>
      <x v="8"/>
    </i>
    <i>
      <x v="9"/>
    </i>
    <i>
      <x v="10"/>
    </i>
    <i>
      <x v="11"/>
    </i>
    <i>
      <x v="12"/>
    </i>
    <i>
      <x v="13"/>
    </i>
    <i>
      <x v="14"/>
    </i>
    <i>
      <x v="15"/>
    </i>
    <i>
      <x v="16"/>
    </i>
    <i>
      <x v="17"/>
    </i>
    <i>
      <x v="18"/>
    </i>
    <i>
      <x v="1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061FAD-E40C-4A8D-AADF-F0E37D2079AB}" name="ErrorDistribu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Y3:DB16" firstHeaderRow="0"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normdist" fld="27" baseField="25" baseItem="0" numFmtId="166"/>
    <dataField name="Sum of uniform" fld="28" baseField="0" baseItem="0"/>
    <dataField name="Sum of countif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C6EC50-B567-4BBC-88B7-A4A93DB09D12}" name="QualityClassifica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F3:CJ11" firstHeaderRow="1" firstDataRow="2"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axis="axisRow"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axis="axisCol" dataField="1" showAll="0">
      <items count="4">
        <item x="2"/>
        <item x="1"/>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3"/>
  </colFields>
  <colItems count="4">
    <i>
      <x/>
    </i>
    <i>
      <x v="1"/>
    </i>
    <i>
      <x v="2"/>
    </i>
    <i t="grand">
      <x/>
    </i>
  </colItems>
  <dataFields count="1">
    <dataField name="Count of quality classes"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D1E8950-CF1B-42A5-80F3-72B13DCFB9A6}" name="ErrorType-Correction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H3:AI9"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Average of CorrectionTime (minutes)" fld="12" subtotal="average" baseField="0" baseItem="0" numFmtId="2"/>
  </dataFields>
  <chartFormats count="3">
    <chartFormat chart="31" format="0"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4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5EB9593-650F-43EA-9ACA-5BF30AB2F92F}" name="SumOfCorrectionTim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rrectionTime (minutes)"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2BD7DD0-BFCF-4B9B-950B-D432ED99EB5A}"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P7"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axis="axisRow"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DefectiveUnits" fld="14" baseField="0" baseItem="0"/>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9A01500-CC75-4F38-A9B1-C167CAB87174}" name="TotalCostDistribu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P3:DQ14"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32"/>
  </rowFields>
  <rowItems count="11">
    <i>
      <x v="1"/>
    </i>
    <i>
      <x v="2"/>
    </i>
    <i>
      <x v="3"/>
    </i>
    <i>
      <x v="4"/>
    </i>
    <i>
      <x v="5"/>
    </i>
    <i>
      <x v="6"/>
    </i>
    <i>
      <x v="7"/>
    </i>
    <i>
      <x v="8"/>
    </i>
    <i>
      <x v="9"/>
    </i>
    <i>
      <x v="10"/>
    </i>
    <i t="grand">
      <x/>
    </i>
  </rowItems>
  <colItems count="1">
    <i/>
  </colItems>
  <dataFields count="1">
    <dataField name="Toplam Total Cost" fld="22" baseField="32"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4526276-518A-4892-ADAE-8C77A7034E91}" name="FixedSumOfTotalDefectiv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efectiveUnits" fld="1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959DD37-1B30-48F1-8A92-330E6C214275}" name="SumOfTotalProduc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Production"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0ECF4C6-FE4F-4878-9E19-E63981F1AFC4}" name="FixedTotal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X3:BX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Cost" fld="2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C5C721-1246-43EA-BEB4-84019F6715FC}" name="FixedSumOfError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ErrorCost (TL/unit)"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85877F8-AC36-4165-BDEC-DAC067FF726B}"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ErrorRate (%)" fld="1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423017C-30A1-487A-91EF-A0456FC9F7FE}" name="FixedCorrectionCos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KPI – AverageCorrectionCost (TL)" fld="2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C40CF80-206A-4C19-8120-95906294686A}" name="FixedSumOfTotalProduc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Production"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956E1A1-426C-418D-A160-30328AB6CA7A}" name="Inspector"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Inspector">
  <location ref="AP3:AQ10"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showAll="0">
      <items count="6">
        <item x="4"/>
        <item x="3"/>
        <item x="0"/>
        <item x="2"/>
        <item x="1"/>
        <item t="default"/>
      </items>
    </pivotField>
    <pivotField showAll="0"/>
    <pivotField showAll="0"/>
    <pivotField showAll="0"/>
    <pivotField showAll="0"/>
    <pivotField showAll="0"/>
    <pivotField showAll="0"/>
    <pivotField axis="axisRow" dataField="1" showAll="0" sortType="descending">
      <items count="7">
        <item x="2"/>
        <item x="4"/>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7">
    <i>
      <x v="5"/>
    </i>
    <i>
      <x/>
    </i>
    <i>
      <x v="1"/>
    </i>
    <i>
      <x v="3"/>
    </i>
    <i>
      <x v="4"/>
    </i>
    <i>
      <x v="2"/>
    </i>
    <i t="grand">
      <x/>
    </i>
  </rowItems>
  <colItems count="1">
    <i/>
  </colItems>
  <dataFields count="1">
    <dataField name="count of inspector in this machin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A76392D-3959-47C0-9916-B85CC9343A8B}" name="ErrorType-Note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H3:DN10" firstHeaderRow="1" firstDataRow="2"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showAll="0"/>
    <pivotField showAll="0"/>
    <pivotField showAll="0"/>
    <pivotField showAll="0"/>
    <pivotField showAll="0"/>
    <pivotField showAll="0"/>
    <pivotField showAll="0">
      <items count="7">
        <item x="2"/>
        <item x="4"/>
        <item x="5"/>
        <item x="0"/>
        <item x="1"/>
        <item x="3"/>
        <item t="default"/>
      </items>
    </pivotField>
    <pivotField showAll="0"/>
    <pivotField showAll="0"/>
    <pivotField showAll="0"/>
    <pivotField axis="axisCol" dataField="1" showAll="0">
      <items count="6">
        <item x="3"/>
        <item x="0"/>
        <item x="1"/>
        <item x="2"/>
        <item x="4"/>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Fields count="1">
    <field x="17"/>
  </colFields>
  <colItems count="6">
    <i>
      <x/>
    </i>
    <i>
      <x v="1"/>
    </i>
    <i>
      <x v="2"/>
    </i>
    <i>
      <x v="3"/>
    </i>
    <i>
      <x v="4"/>
    </i>
    <i t="grand">
      <x/>
    </i>
  </colItems>
  <dataFields count="1">
    <dataField name="Say Notes" fld="17" subtotal="count" baseField="0" baseItem="0"/>
  </dataFields>
  <chartFormats count="5">
    <chartFormat chart="2" format="0" series="1">
      <pivotArea type="data" outline="0" fieldPosition="0">
        <references count="2">
          <reference field="4294967294" count="1" selected="0">
            <x v="0"/>
          </reference>
          <reference field="17" count="1" selected="0">
            <x v="0"/>
          </reference>
        </references>
      </pivotArea>
    </chartFormat>
    <chartFormat chart="2" format="1" series="1">
      <pivotArea type="data" outline="0" fieldPosition="0">
        <references count="2">
          <reference field="4294967294" count="1" selected="0">
            <x v="0"/>
          </reference>
          <reference field="17" count="1" selected="0">
            <x v="1"/>
          </reference>
        </references>
      </pivotArea>
    </chartFormat>
    <chartFormat chart="2" format="2" series="1">
      <pivotArea type="data" outline="0" fieldPosition="0">
        <references count="2">
          <reference field="4294967294" count="1" selected="0">
            <x v="0"/>
          </reference>
          <reference field="17" count="1" selected="0">
            <x v="2"/>
          </reference>
        </references>
      </pivotArea>
    </chartFormat>
    <chartFormat chart="2" format="3" series="1">
      <pivotArea type="data" outline="0" fieldPosition="0">
        <references count="2">
          <reference field="4294967294" count="1" selected="0">
            <x v="0"/>
          </reference>
          <reference field="17" count="1" selected="0">
            <x v="3"/>
          </reference>
        </references>
      </pivotArea>
    </chartFormat>
    <chartFormat chart="2" format="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370A321-9F65-4E3D-B655-88A79A291A96}"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D3:AE9" firstHeaderRow="1" firstDataRow="1" firstDataCol="1"/>
  <pivotFields count="33">
    <pivotField numFmtId="164" showAll="0">
      <items count="291">
        <item x="123"/>
        <item x="139"/>
        <item x="71"/>
        <item x="197"/>
        <item x="28"/>
        <item x="219"/>
        <item x="181"/>
        <item x="111"/>
        <item x="2"/>
        <item x="239"/>
        <item x="86"/>
        <item x="251"/>
        <item x="195"/>
        <item x="4"/>
        <item x="217"/>
        <item x="175"/>
        <item x="9"/>
        <item x="119"/>
        <item x="40"/>
        <item x="48"/>
        <item x="88"/>
        <item x="55"/>
        <item x="235"/>
        <item x="267"/>
        <item x="163"/>
        <item x="215"/>
        <item x="93"/>
        <item x="171"/>
        <item x="237"/>
        <item x="280"/>
        <item x="44"/>
        <item x="196"/>
        <item x="107"/>
        <item x="243"/>
        <item x="187"/>
        <item x="1"/>
        <item x="0"/>
        <item x="168"/>
        <item x="270"/>
        <item x="135"/>
        <item x="99"/>
        <item x="177"/>
        <item x="166"/>
        <item x="24"/>
        <item x="121"/>
        <item x="250"/>
        <item x="116"/>
        <item x="131"/>
        <item x="157"/>
        <item x="57"/>
        <item x="253"/>
        <item x="142"/>
        <item x="110"/>
        <item x="263"/>
        <item x="274"/>
        <item x="81"/>
        <item x="190"/>
        <item x="78"/>
        <item x="210"/>
        <item x="240"/>
        <item x="249"/>
        <item x="89"/>
        <item x="122"/>
        <item x="109"/>
        <item x="20"/>
        <item x="258"/>
        <item x="156"/>
        <item x="32"/>
        <item x="103"/>
        <item x="37"/>
        <item x="92"/>
        <item x="15"/>
        <item x="266"/>
        <item x="275"/>
        <item x="143"/>
        <item x="76"/>
        <item x="34"/>
        <item x="84"/>
        <item x="236"/>
        <item x="30"/>
        <item x="94"/>
        <item x="176"/>
        <item x="102"/>
        <item x="285"/>
        <item x="62"/>
        <item x="117"/>
        <item x="35"/>
        <item x="96"/>
        <item x="105"/>
        <item x="224"/>
        <item x="75"/>
        <item x="138"/>
        <item x="205"/>
        <item x="271"/>
        <item x="174"/>
        <item x="229"/>
        <item x="241"/>
        <item x="180"/>
        <item x="112"/>
        <item x="150"/>
        <item x="49"/>
        <item x="272"/>
        <item x="83"/>
        <item x="8"/>
        <item x="158"/>
        <item x="100"/>
        <item x="203"/>
        <item x="41"/>
        <item x="167"/>
        <item x="18"/>
        <item x="184"/>
        <item x="244"/>
        <item x="73"/>
        <item x="43"/>
        <item x="47"/>
        <item x="207"/>
        <item x="223"/>
        <item x="29"/>
        <item x="208"/>
        <item x="87"/>
        <item x="255"/>
        <item x="198"/>
        <item x="67"/>
        <item x="146"/>
        <item x="133"/>
        <item x="137"/>
        <item x="95"/>
        <item x="11"/>
        <item x="60"/>
        <item x="45"/>
        <item x="247"/>
        <item x="204"/>
        <item x="227"/>
        <item x="257"/>
        <item x="59"/>
        <item x="149"/>
        <item x="74"/>
        <item x="268"/>
        <item x="98"/>
        <item x="170"/>
        <item x="199"/>
        <item x="19"/>
        <item x="246"/>
        <item x="188"/>
        <item x="278"/>
        <item x="273"/>
        <item x="232"/>
        <item x="284"/>
        <item x="260"/>
        <item x="287"/>
        <item x="155"/>
        <item x="254"/>
        <item x="269"/>
        <item x="201"/>
        <item x="141"/>
        <item x="245"/>
        <item x="288"/>
        <item x="265"/>
        <item x="56"/>
        <item x="221"/>
        <item x="289"/>
        <item x="80"/>
        <item x="238"/>
        <item x="242"/>
        <item x="161"/>
        <item x="189"/>
        <item x="106"/>
        <item x="69"/>
        <item x="183"/>
        <item x="182"/>
        <item x="129"/>
        <item x="68"/>
        <item x="202"/>
        <item x="209"/>
        <item x="39"/>
        <item x="51"/>
        <item x="77"/>
        <item x="26"/>
        <item x="16"/>
        <item x="281"/>
        <item x="46"/>
        <item x="213"/>
        <item x="261"/>
        <item x="63"/>
        <item x="64"/>
        <item x="220"/>
        <item x="128"/>
        <item x="169"/>
        <item x="108"/>
        <item x="52"/>
        <item x="164"/>
        <item x="17"/>
        <item x="218"/>
        <item x="179"/>
        <item x="25"/>
        <item x="178"/>
        <item x="160"/>
        <item x="185"/>
        <item x="7"/>
        <item x="186"/>
        <item x="136"/>
        <item x="85"/>
        <item x="151"/>
        <item x="79"/>
        <item x="286"/>
        <item x="115"/>
        <item x="125"/>
        <item x="148"/>
        <item x="132"/>
        <item x="144"/>
        <item x="127"/>
        <item x="124"/>
        <item x="228"/>
        <item x="165"/>
        <item x="262"/>
        <item x="173"/>
        <item x="72"/>
        <item x="192"/>
        <item x="248"/>
        <item x="33"/>
        <item x="101"/>
        <item x="225"/>
        <item x="264"/>
        <item x="54"/>
        <item x="259"/>
        <item x="193"/>
        <item x="194"/>
        <item x="21"/>
        <item x="256"/>
        <item x="53"/>
        <item x="14"/>
        <item x="230"/>
        <item x="118"/>
        <item x="134"/>
        <item x="82"/>
        <item x="70"/>
        <item x="38"/>
        <item x="276"/>
        <item x="42"/>
        <item x="277"/>
        <item x="214"/>
        <item x="211"/>
        <item x="172"/>
        <item x="279"/>
        <item x="206"/>
        <item x="22"/>
        <item x="27"/>
        <item x="114"/>
        <item x="3"/>
        <item x="159"/>
        <item x="23"/>
        <item x="91"/>
        <item x="31"/>
        <item x="66"/>
        <item x="50"/>
        <item x="58"/>
        <item x="113"/>
        <item x="252"/>
        <item x="216"/>
        <item x="282"/>
        <item x="126"/>
        <item x="120"/>
        <item x="231"/>
        <item x="147"/>
        <item x="191"/>
        <item x="13"/>
        <item x="212"/>
        <item x="12"/>
        <item x="283"/>
        <item x="222"/>
        <item x="162"/>
        <item x="10"/>
        <item x="200"/>
        <item x="154"/>
        <item x="152"/>
        <item x="153"/>
        <item x="233"/>
        <item x="97"/>
        <item x="36"/>
        <item x="234"/>
        <item x="61"/>
        <item x="226"/>
        <item x="90"/>
        <item x="130"/>
        <item x="140"/>
        <item x="6"/>
        <item x="5"/>
        <item x="104"/>
        <item x="145"/>
        <item x="65"/>
        <item t="default"/>
      </items>
    </pivotField>
    <pivotField showAll="0">
      <items count="7">
        <item x="3"/>
        <item x="1"/>
        <item x="2"/>
        <item x="5"/>
        <item x="0"/>
        <item x="4"/>
        <item t="default"/>
      </items>
    </pivotField>
    <pivotField showAll="0">
      <items count="4">
        <item x="1"/>
        <item x="0"/>
        <item x="2"/>
        <item t="default"/>
      </items>
    </pivotField>
    <pivotField showAll="0">
      <items count="21">
        <item x="14"/>
        <item x="18"/>
        <item x="12"/>
        <item x="7"/>
        <item x="10"/>
        <item x="9"/>
        <item x="15"/>
        <item x="8"/>
        <item x="11"/>
        <item x="0"/>
        <item x="2"/>
        <item x="4"/>
        <item x="5"/>
        <item x="1"/>
        <item x="13"/>
        <item x="19"/>
        <item x="16"/>
        <item x="3"/>
        <item x="6"/>
        <item x="17"/>
        <item t="default"/>
      </items>
    </pivotField>
    <pivotField showAll="0">
      <items count="6">
        <item x="3"/>
        <item x="4"/>
        <item x="1"/>
        <item x="0"/>
        <item x="2"/>
        <item t="default"/>
      </items>
    </pivotField>
    <pivotField showAll="0">
      <items count="21">
        <item x="3"/>
        <item x="6"/>
        <item x="1"/>
        <item x="5"/>
        <item x="2"/>
        <item x="12"/>
        <item x="13"/>
        <item x="4"/>
        <item x="11"/>
        <item x="7"/>
        <item x="19"/>
        <item x="15"/>
        <item x="10"/>
        <item x="18"/>
        <item x="0"/>
        <item x="17"/>
        <item x="8"/>
        <item x="16"/>
        <item x="14"/>
        <item x="9"/>
        <item t="default"/>
      </items>
    </pivotField>
    <pivotField axis="axisRow" showAll="0">
      <items count="6">
        <item x="4"/>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total error cost" fld="11" baseField="0" baseItem="0" numFmtId="2"/>
  </dataFields>
  <chartFormats count="1">
    <chartFormat chart="4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CCC531-B88E-45A8-98E6-34F563768CCB}" sourceName="Department">
  <pivotTables>
    <pivotTable tabId="5" name="AverageCorrectionCost"/>
    <pivotTable tabId="5" name="AverageQualityScore"/>
    <pivotTable tabId="5" name="PivotTable4"/>
    <pivotTable tabId="5" name="SumOfCorrectionTime"/>
    <pivotTable tabId="5" name="SumOfErrorCost"/>
    <pivotTable tabId="5" name="SumOfTotalProduction"/>
    <pivotTable tabId="5" name="PivotTable1"/>
    <pivotTable tabId="5" name="PivotTable2"/>
    <pivotTable tabId="5" name="PivotTable3"/>
    <pivotTable tabId="5" name="PivotTable5"/>
    <pivotTable tabId="5" name="ErrorType-CorrectionCost"/>
    <pivotTable tabId="5" name="SumOfRiskScore"/>
    <pivotTable tabId="5" name="Inspector"/>
    <pivotTable tabId="5" name="PivotTable10"/>
    <pivotTable tabId="5" name="Date-ErrorRateAnalysis"/>
    <pivotTable tabId="5" name="InspectorAnalysis"/>
    <pivotTable tabId="5" name="ErrorSeverity-ErrorType"/>
    <pivotTable tabId="5" name="PivotTable6"/>
    <pivotTable tabId="5" name="TotalCost"/>
    <pivotTable tabId="5" name="FixedTotalCost"/>
    <pivotTable tabId="5" name="Correction Cost"/>
    <pivotTable tabId="5" name="QualityClassification"/>
    <pivotTable tabId="5" name="ErrorType-Descriptions"/>
    <pivotTable tabId="5" name="ErrorType-Notes"/>
    <pivotTable tabId="5" name="TotalCostDistribution"/>
    <pivotTable tabId="5" name="PivotTable7"/>
  </pivotTables>
  <data>
    <tabular pivotCacheId="554355875">
      <items count="6">
        <i x="3" s="1"/>
        <i x="1"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AF195D5-48F0-4397-A220-331F03559A0A}" sourceName="Shift">
  <pivotTables>
    <pivotTable tabId="5" name="AverageCorrectionCost"/>
    <pivotTable tabId="5" name="AverageQualityScore"/>
    <pivotTable tabId="5" name="PivotTable4"/>
    <pivotTable tabId="5" name="SumOfCorrectionTime"/>
    <pivotTable tabId="5" name="SumOfErrorCost"/>
    <pivotTable tabId="5" name="SumOfTotalProduction"/>
    <pivotTable tabId="5" name="PivotTable1"/>
    <pivotTable tabId="5" name="PivotTable2"/>
    <pivotTable tabId="5" name="PivotTable3"/>
    <pivotTable tabId="5" name="PivotTable5"/>
    <pivotTable tabId="5" name="ErrorType-CorrectionCost"/>
    <pivotTable tabId="5" name="SumOfRiskScore"/>
    <pivotTable tabId="5" name="Inspector"/>
    <pivotTable tabId="5" name="PivotTable10"/>
    <pivotTable tabId="5" name="InspectorAnalysis"/>
    <pivotTable tabId="5" name="Date-ErrorRateAnalysis"/>
    <pivotTable tabId="5" name="ErrorSeverity-ErrorType"/>
    <pivotTable tabId="5" name="PivotTable6"/>
    <pivotTable tabId="5" name="TotalCost"/>
    <pivotTable tabId="5" name="FixedTotalCost"/>
    <pivotTable tabId="5" name="Correction Cost"/>
    <pivotTable tabId="5" name="ErrorType-Descriptions"/>
    <pivotTable tabId="5" name="ErrorType-Notes"/>
    <pivotTable tabId="5" name="QualityClassification"/>
    <pivotTable tabId="5" name="TotalCostDistribution"/>
    <pivotTable tabId="5" name="PivotTable7"/>
  </pivotTables>
  <data>
    <tabular pivotCacheId="55435587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Code" xr10:uid="{4C22508C-09B5-4BAD-BF8A-58E38638ED40}" sourceName="MachineCode">
  <pivotTables>
    <pivotTable tabId="5" name="PivotTable2"/>
    <pivotTable tabId="5" name="PivotTable3"/>
    <pivotTable tabId="5" name="PivotTable5"/>
    <pivotTable tabId="5" name="ErrorType-CorrectionCost"/>
    <pivotTable tabId="5" name="SumOfRiskScore"/>
    <pivotTable tabId="5" name="Inspector"/>
    <pivotTable tabId="5" name="PivotTable10"/>
    <pivotTable tabId="5" name="AverageCorrectionCost"/>
    <pivotTable tabId="5" name="AverageQualityScore"/>
    <pivotTable tabId="5" name="Date-ErrorRateAnalysis"/>
    <pivotTable tabId="5" name="PivotTable1"/>
    <pivotTable tabId="5" name="PivotTable4"/>
    <pivotTable tabId="5" name="SumOfCorrectionTime"/>
    <pivotTable tabId="5" name="SumOfErrorCost"/>
    <pivotTable tabId="5" name="SumOfTotalProduction"/>
    <pivotTable tabId="5" name="InspectorAnalysis"/>
    <pivotTable tabId="5" name="ErrorSeverity-ErrorType"/>
    <pivotTable tabId="5" name="PivotTable6"/>
    <pivotTable tabId="5" name="TotalCost"/>
    <pivotTable tabId="5" name="Correction Cost"/>
    <pivotTable tabId="5" name="ErrorType-Descriptions"/>
    <pivotTable tabId="5" name="ErrorType-Notes"/>
    <pivotTable tabId="5" name="QualityClassification"/>
    <pivotTable tabId="5" name="TotalCostDistribution"/>
    <pivotTable tabId="5" name="PivotTable7"/>
  </pivotTables>
  <data>
    <tabular pivotCacheId="554355875">
      <items count="20">
        <i x="14" s="1"/>
        <i x="18" s="1"/>
        <i x="12" s="1"/>
        <i x="7" s="1"/>
        <i x="10" s="1"/>
        <i x="9" s="1"/>
        <i x="15" s="1"/>
        <i x="8" s="1"/>
        <i x="11" s="1"/>
        <i x="0" s="1"/>
        <i x="2" s="1"/>
        <i x="4" s="1"/>
        <i x="5" s="1"/>
        <i x="1" s="1"/>
        <i x="13" s="1"/>
        <i x="19" s="1"/>
        <i x="16" s="1"/>
        <i x="3" s="1"/>
        <i x="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Line" xr10:uid="{AE15D584-885C-4365-A13B-9FF7628BAD43}" sourceName="ProductionLine">
  <pivotTables>
    <pivotTable tabId="5" name="PivotTable3"/>
    <pivotTable tabId="5" name="AverageCorrectionCost"/>
    <pivotTable tabId="5" name="AverageQualityScore"/>
    <pivotTable tabId="5" name="Date-ErrorRateAnalysis"/>
    <pivotTable tabId="5" name="ErrorType-CorrectionCost"/>
    <pivotTable tabId="5" name="PivotTable1"/>
    <pivotTable tabId="5" name="PivotTable10"/>
    <pivotTable tabId="5" name="PivotTable2"/>
    <pivotTable tabId="5" name="PivotTable4"/>
    <pivotTable tabId="5" name="PivotTable5"/>
    <pivotTable tabId="5" name="SumOfCorrectionTime"/>
    <pivotTable tabId="5" name="SumOfErrorCost"/>
    <pivotTable tabId="5" name="SumOfRiskScore"/>
    <pivotTable tabId="5" name="SumOfTotalProduction"/>
    <pivotTable tabId="5" name="InspectorAnalysis"/>
    <pivotTable tabId="5" name="Inspector"/>
    <pivotTable tabId="5" name="ErrorSeverity-ErrorType"/>
    <pivotTable tabId="5" name="PivotTable6"/>
    <pivotTable tabId="5" name="TotalCost"/>
    <pivotTable tabId="5" name="Correction Cost"/>
    <pivotTable tabId="5" name="ErrorType-Notes"/>
    <pivotTable tabId="5" name="TotalCostDistribution"/>
    <pivotTable tabId="5" name="ErrorType-Descriptions"/>
    <pivotTable tabId="5" name="QualityClassification"/>
    <pivotTable tabId="5" name="PivotTable7"/>
  </pivotTables>
  <data>
    <tabular pivotCacheId="554355875">
      <items count="5">
        <i x="3" s="1"/>
        <i x="4"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ode" xr10:uid="{52463F24-F856-4A38-8DD9-F4524E2D90FD}" sourceName="ProductCode">
  <pivotTables>
    <pivotTable tabId="5" name="ErrorType-CorrectionCost"/>
    <pivotTable tabId="5" name="AverageCorrectionCost"/>
    <pivotTable tabId="5" name="AverageQualityScore"/>
    <pivotTable tabId="5" name="Date-ErrorRateAnalysis"/>
    <pivotTable tabId="5" name="Inspector"/>
    <pivotTable tabId="5" name="PivotTable1"/>
    <pivotTable tabId="5" name="PivotTable10"/>
    <pivotTable tabId="5" name="PivotTable2"/>
    <pivotTable tabId="5" name="PivotTable3"/>
    <pivotTable tabId="5" name="PivotTable4"/>
    <pivotTable tabId="5" name="PivotTable5"/>
    <pivotTable tabId="5" name="SumOfCorrectionTime"/>
    <pivotTable tabId="5" name="SumOfErrorCost"/>
    <pivotTable tabId="5" name="SumOfRiskScore"/>
    <pivotTable tabId="5" name="SumOfTotalProduction"/>
    <pivotTable tabId="5" name="InspectorAnalysis"/>
    <pivotTable tabId="5" name="ErrorSeverity-ErrorType"/>
    <pivotTable tabId="5" name="PivotTable6"/>
    <pivotTable tabId="5" name="TotalCost"/>
    <pivotTable tabId="5" name="Correction Cost"/>
    <pivotTable tabId="5" name="ErrorType-Descriptions"/>
    <pivotTable tabId="5" name="ErrorType-Notes"/>
    <pivotTable tabId="5" name="QualityClassification"/>
    <pivotTable tabId="5" name="TotalCostDistribution"/>
    <pivotTable tabId="5" name="PivotTable7"/>
  </pivotTables>
  <data>
    <tabular pivotCacheId="554355875">
      <items count="20">
        <i x="3" s="1"/>
        <i x="6" s="1"/>
        <i x="1" s="1"/>
        <i x="5" s="1"/>
        <i x="2" s="1"/>
        <i x="12" s="1"/>
        <i x="13" s="1"/>
        <i x="4" s="1"/>
        <i x="11" s="1"/>
        <i x="7" s="1"/>
        <i x="19" s="1"/>
        <i x="15" s="1"/>
        <i x="10" s="1"/>
        <i x="18" s="1"/>
        <i x="0" s="1"/>
        <i x="17" s="1"/>
        <i x="8" s="1"/>
        <i x="16" s="1"/>
        <i x="14"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roductionDate" xr10:uid="{95F11976-3C52-45A0-952E-5B60031C949D}" sourceName="Months (ProductionDate)">
  <pivotTables>
    <pivotTable tabId="5" name="Date-ErrorRateAnalysis"/>
    <pivotTable tabId="5" name="AverageCorrectionCost"/>
    <pivotTable tabId="5" name="AverageQualityScore"/>
    <pivotTable tabId="5" name="Correction Cost"/>
    <pivotTable tabId="5" name="ErrorSeverity-ErrorType"/>
    <pivotTable tabId="5" name="ErrorType-CorrectionCost"/>
    <pivotTable tabId="5" name="Inspector"/>
    <pivotTable tabId="5" name="InspectorAnalysis"/>
    <pivotTable tabId="5" name="PivotTable1"/>
    <pivotTable tabId="5" name="PivotTable10"/>
    <pivotTable tabId="5" name="PivotTable2"/>
    <pivotTable tabId="5" name="PivotTable3"/>
    <pivotTable tabId="5" name="PivotTable4"/>
    <pivotTable tabId="5" name="PivotTable5"/>
    <pivotTable tabId="5" name="ErrorType-Descriptions"/>
    <pivotTable tabId="5" name="PivotTable6"/>
    <pivotTable tabId="5" name="QualityClassification"/>
    <pivotTable tabId="5" name="SumOfCorrectionTime"/>
    <pivotTable tabId="5" name="SumOfErrorCost"/>
    <pivotTable tabId="5" name="SumOfRiskScore"/>
    <pivotTable tabId="5" name="SumOfTotalProduction"/>
    <pivotTable tabId="5" name="TotalCost"/>
    <pivotTable tabId="5" name="ErrorType-Notes"/>
    <pivotTable tabId="5" name="TotalCostDistribution"/>
    <pivotTable tabId="5" name="PivotTable7"/>
    <pivotTable tabId="5" name="ErrorDistribution"/>
  </pivotTables>
  <data>
    <tabular pivotCacheId="554355875">
      <items count="14">
        <i x="1" s="1"/>
        <i x="2" s="1"/>
        <i x="3" s="1"/>
        <i x="4" s="1"/>
        <i x="5" s="1"/>
        <i x="6" s="1"/>
        <i x="7" s="1"/>
        <i x="8" s="1"/>
        <i x="9" s="1"/>
        <i x="10" s="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ErrorType" xr10:uid="{B354D9B9-6971-4D89-8285-726579ECA97E}" sourceName="ErrorType">
  <pivotTables>
    <pivotTable tabId="5" name="PivotTable5"/>
    <pivotTable tabId="5" name="Correction Cost"/>
    <pivotTable tabId="5" name="Date-ErrorRateAnalysis"/>
    <pivotTable tabId="5" name="ErrorDistribution"/>
    <pivotTable tabId="5" name="TotalCost"/>
    <pivotTable tabId="5" name="PivotTable6"/>
    <pivotTable tabId="5" name="ErrorSeverity-ErrorType"/>
    <pivotTable tabId="5" name="ErrorType-CorrectionCost"/>
    <pivotTable tabId="5" name="Inspector"/>
    <pivotTable tabId="5" name="InspectorAnalysis"/>
    <pivotTable tabId="5" name="PivotTable1"/>
    <pivotTable tabId="5" name="PivotTable10"/>
    <pivotTable tabId="5" name="PivotTable2"/>
    <pivotTable tabId="5" name="PivotTable3"/>
    <pivotTable tabId="5" name="PivotTable4"/>
    <pivotTable tabId="5" name="ErrorType-Descriptions"/>
    <pivotTable tabId="5" name="ErrorType-Notes"/>
    <pivotTable tabId="5" name="TotalCostDistribution"/>
    <pivotTable tabId="5" name="QualityClassification"/>
    <pivotTable tabId="5" name="SumOfCorrectionTime"/>
    <pivotTable tabId="5" name="SumOfErrorCost"/>
    <pivotTable tabId="5" name="SumOfRiskScore"/>
    <pivotTable tabId="5" name="SumOfTotalProduction"/>
    <pivotTable tabId="5" name="AverageCorrectionCost"/>
    <pivotTable tabId="5" name="AverageQualityScore"/>
    <pivotTable tabId="5" name="PivotTable7"/>
  </pivotTables>
  <data>
    <tabular pivotCacheId="554355875">
      <items count="5">
        <i x="4" s="1"/>
        <i x="3" s="1"/>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Inspector" xr10:uid="{2F25D2A9-2646-497B-8647-5514C9CBDA2B}" sourceName="QualityInspector">
  <pivotTables>
    <pivotTable tabId="5" name="ErrorType-Notes"/>
  </pivotTables>
  <data>
    <tabular pivotCacheId="554355875">
      <items count="6">
        <i x="2" s="1"/>
        <i x="4" s="1"/>
        <i x="5"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C63A6C4-9EA1-4AB0-ADE8-7A0AFED93324}" cache="Slicer_Department" caption="Department" style="SlicerStyleLight1" rowHeight="234950"/>
  <slicer name="Shift" xr10:uid="{A0956A72-E95E-46EE-8678-C550495F1F56}" cache="Slicer_Shift" caption="Shift" style="SlicerStyleLight1" rowHeight="234950"/>
  <slicer name="MachineCode" xr10:uid="{1DCAD52C-4338-478F-9C2D-CB91ADB58A14}" cache="Slicer_MachineCode" caption="MachineCode" columnCount="2" style="SlicerStyleLight1" rowHeight="241300"/>
  <slicer name="ProductionLine" xr10:uid="{0D6F5E62-BA15-499E-AB02-8F168B917592}" cache="Slicer_ProductionLine" caption="ProductionLine" style="SlicerStyleLight1" rowHeight="234950"/>
  <slicer name="ProductCode" xr10:uid="{00E5EC0F-361C-4949-8082-CF0F12C6A800}" cache="Slicer_ProductCode" caption="ProductCode" columnCount="2" style="SlicerStyleLight1" rowHeight="234950"/>
  <slicer name="Months (ProductionDate)" xr10:uid="{3385422E-9DA8-4EA0-936B-CFDE20B2EA69}" cache="Slicer_Months__ProductionDate" caption="Months (ProductionDate)"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3DA3196-7FE4-4D40-8642-D68561F69BB1}" cache="Slicer_Department" caption="Department" style="SlicerStyleLight1" rowHeight="234950"/>
  <slicer name="Shift 2" xr10:uid="{B0975623-4863-43D3-AAA3-017B536D5FF4}" cache="Slicer_Shift" caption="Shift" style="SlicerStyleLight1" rowHeight="234950"/>
  <slicer name="MachineCode 2" xr10:uid="{51342741-385E-4325-BF33-937BD2398791}" cache="Slicer_MachineCode" caption="MachineCode" columnCount="2" style="SlicerStyleLight1" rowHeight="241300"/>
  <slicer name="ProductionLine 1" xr10:uid="{F5A012E0-A1F3-4D7D-835C-BA90258341F2}" cache="Slicer_ProductionLine" caption="ProductionLine" columnCount="2" style="SlicerStyleLight1" rowHeight="234950"/>
  <slicer name="ProductCode 1" xr10:uid="{EB4B3D01-B4A9-4F16-B9D3-0FBC58E6F3C5}" cache="Slicer_ProductCode" caption="ProductCode" columnCount="2" style="SlicerStyleLight1" rowHeight="234950"/>
  <slicer name="Months (ProductionDate) 1" xr10:uid="{890AC5B0-7B9B-4EBE-8547-948AEFB71925}" cache="Slicer_Months__ProductionDate" caption="Months (ProductionDate)" columnCount="2" style="SlicerStyleLight1" rowHeight="234950"/>
  <slicer name="ErrorType 1" xr10:uid="{F00DDA70-6A36-4378-8007-ED9EA96A93D2}" cache="Dilimleyici_ErrorType" caption="ErrorType" style="SlicerStyleLight1" rowHeight="241300"/>
  <slicer name="QualityInspector" xr10:uid="{78F57DA4-4D68-4707-8F4E-18F8F8869957}" cache="Slicer_QualityInspector" caption="QualityInspector" columnCount="2"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D0887-FA5B-4ABE-A05F-E83B82D776D1}" name="Table2" displayName="Table2" ref="A1:AE1001" totalsRowShown="0" headerRowDxfId="21" headerRowBorderDxfId="20" tableBorderDxfId="19">
  <autoFilter ref="A1:AE1001" xr:uid="{133D0887-FA5B-4ABE-A05F-E83B82D776D1}"/>
  <tableColumns count="31">
    <tableColumn id="1" xr3:uid="{294684D6-1081-4774-B900-07EDBF16608D}" name="ProductionDate" dataDxfId="18"/>
    <tableColumn id="2" xr3:uid="{57D95203-7483-418F-9697-6B3912EB9B28}" name="Department"/>
    <tableColumn id="3" xr3:uid="{8D760A39-F9C0-4CD2-AF5A-89DC46901ADB}" name="Shift"/>
    <tableColumn id="4" xr3:uid="{B5F3EC3D-5B2A-494E-9591-DDD21A1B7675}" name="MachineCode"/>
    <tableColumn id="5" xr3:uid="{6E60549D-8303-4E58-B5B4-944DFFAFF486}" name="ProductionLine"/>
    <tableColumn id="6" xr3:uid="{B6F798BF-CD97-4C7E-904A-20B87B878540}" name="ProductCode"/>
    <tableColumn id="7" xr3:uid="{153721CF-50B7-4C4F-A6DF-3EC47BD92B09}" name="ErrorType"/>
    <tableColumn id="8" xr3:uid="{55EFD2CE-A8B1-408C-9B25-6D0EC7EED4FB}" name="ErrorDescription"/>
    <tableColumn id="9" xr3:uid="{D6567D9D-33F3-4D7D-B620-19A977D4D682}" name="ErrorSeverity (1–5)"/>
    <tableColumn id="10" xr3:uid="{99660D41-FAE4-46F9-A221-9FE9CF227B5F}" name="ErrorProbability (%)"/>
    <tableColumn id="11" xr3:uid="{DE7B4801-2C46-4911-AF0E-F70832708E1E}" name="ErrorFrequency (units/day)"/>
    <tableColumn id="12" xr3:uid="{9CA50D74-DC17-4A05-A640-6F7FA2978CC0}" name="ErrorCost (TL/unit)"/>
    <tableColumn id="13" xr3:uid="{D0479655-8294-4F7B-AA25-C37776212450}" name="CorrectionTime (minutes)"/>
    <tableColumn id="14" xr3:uid="{2F4D5F80-AEDE-41BD-90E3-760E03F8E7D6}" name="QualityInspector"/>
    <tableColumn id="15" xr3:uid="{FDAEA719-2918-440F-94EB-0A6F459FD8EE}" name="DefectiveUnits"/>
    <tableColumn id="16" xr3:uid="{709D607B-7C4A-4626-8080-D9B700EFC486}" name="TotalProduction"/>
    <tableColumn id="23" xr3:uid="{10126E3C-24DE-4810-A96F-DA16E90194EE}" name="shownote" dataDxfId="17">
      <calculatedColumnFormula>IF(D2=Pivot!$AS$4,R1, "")</calculatedColumnFormula>
    </tableColumn>
    <tableColumn id="17" xr3:uid="{0C718E0B-52E1-4E48-A7E6-B44CF24D5C82}" name="Notes"/>
    <tableColumn id="18" xr3:uid="{059B58E6-574C-4710-9A90-C8B7D969AA14}" name="ErrorRate (%)" dataDxfId="16"/>
    <tableColumn id="19" xr3:uid="{25525A8C-8D51-4AB3-875A-4196FAF0331C}" name="QualityScore (0–100)"/>
    <tableColumn id="20" xr3:uid="{41364582-2FBB-48F5-9C30-37AC8B82E286}" name="KPI – AverageCorrectionCost (TL)"/>
    <tableColumn id="21" xr3:uid="{BB6C5CE9-EAD5-4783-A997-CAFA90A4B7F6}" name="risk score" dataDxfId="15">
      <calculatedColumnFormula>K2*I2*J2</calculatedColumnFormula>
    </tableColumn>
    <tableColumn id="22" xr3:uid="{EB80F32E-E41A-4D4D-A16D-53BBDB3D8F9E}" name="Total Cost" dataDxfId="14">
      <calculatedColumnFormula>U2+L2</calculatedColumnFormula>
    </tableColumn>
    <tableColumn id="25" xr3:uid="{AF83A44F-F9BB-4F94-A2C5-3C824CFDAE03}" name="quality classes" dataDxfId="13">
      <calculatedColumnFormula>_xlfn.IFS(J2&lt;6,"High Quality",J2&lt;=15,"Mid Quality",J2&gt;15,"Low Quality")</calculatedColumnFormula>
    </tableColumn>
    <tableColumn id="32" xr3:uid="{3CBCF62C-571A-4CB0-B763-BCEB1216AA84}" name="distribution" dataDxfId="12">
      <calculatedColumnFormula>_xlfn.IFS(J2&lt;=0,"0",J2&lt;=2,"2",J2&lt;=4,"4",J2&lt;=6,"6",J2&lt;=8,"8",J2&lt;=10,"10",J2&lt;=12,"12",J2&lt;=14,"14",J2&lt;=16,"16",J2&lt;=16,"16",J2&lt;=18,"18",J2&lt;=20,"20")</calculatedColumnFormula>
    </tableColumn>
    <tableColumn id="26" xr3:uid="{19663B7B-8D82-4A41-9376-693FA27DD983}" name="bins" dataDxfId="11"/>
    <tableColumn id="27" xr3:uid="{368FB732-138C-4D20-909C-2D2F9B563F58}" name="countifs" dataDxfId="10">
      <calculatedColumnFormula>COUNTIF(J:J,"&lt;=0")</calculatedColumnFormula>
    </tableColumn>
    <tableColumn id="28" xr3:uid="{A62F8437-8F2C-44DD-A07F-2B7AEE9C5FF0}" name="normdist" dataDxfId="9">
      <calculatedColumnFormula>_xlfn.NORM.DIST(Table2[[#This Row],[bins]],$AD$2,$AE$2,FALSE)</calculatedColumnFormula>
    </tableColumn>
    <tableColumn id="29" xr3:uid="{4E5723F9-09B9-4233-AA7F-C57B9E046BE6}" name="uniform" dataDxfId="8"/>
    <tableColumn id="30" xr3:uid="{12AC63A8-3B61-47DD-8FC8-C26CFF4EFD35}" name="mean" dataDxfId="7">
      <calculatedColumnFormula>AVERAGE(J:J)</calculatedColumnFormula>
    </tableColumn>
    <tableColumn id="31" xr3:uid="{EE1BD9A2-046D-47A7-8548-DD812C033E72}" name="stdev" dataDxfId="6">
      <calculatedColumnFormula>_xlfn.STDEV.P(J:J)</calculatedColumnFormula>
    </tableColumn>
  </tableColumns>
  <tableStyleInfo name="Table Style 4" showFirstColumn="0" showLastColumn="0" showRowStripes="1" showColumnStripes="0"/>
</table>
</file>

<file path=xl/theme/theme1.xml><?xml version="1.0" encoding="utf-8"?>
<a:theme xmlns:a="http://schemas.openxmlformats.org/drawingml/2006/main" name="Office Theme 2007 - 2010">
  <a:themeElements>
    <a:clrScheme name="Dash">
      <a:dk1>
        <a:sysClr val="windowText" lastClr="000000"/>
      </a:dk1>
      <a:lt1>
        <a:sysClr val="window" lastClr="FFFFFF"/>
      </a:lt1>
      <a:dk2>
        <a:srgbClr val="1F497D"/>
      </a:dk2>
      <a:lt2>
        <a:srgbClr val="EEECE1"/>
      </a:lt2>
      <a:accent1>
        <a:srgbClr val="1F9C85"/>
      </a:accent1>
      <a:accent2>
        <a:srgbClr val="125C4F"/>
      </a:accent2>
      <a:accent3>
        <a:srgbClr val="2CDCBB"/>
      </a:accent3>
      <a:accent4>
        <a:srgbClr val="2FE9C6"/>
      </a:accent4>
      <a:accent5>
        <a:srgbClr val="27C2A5"/>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593-1A60-4091-B151-1A515B5A6CCD}">
  <sheetPr>
    <pageSetUpPr autoPageBreaks="0"/>
  </sheetPr>
  <dimension ref="A1"/>
  <sheetViews>
    <sheetView showGridLines="0" showRowColHeaders="0" topLeftCell="D12" zoomScale="82" zoomScaleNormal="82" workbookViewId="0">
      <selection activeCell="J27" sqref="J27"/>
    </sheetView>
  </sheetViews>
  <sheetFormatPr defaultColWidth="8.85546875" defaultRowHeight="15" x14ac:dyDescent="0.25"/>
  <cols>
    <col min="1" max="16384" width="8.85546875" style="34"/>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15C6-182F-445F-A391-6001B059D125}">
  <dimension ref="A1"/>
  <sheetViews>
    <sheetView showGridLines="0" showRowColHeaders="0" tabSelected="1" topLeftCell="I1" zoomScale="80" zoomScaleNormal="80" workbookViewId="0">
      <selection activeCell="Q8" sqref="Q8"/>
    </sheetView>
  </sheetViews>
  <sheetFormatPr defaultColWidth="9.140625" defaultRowHeight="15" x14ac:dyDescent="0.25"/>
  <cols>
    <col min="1" max="16384" width="9.14062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1"/>
  <sheetViews>
    <sheetView topLeftCell="K1" zoomScale="95" zoomScaleNormal="95" workbookViewId="0">
      <selection activeCell="S12" sqref="S12"/>
    </sheetView>
  </sheetViews>
  <sheetFormatPr defaultRowHeight="15" x14ac:dyDescent="0.25"/>
  <cols>
    <col min="1" max="1" width="18.85546875" bestFit="1" customWidth="1"/>
    <col min="2" max="2" width="15.85546875" bestFit="1" customWidth="1"/>
    <col min="3" max="3" width="9.42578125" bestFit="1" customWidth="1"/>
    <col min="4" max="4" width="17.140625" bestFit="1" customWidth="1"/>
    <col min="5" max="5" width="18.42578125" bestFit="1" customWidth="1"/>
    <col min="6" max="6" width="16.42578125" bestFit="1" customWidth="1"/>
    <col min="7" max="7" width="16.5703125" bestFit="1" customWidth="1"/>
    <col min="8" max="8" width="19.42578125" bestFit="1" customWidth="1"/>
    <col min="9" max="9" width="21.42578125" bestFit="1" customWidth="1"/>
    <col min="10" max="10" width="22.140625" bestFit="1" customWidth="1"/>
    <col min="11" max="11" width="28.5703125" bestFit="1" customWidth="1"/>
    <col min="12" max="12" width="21.140625" bestFit="1" customWidth="1"/>
    <col min="13" max="13" width="27.140625" bestFit="1" customWidth="1"/>
    <col min="14" max="14" width="19.5703125" bestFit="1" customWidth="1"/>
    <col min="15" max="15" width="18" bestFit="1" customWidth="1"/>
    <col min="16" max="16" width="19.140625" bestFit="1" customWidth="1"/>
    <col min="17" max="17" width="20.85546875" style="27" bestFit="1" customWidth="1"/>
    <col min="18" max="18" width="20.85546875" bestFit="1" customWidth="1"/>
    <col min="19" max="19" width="16.5703125" style="5" bestFit="1" customWidth="1"/>
    <col min="20" max="20" width="23.140625" bestFit="1" customWidth="1"/>
    <col min="21" max="21" width="33.5703125" bestFit="1" customWidth="1"/>
    <col min="22" max="22" width="13.5703125" style="27" bestFit="1" customWidth="1"/>
    <col min="23" max="23" width="13.85546875" bestFit="1" customWidth="1"/>
    <col min="24" max="24" width="29.42578125" style="33" bestFit="1" customWidth="1"/>
    <col min="25" max="25" width="15.140625" style="27" bestFit="1" customWidth="1"/>
    <col min="26" max="26" width="9.140625" style="27"/>
    <col min="27" max="27" width="12.42578125" style="27" bestFit="1" customWidth="1"/>
    <col min="28" max="31" width="9.140625" style="27"/>
  </cols>
  <sheetData>
    <row r="1" spans="1:3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2" t="s">
        <v>112</v>
      </c>
      <c r="R1" s="12" t="s">
        <v>16</v>
      </c>
      <c r="S1" s="13" t="s">
        <v>17</v>
      </c>
      <c r="T1" s="2" t="s">
        <v>18</v>
      </c>
      <c r="U1" s="2" t="s">
        <v>19</v>
      </c>
      <c r="V1" s="32" t="s">
        <v>105</v>
      </c>
      <c r="W1" s="2" t="s">
        <v>114</v>
      </c>
      <c r="X1" s="32" t="s">
        <v>126</v>
      </c>
      <c r="Y1" s="32" t="s">
        <v>139</v>
      </c>
      <c r="Z1" s="32" t="s">
        <v>133</v>
      </c>
      <c r="AA1" s="32" t="s">
        <v>134</v>
      </c>
      <c r="AB1" s="32" t="s">
        <v>135</v>
      </c>
      <c r="AC1" s="32" t="s">
        <v>136</v>
      </c>
      <c r="AD1" s="32" t="s">
        <v>137</v>
      </c>
      <c r="AE1" s="32" t="s">
        <v>138</v>
      </c>
    </row>
    <row r="2" spans="1:33" x14ac:dyDescent="0.25">
      <c r="A2" s="1">
        <v>45331</v>
      </c>
      <c r="B2" t="s">
        <v>20</v>
      </c>
      <c r="C2">
        <v>2</v>
      </c>
      <c r="D2" t="s">
        <v>21</v>
      </c>
      <c r="E2" t="s">
        <v>22</v>
      </c>
      <c r="F2" t="s">
        <v>23</v>
      </c>
      <c r="G2" t="s">
        <v>24</v>
      </c>
      <c r="H2" t="s">
        <v>25</v>
      </c>
      <c r="I2">
        <v>2</v>
      </c>
      <c r="J2">
        <v>11.35</v>
      </c>
      <c r="K2">
        <v>5</v>
      </c>
      <c r="L2">
        <v>465.16</v>
      </c>
      <c r="M2">
        <v>83</v>
      </c>
      <c r="N2" t="s">
        <v>26</v>
      </c>
      <c r="O2">
        <v>30</v>
      </c>
      <c r="P2">
        <v>306</v>
      </c>
      <c r="Q2" s="27" t="str">
        <f>IF(D2=Pivot!$AS$4,R1, "")</f>
        <v/>
      </c>
      <c r="R2" t="s">
        <v>27</v>
      </c>
      <c r="S2" s="5">
        <v>9.8000000000000007</v>
      </c>
      <c r="T2">
        <v>78.400000000000006</v>
      </c>
      <c r="U2">
        <v>643.47</v>
      </c>
      <c r="V2" s="27">
        <f t="shared" ref="V2:V65" si="0">K2*I2*J2</f>
        <v>113.5</v>
      </c>
      <c r="W2">
        <f t="shared" ref="W2:W65" si="1">U2+L2</f>
        <v>1108.6300000000001</v>
      </c>
      <c r="X2" s="33" t="str">
        <f t="shared" ref="X2:X65" si="2">_xlfn.IFS(J2&lt;6,"High Quality",J2&lt;=15,"Mid Quality",J2&gt;15,"Low Quality")</f>
        <v>Mid Quality</v>
      </c>
      <c r="Y2" s="27" t="str">
        <f t="shared" ref="Y2:Y65" si="3">_xlfn.IFS(J2&lt;=0,"0",J2&lt;=2,"2",J2&lt;=4,"4",J2&lt;=6,"6",J2&lt;=8,"8",J2&lt;=10,"10",J2&lt;=12,"12",J2&lt;=14,"14",J2&lt;=16,"16",J2&lt;=16,"16",J2&lt;=18,"18",J2&lt;=20,"20")</f>
        <v>12</v>
      </c>
      <c r="Z2" s="27">
        <v>0</v>
      </c>
      <c r="AA2" s="27">
        <f>COUNTIF(J:J,"&lt;=0")</f>
        <v>0</v>
      </c>
      <c r="AB2" s="27">
        <f>_xlfn.NORM.DIST(Table2[[#This Row],[bins]],$AD$2,$AE$2,FALSE)</f>
        <v>1.2441598592351144E-2</v>
      </c>
      <c r="AC2" s="27">
        <v>0.05</v>
      </c>
      <c r="AD2" s="27">
        <f>AVERAGE(J:J)</f>
        <v>10.336579999999996</v>
      </c>
      <c r="AE2" s="27">
        <f>_xlfn.STDEV.P(J:J)</f>
        <v>5.5065487833669513</v>
      </c>
    </row>
    <row r="3" spans="1:33" x14ac:dyDescent="0.25">
      <c r="A3" s="1">
        <v>45330</v>
      </c>
      <c r="B3" t="s">
        <v>28</v>
      </c>
      <c r="C3">
        <v>1</v>
      </c>
      <c r="D3" t="s">
        <v>29</v>
      </c>
      <c r="E3" t="s">
        <v>30</v>
      </c>
      <c r="F3" t="s">
        <v>31</v>
      </c>
      <c r="G3" t="s">
        <v>32</v>
      </c>
      <c r="H3" t="s">
        <v>33</v>
      </c>
      <c r="I3">
        <v>5</v>
      </c>
      <c r="J3">
        <v>6.13</v>
      </c>
      <c r="K3">
        <v>4</v>
      </c>
      <c r="L3">
        <v>305.81</v>
      </c>
      <c r="M3">
        <v>38</v>
      </c>
      <c r="N3" t="s">
        <v>26</v>
      </c>
      <c r="O3">
        <v>41</v>
      </c>
      <c r="P3">
        <v>785</v>
      </c>
      <c r="Q3" s="27" t="str">
        <f>IF(D3=Pivot!$AS$4,R2, "")</f>
        <v/>
      </c>
      <c r="R3" t="s">
        <v>34</v>
      </c>
      <c r="S3" s="5">
        <v>5.22</v>
      </c>
      <c r="T3">
        <v>84.56</v>
      </c>
      <c r="U3">
        <v>193.68</v>
      </c>
      <c r="V3" s="27">
        <f t="shared" si="0"/>
        <v>122.6</v>
      </c>
      <c r="W3">
        <f t="shared" si="1"/>
        <v>499.49</v>
      </c>
      <c r="X3" s="33" t="str">
        <f t="shared" si="2"/>
        <v>Mid Quality</v>
      </c>
      <c r="Y3" s="27" t="str">
        <f t="shared" si="3"/>
        <v>8</v>
      </c>
      <c r="Z3" s="27">
        <v>2</v>
      </c>
      <c r="AA3" s="27">
        <f>COUNTIFS(J:J,"&gt;0",J:J,"&lt;=2")</f>
        <v>55</v>
      </c>
      <c r="AB3" s="27">
        <f>_xlfn.NORM.DIST(Table2[[#This Row],[bins]],$AD$2,$AE$2,FALSE)</f>
        <v>2.3031727912103513E-2</v>
      </c>
      <c r="AC3" s="27">
        <v>0.05</v>
      </c>
    </row>
    <row r="4" spans="1:33" x14ac:dyDescent="0.25">
      <c r="A4" s="1">
        <v>45301</v>
      </c>
      <c r="B4" t="s">
        <v>35</v>
      </c>
      <c r="C4">
        <v>2</v>
      </c>
      <c r="D4" t="s">
        <v>36</v>
      </c>
      <c r="E4" t="s">
        <v>37</v>
      </c>
      <c r="F4" t="s">
        <v>38</v>
      </c>
      <c r="G4" t="s">
        <v>39</v>
      </c>
      <c r="H4" t="s">
        <v>40</v>
      </c>
      <c r="I4">
        <v>3</v>
      </c>
      <c r="J4">
        <v>14.35</v>
      </c>
      <c r="K4">
        <v>5</v>
      </c>
      <c r="L4">
        <v>213.68</v>
      </c>
      <c r="M4">
        <v>74</v>
      </c>
      <c r="N4" t="s">
        <v>41</v>
      </c>
      <c r="O4">
        <v>38</v>
      </c>
      <c r="P4">
        <v>795</v>
      </c>
      <c r="Q4" s="27" t="str">
        <f>IF(D4=Pivot!$AS$4,R3, "")</f>
        <v/>
      </c>
      <c r="R4" t="s">
        <v>42</v>
      </c>
      <c r="S4" s="5">
        <v>4.78</v>
      </c>
      <c r="T4">
        <v>87.44</v>
      </c>
      <c r="U4">
        <v>263.54000000000002</v>
      </c>
      <c r="V4" s="27">
        <f t="shared" si="0"/>
        <v>215.25</v>
      </c>
      <c r="W4">
        <f t="shared" si="1"/>
        <v>477.22</v>
      </c>
      <c r="X4" s="33" t="str">
        <f t="shared" si="2"/>
        <v>Mid Quality</v>
      </c>
      <c r="Y4" s="27" t="str">
        <f t="shared" si="3"/>
        <v>16</v>
      </c>
      <c r="Z4" s="27">
        <v>4</v>
      </c>
      <c r="AA4" s="27">
        <f>COUNTIFS(J:J,"&gt;2",J:J,"&lt;=4")</f>
        <v>112</v>
      </c>
      <c r="AB4" s="27">
        <f>_xlfn.NORM.DIST(Table2[[#This Row],[bins]],$AD$2,$AE$2,FALSE)</f>
        <v>3.7366807952180968E-2</v>
      </c>
      <c r="AC4" s="27">
        <v>0.05</v>
      </c>
    </row>
    <row r="5" spans="1:33" x14ac:dyDescent="0.25">
      <c r="A5" s="1">
        <v>45551</v>
      </c>
      <c r="B5" t="s">
        <v>28</v>
      </c>
      <c r="C5">
        <v>2</v>
      </c>
      <c r="D5" t="s">
        <v>43</v>
      </c>
      <c r="E5" t="s">
        <v>22</v>
      </c>
      <c r="F5" t="s">
        <v>44</v>
      </c>
      <c r="G5" t="s">
        <v>32</v>
      </c>
      <c r="H5" t="s">
        <v>25</v>
      </c>
      <c r="I5">
        <v>5</v>
      </c>
      <c r="J5">
        <v>13.52</v>
      </c>
      <c r="K5">
        <v>8</v>
      </c>
      <c r="L5">
        <v>390.44</v>
      </c>
      <c r="M5">
        <v>21</v>
      </c>
      <c r="N5" t="s">
        <v>45</v>
      </c>
      <c r="O5">
        <v>29</v>
      </c>
      <c r="P5">
        <v>364</v>
      </c>
      <c r="Q5" s="27" t="str">
        <f>IF(D5=Pivot!$AS$4,R4, "")</f>
        <v/>
      </c>
      <c r="R5" t="s">
        <v>46</v>
      </c>
      <c r="S5" s="5">
        <v>7.97</v>
      </c>
      <c r="T5">
        <v>79.06</v>
      </c>
      <c r="U5">
        <v>136.65</v>
      </c>
      <c r="V5" s="27">
        <f t="shared" si="0"/>
        <v>540.79999999999995</v>
      </c>
      <c r="W5">
        <f t="shared" si="1"/>
        <v>527.09</v>
      </c>
      <c r="X5" s="33" t="str">
        <f t="shared" si="2"/>
        <v>Mid Quality</v>
      </c>
      <c r="Y5" s="27" t="str">
        <f t="shared" si="3"/>
        <v>14</v>
      </c>
      <c r="Z5" s="27">
        <v>6</v>
      </c>
      <c r="AA5" s="27">
        <f>COUNTIFS(J:J,"&gt;4",J:J,"&lt;=6")</f>
        <v>106</v>
      </c>
      <c r="AB5" s="27">
        <f>_xlfn.NORM.DIST(Table2[[#This Row],[bins]],$AD$2,$AE$2,FALSE)</f>
        <v>5.3131811279245551E-2</v>
      </c>
      <c r="AC5" s="27">
        <v>0.05</v>
      </c>
    </row>
    <row r="6" spans="1:33" x14ac:dyDescent="0.25">
      <c r="A6" s="1">
        <v>45307</v>
      </c>
      <c r="B6" t="s">
        <v>28</v>
      </c>
      <c r="C6">
        <v>3</v>
      </c>
      <c r="D6" t="s">
        <v>47</v>
      </c>
      <c r="E6" t="s">
        <v>30</v>
      </c>
      <c r="F6" t="s">
        <v>31</v>
      </c>
      <c r="G6" t="s">
        <v>32</v>
      </c>
      <c r="H6" t="s">
        <v>48</v>
      </c>
      <c r="I6">
        <v>5</v>
      </c>
      <c r="J6">
        <v>19.79</v>
      </c>
      <c r="K6">
        <v>4</v>
      </c>
      <c r="L6">
        <v>165.81</v>
      </c>
      <c r="M6">
        <v>24</v>
      </c>
      <c r="N6" t="s">
        <v>49</v>
      </c>
      <c r="O6">
        <v>43</v>
      </c>
      <c r="P6">
        <v>857</v>
      </c>
      <c r="Q6" s="27" t="str">
        <f>IF(D6=Pivot!$AS$4,R5, "")</f>
        <v/>
      </c>
      <c r="R6" t="s">
        <v>27</v>
      </c>
      <c r="S6" s="5">
        <v>5.0199999999999996</v>
      </c>
      <c r="T6">
        <v>84.96</v>
      </c>
      <c r="U6">
        <v>66.319999999999993</v>
      </c>
      <c r="V6" s="27">
        <f t="shared" si="0"/>
        <v>395.79999999999995</v>
      </c>
      <c r="W6">
        <f t="shared" si="1"/>
        <v>232.13</v>
      </c>
      <c r="X6" s="33" t="str">
        <f t="shared" si="2"/>
        <v>Low Quality</v>
      </c>
      <c r="Y6" s="27" t="str">
        <f t="shared" si="3"/>
        <v>20</v>
      </c>
      <c r="Z6" s="27">
        <v>8</v>
      </c>
      <c r="AA6" s="27">
        <f>COUNTIFS(J:J,"&gt;6",J:J,"&lt;=8")</f>
        <v>110</v>
      </c>
      <c r="AB6" s="27">
        <f>_xlfn.NORM.DIST(Table2[[#This Row],[bins]],$AD$2,$AE$2,FALSE)</f>
        <v>6.6211341260927217E-2</v>
      </c>
      <c r="AC6" s="27">
        <v>0.05</v>
      </c>
    </row>
    <row r="7" spans="1:33" x14ac:dyDescent="0.25">
      <c r="A7" s="1">
        <v>45589</v>
      </c>
      <c r="B7" t="s">
        <v>50</v>
      </c>
      <c r="C7">
        <v>2</v>
      </c>
      <c r="D7" t="s">
        <v>47</v>
      </c>
      <c r="E7" t="s">
        <v>51</v>
      </c>
      <c r="F7" t="s">
        <v>23</v>
      </c>
      <c r="G7" t="s">
        <v>52</v>
      </c>
      <c r="H7" t="s">
        <v>25</v>
      </c>
      <c r="I7">
        <v>1</v>
      </c>
      <c r="J7">
        <v>6.04</v>
      </c>
      <c r="K7">
        <v>9</v>
      </c>
      <c r="L7">
        <v>362.08</v>
      </c>
      <c r="M7">
        <v>77</v>
      </c>
      <c r="N7" t="s">
        <v>41</v>
      </c>
      <c r="O7">
        <v>39</v>
      </c>
      <c r="P7">
        <v>135</v>
      </c>
      <c r="Q7" s="27" t="str">
        <f>IF(D7=Pivot!$AS$4,R6, "")</f>
        <v/>
      </c>
      <c r="R7" t="s">
        <v>42</v>
      </c>
      <c r="S7" s="5">
        <v>28.89</v>
      </c>
      <c r="T7">
        <v>41.22</v>
      </c>
      <c r="U7">
        <v>464.67</v>
      </c>
      <c r="V7" s="27">
        <f t="shared" si="0"/>
        <v>54.36</v>
      </c>
      <c r="W7">
        <f t="shared" si="1"/>
        <v>826.75</v>
      </c>
      <c r="X7" s="33" t="str">
        <f t="shared" si="2"/>
        <v>Mid Quality</v>
      </c>
      <c r="Y7" s="27" t="str">
        <f t="shared" si="3"/>
        <v>8</v>
      </c>
      <c r="Z7" s="27">
        <v>10</v>
      </c>
      <c r="AA7" s="27">
        <f>COUNTIFS(J:J,"&gt;8",J:J,"&lt;=10")</f>
        <v>106</v>
      </c>
      <c r="AB7" s="27">
        <f>_xlfn.NORM.DIST(Table2[[#This Row],[bins]],$AD$2,$AE$2,FALSE)</f>
        <v>7.2313485099237046E-2</v>
      </c>
      <c r="AC7" s="27">
        <v>0.05</v>
      </c>
    </row>
    <row r="8" spans="1:33" x14ac:dyDescent="0.25">
      <c r="A8" s="1">
        <v>45588</v>
      </c>
      <c r="B8" t="s">
        <v>35</v>
      </c>
      <c r="C8">
        <v>3</v>
      </c>
      <c r="D8" t="s">
        <v>53</v>
      </c>
      <c r="E8" t="s">
        <v>22</v>
      </c>
      <c r="F8" t="s">
        <v>54</v>
      </c>
      <c r="G8" t="s">
        <v>24</v>
      </c>
      <c r="H8" t="s">
        <v>25</v>
      </c>
      <c r="I8">
        <v>1</v>
      </c>
      <c r="J8">
        <v>13.77</v>
      </c>
      <c r="K8">
        <v>7</v>
      </c>
      <c r="L8">
        <v>67.87</v>
      </c>
      <c r="M8">
        <v>63</v>
      </c>
      <c r="N8" t="s">
        <v>55</v>
      </c>
      <c r="O8">
        <v>4</v>
      </c>
      <c r="P8">
        <v>472</v>
      </c>
      <c r="Q8" s="27" t="str">
        <f>IF(D8=Pivot!$AS$4,R7, "")</f>
        <v/>
      </c>
      <c r="R8" t="s">
        <v>46</v>
      </c>
      <c r="S8" s="5">
        <v>0.85</v>
      </c>
      <c r="T8">
        <v>97.3</v>
      </c>
      <c r="U8">
        <v>71.260000000000005</v>
      </c>
      <c r="V8" s="27">
        <f t="shared" si="0"/>
        <v>96.39</v>
      </c>
      <c r="W8">
        <f t="shared" si="1"/>
        <v>139.13</v>
      </c>
      <c r="X8" s="33" t="str">
        <f t="shared" si="2"/>
        <v>Mid Quality</v>
      </c>
      <c r="Y8" s="27" t="str">
        <f t="shared" si="3"/>
        <v>14</v>
      </c>
      <c r="Z8" s="27">
        <v>12</v>
      </c>
      <c r="AA8" s="27">
        <f>COUNTIFS(J:J,"&gt;10",J:J,"&lt;=12")</f>
        <v>118</v>
      </c>
      <c r="AB8" s="27">
        <f>_xlfn.NORM.DIST(Table2[[#This Row],[bins]],$AD$2,$AE$2,FALSE)</f>
        <v>6.9217409621967027E-2</v>
      </c>
      <c r="AC8" s="27">
        <v>0.05</v>
      </c>
      <c r="AG8" t="s">
        <v>149</v>
      </c>
    </row>
    <row r="9" spans="1:33" x14ac:dyDescent="0.25">
      <c r="A9" s="1">
        <v>45499</v>
      </c>
      <c r="B9" t="s">
        <v>35</v>
      </c>
      <c r="C9">
        <v>2</v>
      </c>
      <c r="D9" t="s">
        <v>53</v>
      </c>
      <c r="E9" t="s">
        <v>30</v>
      </c>
      <c r="F9" t="s">
        <v>56</v>
      </c>
      <c r="G9" t="s">
        <v>32</v>
      </c>
      <c r="H9" t="s">
        <v>40</v>
      </c>
      <c r="I9">
        <v>1</v>
      </c>
      <c r="J9">
        <v>1.99</v>
      </c>
      <c r="K9">
        <v>7</v>
      </c>
      <c r="L9">
        <v>427.73</v>
      </c>
      <c r="M9">
        <v>73</v>
      </c>
      <c r="N9" t="s">
        <v>49</v>
      </c>
      <c r="O9">
        <v>5</v>
      </c>
      <c r="P9">
        <v>587</v>
      </c>
      <c r="Q9" s="27" t="str">
        <f>IF(D9=Pivot!$AS$4,R8, "")</f>
        <v/>
      </c>
      <c r="R9" t="s">
        <v>57</v>
      </c>
      <c r="S9" s="5">
        <v>0.85</v>
      </c>
      <c r="T9">
        <v>97.3</v>
      </c>
      <c r="U9">
        <v>520.4</v>
      </c>
      <c r="V9" s="27">
        <f t="shared" si="0"/>
        <v>13.93</v>
      </c>
      <c r="W9">
        <f t="shared" si="1"/>
        <v>948.13</v>
      </c>
      <c r="X9" s="33" t="str">
        <f t="shared" si="2"/>
        <v>High Quality</v>
      </c>
      <c r="Y9" s="27" t="str">
        <f t="shared" si="3"/>
        <v>2</v>
      </c>
      <c r="Z9" s="27">
        <v>14</v>
      </c>
      <c r="AA9" s="27">
        <f>COUNTIFS(J:J,"&gt;12",J:J,"&lt;=14")</f>
        <v>90</v>
      </c>
      <c r="AB9" s="27">
        <f>_xlfn.NORM.DIST(Table2[[#This Row],[bins]],$AD$2,$AE$2,FALSE)</f>
        <v>5.8065816170316614E-2</v>
      </c>
      <c r="AC9" s="27">
        <v>0.05</v>
      </c>
      <c r="AG9" t="s">
        <v>150</v>
      </c>
    </row>
    <row r="10" spans="1:33" x14ac:dyDescent="0.25">
      <c r="A10" s="1">
        <v>45400</v>
      </c>
      <c r="B10" t="s">
        <v>35</v>
      </c>
      <c r="C10">
        <v>2</v>
      </c>
      <c r="D10" t="s">
        <v>58</v>
      </c>
      <c r="E10" t="s">
        <v>51</v>
      </c>
      <c r="F10" t="s">
        <v>59</v>
      </c>
      <c r="G10" t="s">
        <v>60</v>
      </c>
      <c r="H10" t="s">
        <v>61</v>
      </c>
      <c r="I10">
        <v>5</v>
      </c>
      <c r="J10">
        <v>3.16</v>
      </c>
      <c r="K10">
        <v>8</v>
      </c>
      <c r="L10">
        <v>251.68</v>
      </c>
      <c r="M10">
        <v>37</v>
      </c>
      <c r="N10" t="s">
        <v>55</v>
      </c>
      <c r="O10">
        <v>4</v>
      </c>
      <c r="P10">
        <v>358</v>
      </c>
      <c r="Q10" s="27" t="str">
        <f>IF(D10=Pivot!$AS$4,R9, "")</f>
        <v/>
      </c>
      <c r="R10" t="s">
        <v>42</v>
      </c>
      <c r="S10" s="5">
        <v>1.1200000000000001</v>
      </c>
      <c r="T10">
        <v>92.76</v>
      </c>
      <c r="U10">
        <v>155.19999999999999</v>
      </c>
      <c r="V10" s="27">
        <f t="shared" si="0"/>
        <v>126.4</v>
      </c>
      <c r="W10">
        <f t="shared" si="1"/>
        <v>406.88</v>
      </c>
      <c r="X10" s="33" t="str">
        <f t="shared" si="2"/>
        <v>High Quality</v>
      </c>
      <c r="Y10" s="27" t="str">
        <f t="shared" si="3"/>
        <v>4</v>
      </c>
      <c r="Z10" s="27">
        <v>16</v>
      </c>
      <c r="AA10" s="27">
        <f>COUNTIFS(J:J,"&gt;14",J:J,"&lt;=16")</f>
        <v>89</v>
      </c>
      <c r="AB10" s="27">
        <f>_xlfn.NORM.DIST(Table2[[#This Row],[bins]],$AD$2,$AE$2,FALSE)</f>
        <v>4.2690856703023423E-2</v>
      </c>
      <c r="AC10" s="27">
        <v>0.05</v>
      </c>
      <c r="AG10" t="s">
        <v>151</v>
      </c>
    </row>
    <row r="11" spans="1:33" x14ac:dyDescent="0.25">
      <c r="A11" s="1">
        <v>45310</v>
      </c>
      <c r="B11" t="s">
        <v>28</v>
      </c>
      <c r="C11">
        <v>2</v>
      </c>
      <c r="D11" t="s">
        <v>58</v>
      </c>
      <c r="E11" t="s">
        <v>37</v>
      </c>
      <c r="F11" t="s">
        <v>62</v>
      </c>
      <c r="G11" t="s">
        <v>24</v>
      </c>
      <c r="H11" t="s">
        <v>61</v>
      </c>
      <c r="I11">
        <v>2</v>
      </c>
      <c r="J11">
        <v>1.07</v>
      </c>
      <c r="K11">
        <v>6</v>
      </c>
      <c r="L11">
        <v>336.51</v>
      </c>
      <c r="M11">
        <v>82</v>
      </c>
      <c r="N11" t="s">
        <v>63</v>
      </c>
      <c r="O11">
        <v>36</v>
      </c>
      <c r="P11">
        <v>630</v>
      </c>
      <c r="Q11" s="27" t="str">
        <f>IF(D11=Pivot!$AS$4,R10, "")</f>
        <v/>
      </c>
      <c r="R11" t="s">
        <v>57</v>
      </c>
      <c r="S11" s="5">
        <v>5.71</v>
      </c>
      <c r="T11">
        <v>86.58</v>
      </c>
      <c r="U11">
        <v>459.9</v>
      </c>
      <c r="V11" s="27">
        <f t="shared" si="0"/>
        <v>12.84</v>
      </c>
      <c r="W11">
        <f t="shared" si="1"/>
        <v>796.41</v>
      </c>
      <c r="X11" s="33" t="str">
        <f t="shared" si="2"/>
        <v>High Quality</v>
      </c>
      <c r="Y11" s="27" t="str">
        <f t="shared" si="3"/>
        <v>2</v>
      </c>
      <c r="Z11" s="27">
        <v>18</v>
      </c>
      <c r="AA11" s="27">
        <f>COUNTIFS(J:J,"&gt;16",J:J,"&lt;=18")</f>
        <v>105</v>
      </c>
      <c r="AB11" s="27">
        <f>_xlfn.NORM.DIST(Table2[[#This Row],[bins]],$AD$2,$AE$2,FALSE)</f>
        <v>2.7507957723653952E-2</v>
      </c>
      <c r="AC11" s="27">
        <v>0.05</v>
      </c>
    </row>
    <row r="12" spans="1:33" x14ac:dyDescent="0.25">
      <c r="A12" s="1">
        <v>45574</v>
      </c>
      <c r="B12" t="s">
        <v>20</v>
      </c>
      <c r="C12">
        <v>3</v>
      </c>
      <c r="D12" t="s">
        <v>29</v>
      </c>
      <c r="E12" t="s">
        <v>37</v>
      </c>
      <c r="F12" t="s">
        <v>56</v>
      </c>
      <c r="G12" t="s">
        <v>39</v>
      </c>
      <c r="H12" t="s">
        <v>61</v>
      </c>
      <c r="I12">
        <v>3</v>
      </c>
      <c r="J12">
        <v>19.989999999999998</v>
      </c>
      <c r="K12">
        <v>8</v>
      </c>
      <c r="L12">
        <v>149.56</v>
      </c>
      <c r="M12">
        <v>21</v>
      </c>
      <c r="N12" t="s">
        <v>55</v>
      </c>
      <c r="O12">
        <v>45</v>
      </c>
      <c r="P12">
        <v>122</v>
      </c>
      <c r="Q12" s="27" t="str">
        <f>IF(D12=Pivot!$AS$4,R11, "")</f>
        <v/>
      </c>
      <c r="R12" t="s">
        <v>34</v>
      </c>
      <c r="S12" s="5">
        <v>36.89</v>
      </c>
      <c r="T12">
        <v>23.22</v>
      </c>
      <c r="U12">
        <v>52.35</v>
      </c>
      <c r="V12" s="27">
        <f t="shared" si="0"/>
        <v>479.76</v>
      </c>
      <c r="W12">
        <f t="shared" si="1"/>
        <v>201.91</v>
      </c>
      <c r="X12" s="33" t="str">
        <f t="shared" si="2"/>
        <v>Low Quality</v>
      </c>
      <c r="Y12" s="27" t="str">
        <f t="shared" si="3"/>
        <v>20</v>
      </c>
      <c r="Z12" s="27">
        <v>20</v>
      </c>
      <c r="AA12" s="27">
        <f>COUNTIFS(J:J,"&gt;18",J:J,"&lt;=20")</f>
        <v>109</v>
      </c>
      <c r="AB12" s="27">
        <f>_xlfn.NORM.DIST(Table2[[#This Row],[bins]],$AD$2,$AE$2,FALSE)</f>
        <v>1.5534274282897638E-2</v>
      </c>
      <c r="AC12" s="27">
        <v>0.05</v>
      </c>
    </row>
    <row r="13" spans="1:33" x14ac:dyDescent="0.25">
      <c r="A13" s="1">
        <v>45425</v>
      </c>
      <c r="B13" t="s">
        <v>35</v>
      </c>
      <c r="C13">
        <v>3</v>
      </c>
      <c r="D13" t="s">
        <v>64</v>
      </c>
      <c r="E13" t="s">
        <v>37</v>
      </c>
      <c r="F13" t="s">
        <v>31</v>
      </c>
      <c r="G13" t="s">
        <v>52</v>
      </c>
      <c r="H13" t="s">
        <v>25</v>
      </c>
      <c r="I13">
        <v>3</v>
      </c>
      <c r="J13">
        <v>16.239999999999998</v>
      </c>
      <c r="K13">
        <v>3</v>
      </c>
      <c r="L13">
        <v>354.68</v>
      </c>
      <c r="M13">
        <v>61</v>
      </c>
      <c r="N13" t="s">
        <v>49</v>
      </c>
      <c r="O13">
        <v>16</v>
      </c>
      <c r="P13">
        <v>203</v>
      </c>
      <c r="Q13" s="27" t="str">
        <f>IF(D13=Pivot!$AS$4,R12, "")</f>
        <v/>
      </c>
      <c r="R13" t="s">
        <v>57</v>
      </c>
      <c r="S13" s="5">
        <v>7.88</v>
      </c>
      <c r="T13">
        <v>81.239999999999995</v>
      </c>
      <c r="U13">
        <v>360.59</v>
      </c>
      <c r="V13" s="27">
        <f t="shared" si="0"/>
        <v>146.16</v>
      </c>
      <c r="W13">
        <f t="shared" si="1"/>
        <v>715.27</v>
      </c>
      <c r="X13" s="33" t="str">
        <f t="shared" si="2"/>
        <v>Low Quality</v>
      </c>
      <c r="Y13" s="27" t="str">
        <f t="shared" si="3"/>
        <v>18</v>
      </c>
    </row>
    <row r="14" spans="1:33" x14ac:dyDescent="0.25">
      <c r="A14" s="1">
        <v>45570</v>
      </c>
      <c r="B14" t="s">
        <v>65</v>
      </c>
      <c r="C14">
        <v>1</v>
      </c>
      <c r="D14" t="s">
        <v>53</v>
      </c>
      <c r="E14" t="s">
        <v>37</v>
      </c>
      <c r="F14" t="s">
        <v>59</v>
      </c>
      <c r="G14" t="s">
        <v>39</v>
      </c>
      <c r="H14" t="s">
        <v>40</v>
      </c>
      <c r="I14">
        <v>2</v>
      </c>
      <c r="J14">
        <v>15.95</v>
      </c>
      <c r="K14">
        <v>1</v>
      </c>
      <c r="L14">
        <v>397.51</v>
      </c>
      <c r="M14">
        <v>87</v>
      </c>
      <c r="N14" t="s">
        <v>63</v>
      </c>
      <c r="O14">
        <v>25</v>
      </c>
      <c r="P14">
        <v>340</v>
      </c>
      <c r="Q14" s="27" t="str">
        <f>IF(D14=Pivot!$AS$4,R13, "")</f>
        <v/>
      </c>
      <c r="R14" t="s">
        <v>42</v>
      </c>
      <c r="S14" s="5">
        <v>7.35</v>
      </c>
      <c r="T14">
        <v>83.3</v>
      </c>
      <c r="U14">
        <v>576.39</v>
      </c>
      <c r="V14" s="27">
        <f t="shared" si="0"/>
        <v>31.9</v>
      </c>
      <c r="W14">
        <f t="shared" si="1"/>
        <v>973.9</v>
      </c>
      <c r="X14" s="33" t="str">
        <f t="shared" si="2"/>
        <v>Low Quality</v>
      </c>
      <c r="Y14" s="27" t="str">
        <f t="shared" si="3"/>
        <v>16</v>
      </c>
    </row>
    <row r="15" spans="1:33" x14ac:dyDescent="0.25">
      <c r="A15" s="1">
        <v>45568</v>
      </c>
      <c r="B15" t="s">
        <v>28</v>
      </c>
      <c r="C15">
        <v>3</v>
      </c>
      <c r="D15" t="s">
        <v>66</v>
      </c>
      <c r="E15" t="s">
        <v>67</v>
      </c>
      <c r="F15" t="s">
        <v>68</v>
      </c>
      <c r="G15" t="s">
        <v>39</v>
      </c>
      <c r="H15" t="s">
        <v>33</v>
      </c>
      <c r="I15">
        <v>2</v>
      </c>
      <c r="J15">
        <v>10.68</v>
      </c>
      <c r="K15">
        <v>6</v>
      </c>
      <c r="L15">
        <v>262.95</v>
      </c>
      <c r="M15">
        <v>5</v>
      </c>
      <c r="N15" t="s">
        <v>49</v>
      </c>
      <c r="O15">
        <v>14</v>
      </c>
      <c r="P15">
        <v>972</v>
      </c>
      <c r="Q15" s="27" t="str">
        <f>IF(D15=Pivot!$AS$4,R14, "")</f>
        <v/>
      </c>
      <c r="R15" t="s">
        <v>57</v>
      </c>
      <c r="S15" s="5">
        <v>1.44</v>
      </c>
      <c r="T15">
        <v>95.12</v>
      </c>
      <c r="U15">
        <v>21.91</v>
      </c>
      <c r="V15" s="27">
        <f t="shared" si="0"/>
        <v>128.16</v>
      </c>
      <c r="W15">
        <f t="shared" si="1"/>
        <v>284.86</v>
      </c>
      <c r="X15" s="33" t="str">
        <f t="shared" si="2"/>
        <v>Mid Quality</v>
      </c>
      <c r="Y15" s="27" t="str">
        <f t="shared" si="3"/>
        <v>12</v>
      </c>
    </row>
    <row r="16" spans="1:33" x14ac:dyDescent="0.25">
      <c r="A16" s="1">
        <v>45533</v>
      </c>
      <c r="B16" t="s">
        <v>50</v>
      </c>
      <c r="C16">
        <v>3</v>
      </c>
      <c r="D16" t="s">
        <v>58</v>
      </c>
      <c r="E16" t="s">
        <v>22</v>
      </c>
      <c r="F16" t="s">
        <v>69</v>
      </c>
      <c r="G16" t="s">
        <v>24</v>
      </c>
      <c r="H16" t="s">
        <v>25</v>
      </c>
      <c r="I16">
        <v>3</v>
      </c>
      <c r="J16">
        <v>6.7</v>
      </c>
      <c r="K16">
        <v>1</v>
      </c>
      <c r="L16">
        <v>327.98</v>
      </c>
      <c r="M16">
        <v>17</v>
      </c>
      <c r="N16" t="s">
        <v>26</v>
      </c>
      <c r="O16">
        <v>11</v>
      </c>
      <c r="P16">
        <v>815</v>
      </c>
      <c r="Q16" s="27" t="str">
        <f>IF(D16=Pivot!$AS$4,R15, "")</f>
        <v/>
      </c>
      <c r="R16" t="s">
        <v>27</v>
      </c>
      <c r="S16" s="5">
        <v>1.35</v>
      </c>
      <c r="T16">
        <v>94.3</v>
      </c>
      <c r="U16">
        <v>92.93</v>
      </c>
      <c r="V16" s="27">
        <f t="shared" si="0"/>
        <v>20.100000000000001</v>
      </c>
      <c r="W16">
        <f t="shared" si="1"/>
        <v>420.91</v>
      </c>
      <c r="X16" s="33" t="str">
        <f t="shared" si="2"/>
        <v>Mid Quality</v>
      </c>
      <c r="Y16" s="27" t="str">
        <f t="shared" si="3"/>
        <v>8</v>
      </c>
    </row>
    <row r="17" spans="1:25" x14ac:dyDescent="0.25">
      <c r="A17" s="1">
        <v>45368</v>
      </c>
      <c r="B17" t="s">
        <v>20</v>
      </c>
      <c r="C17">
        <v>3</v>
      </c>
      <c r="D17" t="s">
        <v>47</v>
      </c>
      <c r="E17" t="s">
        <v>22</v>
      </c>
      <c r="F17" t="s">
        <v>70</v>
      </c>
      <c r="G17" t="s">
        <v>39</v>
      </c>
      <c r="H17" t="s">
        <v>25</v>
      </c>
      <c r="I17">
        <v>4</v>
      </c>
      <c r="J17">
        <v>3.87</v>
      </c>
      <c r="K17">
        <v>9</v>
      </c>
      <c r="L17">
        <v>255.35</v>
      </c>
      <c r="M17">
        <v>31</v>
      </c>
      <c r="N17" t="s">
        <v>49</v>
      </c>
      <c r="O17">
        <v>29</v>
      </c>
      <c r="P17">
        <v>352</v>
      </c>
      <c r="Q17" s="27" t="str">
        <f>IF(D17=Pivot!$AS$4,R16, "")</f>
        <v/>
      </c>
      <c r="R17" t="s">
        <v>42</v>
      </c>
      <c r="S17" s="5">
        <v>8.24</v>
      </c>
      <c r="T17">
        <v>79.52</v>
      </c>
      <c r="U17">
        <v>131.93</v>
      </c>
      <c r="V17" s="27">
        <f t="shared" si="0"/>
        <v>139.32</v>
      </c>
      <c r="W17">
        <f t="shared" si="1"/>
        <v>387.28</v>
      </c>
      <c r="X17" s="33" t="str">
        <f t="shared" si="2"/>
        <v>High Quality</v>
      </c>
      <c r="Y17" s="27" t="str">
        <f t="shared" si="3"/>
        <v>4</v>
      </c>
    </row>
    <row r="18" spans="1:25" x14ac:dyDescent="0.25">
      <c r="A18" s="1">
        <v>45479</v>
      </c>
      <c r="B18" t="s">
        <v>65</v>
      </c>
      <c r="C18">
        <v>3</v>
      </c>
      <c r="D18" t="s">
        <v>43</v>
      </c>
      <c r="E18" t="s">
        <v>67</v>
      </c>
      <c r="F18" t="s">
        <v>38</v>
      </c>
      <c r="G18" t="s">
        <v>32</v>
      </c>
      <c r="H18" t="s">
        <v>40</v>
      </c>
      <c r="I18">
        <v>1</v>
      </c>
      <c r="J18">
        <v>6.41</v>
      </c>
      <c r="K18">
        <v>2</v>
      </c>
      <c r="L18">
        <v>452.34</v>
      </c>
      <c r="M18">
        <v>74</v>
      </c>
      <c r="N18" t="s">
        <v>63</v>
      </c>
      <c r="O18">
        <v>34</v>
      </c>
      <c r="P18">
        <v>241</v>
      </c>
      <c r="Q18" s="27" t="str">
        <f>IF(D18=Pivot!$AS$4,R17, "")</f>
        <v/>
      </c>
      <c r="R18" t="s">
        <v>46</v>
      </c>
      <c r="S18" s="5">
        <v>14.11</v>
      </c>
      <c r="T18">
        <v>70.78</v>
      </c>
      <c r="U18">
        <v>557.89</v>
      </c>
      <c r="V18" s="27">
        <f t="shared" si="0"/>
        <v>12.82</v>
      </c>
      <c r="W18">
        <f t="shared" si="1"/>
        <v>1010.23</v>
      </c>
      <c r="X18" s="33" t="str">
        <f t="shared" si="2"/>
        <v>Mid Quality</v>
      </c>
      <c r="Y18" s="27" t="str">
        <f t="shared" si="3"/>
        <v>8</v>
      </c>
    </row>
    <row r="19" spans="1:25" x14ac:dyDescent="0.25">
      <c r="A19" s="1">
        <v>45492</v>
      </c>
      <c r="B19" t="s">
        <v>65</v>
      </c>
      <c r="C19">
        <v>1</v>
      </c>
      <c r="D19" t="s">
        <v>71</v>
      </c>
      <c r="E19" t="s">
        <v>30</v>
      </c>
      <c r="F19" t="s">
        <v>72</v>
      </c>
      <c r="G19" t="s">
        <v>39</v>
      </c>
      <c r="H19" t="s">
        <v>48</v>
      </c>
      <c r="I19">
        <v>1</v>
      </c>
      <c r="J19">
        <v>8.14</v>
      </c>
      <c r="K19">
        <v>2</v>
      </c>
      <c r="L19">
        <v>274.04000000000002</v>
      </c>
      <c r="M19">
        <v>63</v>
      </c>
      <c r="N19" t="s">
        <v>55</v>
      </c>
      <c r="O19">
        <v>22</v>
      </c>
      <c r="P19">
        <v>913</v>
      </c>
      <c r="Q19" s="27" t="str">
        <f>IF(D19=Pivot!$AS$4,R18, "")</f>
        <v/>
      </c>
      <c r="R19" t="s">
        <v>57</v>
      </c>
      <c r="S19" s="5">
        <v>2.41</v>
      </c>
      <c r="T19">
        <v>94.18</v>
      </c>
      <c r="U19">
        <v>287.74</v>
      </c>
      <c r="V19" s="27">
        <f t="shared" si="0"/>
        <v>16.28</v>
      </c>
      <c r="W19">
        <f t="shared" si="1"/>
        <v>561.78</v>
      </c>
      <c r="X19" s="33" t="str">
        <f t="shared" si="2"/>
        <v>Mid Quality</v>
      </c>
      <c r="Y19" s="27" t="str">
        <f t="shared" si="3"/>
        <v>10</v>
      </c>
    </row>
    <row r="20" spans="1:25" x14ac:dyDescent="0.25">
      <c r="A20" s="1">
        <v>45406</v>
      </c>
      <c r="B20" t="s">
        <v>50</v>
      </c>
      <c r="C20">
        <v>3</v>
      </c>
      <c r="D20" t="s">
        <v>43</v>
      </c>
      <c r="E20" t="s">
        <v>30</v>
      </c>
      <c r="F20" t="s">
        <v>73</v>
      </c>
      <c r="G20" t="s">
        <v>52</v>
      </c>
      <c r="H20" t="s">
        <v>25</v>
      </c>
      <c r="I20">
        <v>3</v>
      </c>
      <c r="J20">
        <v>15.37</v>
      </c>
      <c r="K20">
        <v>7</v>
      </c>
      <c r="L20">
        <v>428.81</v>
      </c>
      <c r="M20">
        <v>10</v>
      </c>
      <c r="N20" t="s">
        <v>26</v>
      </c>
      <c r="O20">
        <v>14</v>
      </c>
      <c r="P20">
        <v>754</v>
      </c>
      <c r="Q20" s="27" t="str">
        <f>IF(D20=Pivot!$AS$4,R19, "")</f>
        <v/>
      </c>
      <c r="R20" t="s">
        <v>27</v>
      </c>
      <c r="S20" s="5">
        <v>1.86</v>
      </c>
      <c r="T20">
        <v>93.28</v>
      </c>
      <c r="U20">
        <v>71.47</v>
      </c>
      <c r="V20" s="27">
        <f t="shared" si="0"/>
        <v>322.77</v>
      </c>
      <c r="W20">
        <f t="shared" si="1"/>
        <v>500.28</v>
      </c>
      <c r="X20" s="33" t="str">
        <f t="shared" si="2"/>
        <v>Low Quality</v>
      </c>
      <c r="Y20" s="27" t="str">
        <f t="shared" si="3"/>
        <v>16</v>
      </c>
    </row>
    <row r="21" spans="1:25" x14ac:dyDescent="0.25">
      <c r="A21" s="1">
        <v>45440</v>
      </c>
      <c r="B21" t="s">
        <v>20</v>
      </c>
      <c r="C21">
        <v>2</v>
      </c>
      <c r="D21" t="s">
        <v>58</v>
      </c>
      <c r="E21" t="s">
        <v>37</v>
      </c>
      <c r="F21" t="s">
        <v>38</v>
      </c>
      <c r="G21" t="s">
        <v>52</v>
      </c>
      <c r="H21" t="s">
        <v>48</v>
      </c>
      <c r="I21">
        <v>2</v>
      </c>
      <c r="J21">
        <v>11.25</v>
      </c>
      <c r="K21">
        <v>2</v>
      </c>
      <c r="L21">
        <v>410.61</v>
      </c>
      <c r="M21">
        <v>27</v>
      </c>
      <c r="N21" t="s">
        <v>45</v>
      </c>
      <c r="O21">
        <v>24</v>
      </c>
      <c r="P21">
        <v>550</v>
      </c>
      <c r="Q21" s="27" t="str">
        <f>IF(D21=Pivot!$AS$4,R20, "")</f>
        <v/>
      </c>
      <c r="R21" t="s">
        <v>34</v>
      </c>
      <c r="S21" s="5">
        <v>4.3600000000000003</v>
      </c>
      <c r="T21">
        <v>89.28</v>
      </c>
      <c r="U21">
        <v>184.77</v>
      </c>
      <c r="V21" s="27">
        <f t="shared" si="0"/>
        <v>45</v>
      </c>
      <c r="W21">
        <f t="shared" si="1"/>
        <v>595.38</v>
      </c>
      <c r="X21" s="33" t="str">
        <f t="shared" si="2"/>
        <v>Mid Quality</v>
      </c>
      <c r="Y21" s="27" t="str">
        <f t="shared" si="3"/>
        <v>12</v>
      </c>
    </row>
    <row r="22" spans="1:25" x14ac:dyDescent="0.25">
      <c r="A22" s="1">
        <v>45360</v>
      </c>
      <c r="B22" t="s">
        <v>28</v>
      </c>
      <c r="C22">
        <v>2</v>
      </c>
      <c r="D22" t="s">
        <v>74</v>
      </c>
      <c r="E22" t="s">
        <v>51</v>
      </c>
      <c r="F22" t="s">
        <v>62</v>
      </c>
      <c r="G22" t="s">
        <v>60</v>
      </c>
      <c r="H22" t="s">
        <v>48</v>
      </c>
      <c r="I22">
        <v>4</v>
      </c>
      <c r="J22">
        <v>2.4700000000000002</v>
      </c>
      <c r="K22">
        <v>8</v>
      </c>
      <c r="L22">
        <v>234.73</v>
      </c>
      <c r="M22">
        <v>14</v>
      </c>
      <c r="N22" t="s">
        <v>45</v>
      </c>
      <c r="O22">
        <v>39</v>
      </c>
      <c r="P22">
        <v>882</v>
      </c>
      <c r="Q22" s="27" t="str">
        <f>IF(D22=Pivot!$AS$4,R21, "")</f>
        <v/>
      </c>
      <c r="R22" t="s">
        <v>34</v>
      </c>
      <c r="S22" s="5">
        <v>4.42</v>
      </c>
      <c r="T22">
        <v>87.16</v>
      </c>
      <c r="U22">
        <v>54.77</v>
      </c>
      <c r="V22" s="27">
        <f t="shared" si="0"/>
        <v>79.040000000000006</v>
      </c>
      <c r="W22">
        <f t="shared" si="1"/>
        <v>289.5</v>
      </c>
      <c r="X22" s="33" t="str">
        <f t="shared" si="2"/>
        <v>High Quality</v>
      </c>
      <c r="Y22" s="27" t="str">
        <f t="shared" si="3"/>
        <v>4</v>
      </c>
    </row>
    <row r="23" spans="1:25" x14ac:dyDescent="0.25">
      <c r="A23" s="1">
        <v>45529</v>
      </c>
      <c r="B23" t="s">
        <v>75</v>
      </c>
      <c r="C23">
        <v>3</v>
      </c>
      <c r="D23" t="s">
        <v>76</v>
      </c>
      <c r="E23" t="s">
        <v>30</v>
      </c>
      <c r="F23" t="s">
        <v>54</v>
      </c>
      <c r="G23" t="s">
        <v>52</v>
      </c>
      <c r="H23" t="s">
        <v>61</v>
      </c>
      <c r="I23">
        <v>3</v>
      </c>
      <c r="J23">
        <v>1.34</v>
      </c>
      <c r="K23">
        <v>6</v>
      </c>
      <c r="L23">
        <v>153.54</v>
      </c>
      <c r="M23">
        <v>55</v>
      </c>
      <c r="N23" t="s">
        <v>45</v>
      </c>
      <c r="O23">
        <v>26</v>
      </c>
      <c r="P23">
        <v>406</v>
      </c>
      <c r="Q23" s="27" t="str">
        <f>IF(D23=Pivot!$AS$4,R22, "")</f>
        <v/>
      </c>
      <c r="R23" t="s">
        <v>57</v>
      </c>
      <c r="S23" s="5">
        <v>6.4</v>
      </c>
      <c r="T23">
        <v>84.2</v>
      </c>
      <c r="U23">
        <v>140.74</v>
      </c>
      <c r="V23" s="27">
        <f t="shared" si="0"/>
        <v>24.12</v>
      </c>
      <c r="W23">
        <f t="shared" si="1"/>
        <v>294.27999999999997</v>
      </c>
      <c r="X23" s="33" t="str">
        <f t="shared" si="2"/>
        <v>High Quality</v>
      </c>
      <c r="Y23" s="27" t="str">
        <f t="shared" si="3"/>
        <v>2</v>
      </c>
    </row>
    <row r="24" spans="1:25" x14ac:dyDescent="0.25">
      <c r="A24" s="1">
        <v>45548</v>
      </c>
      <c r="B24" t="s">
        <v>20</v>
      </c>
      <c r="C24">
        <v>3</v>
      </c>
      <c r="D24" t="s">
        <v>77</v>
      </c>
      <c r="E24" t="s">
        <v>51</v>
      </c>
      <c r="F24" t="s">
        <v>78</v>
      </c>
      <c r="G24" t="s">
        <v>39</v>
      </c>
      <c r="H24" t="s">
        <v>40</v>
      </c>
      <c r="I24">
        <v>1</v>
      </c>
      <c r="J24">
        <v>2.94</v>
      </c>
      <c r="K24">
        <v>7</v>
      </c>
      <c r="L24">
        <v>232.74</v>
      </c>
      <c r="M24">
        <v>23</v>
      </c>
      <c r="N24" t="s">
        <v>45</v>
      </c>
      <c r="O24">
        <v>43</v>
      </c>
      <c r="P24">
        <v>599</v>
      </c>
      <c r="Q24" s="27" t="str">
        <f>IF(D24=Pivot!$AS$4,R23, "")</f>
        <v/>
      </c>
      <c r="R24" t="s">
        <v>34</v>
      </c>
      <c r="S24" s="5">
        <v>7.18</v>
      </c>
      <c r="T24">
        <v>84.64</v>
      </c>
      <c r="U24">
        <v>89.22</v>
      </c>
      <c r="V24" s="27">
        <f t="shared" si="0"/>
        <v>20.58</v>
      </c>
      <c r="W24">
        <f t="shared" si="1"/>
        <v>321.96000000000004</v>
      </c>
      <c r="X24" s="33" t="str">
        <f t="shared" si="2"/>
        <v>High Quality</v>
      </c>
      <c r="Y24" s="27" t="str">
        <f t="shared" si="3"/>
        <v>4</v>
      </c>
    </row>
    <row r="25" spans="1:25" x14ac:dyDescent="0.25">
      <c r="A25" s="1">
        <v>45553</v>
      </c>
      <c r="B25" t="s">
        <v>50</v>
      </c>
      <c r="C25">
        <v>2</v>
      </c>
      <c r="D25" t="s">
        <v>21</v>
      </c>
      <c r="E25" t="s">
        <v>22</v>
      </c>
      <c r="F25" t="s">
        <v>78</v>
      </c>
      <c r="G25" t="s">
        <v>52</v>
      </c>
      <c r="H25" t="s">
        <v>48</v>
      </c>
      <c r="I25">
        <v>5</v>
      </c>
      <c r="J25">
        <v>8.8000000000000007</v>
      </c>
      <c r="K25">
        <v>7</v>
      </c>
      <c r="L25">
        <v>421.8</v>
      </c>
      <c r="M25">
        <v>55</v>
      </c>
      <c r="N25" t="s">
        <v>41</v>
      </c>
      <c r="O25">
        <v>36</v>
      </c>
      <c r="P25">
        <v>721</v>
      </c>
      <c r="Q25" s="27" t="str">
        <f>IF(D25=Pivot!$AS$4,R24, "")</f>
        <v/>
      </c>
      <c r="R25" t="s">
        <v>46</v>
      </c>
      <c r="S25" s="5">
        <v>4.99</v>
      </c>
      <c r="T25">
        <v>85.02</v>
      </c>
      <c r="U25">
        <v>386.65</v>
      </c>
      <c r="V25" s="27">
        <f t="shared" si="0"/>
        <v>308</v>
      </c>
      <c r="W25">
        <f t="shared" si="1"/>
        <v>808.45</v>
      </c>
      <c r="X25" s="33" t="str">
        <f t="shared" si="2"/>
        <v>Mid Quality</v>
      </c>
      <c r="Y25" s="27" t="str">
        <f t="shared" si="3"/>
        <v>10</v>
      </c>
    </row>
    <row r="26" spans="1:25" x14ac:dyDescent="0.25">
      <c r="A26" s="1">
        <v>45338</v>
      </c>
      <c r="B26" t="s">
        <v>65</v>
      </c>
      <c r="C26">
        <v>2</v>
      </c>
      <c r="D26" t="s">
        <v>58</v>
      </c>
      <c r="E26" t="s">
        <v>51</v>
      </c>
      <c r="F26" t="s">
        <v>73</v>
      </c>
      <c r="G26" t="s">
        <v>24</v>
      </c>
      <c r="H26" t="s">
        <v>40</v>
      </c>
      <c r="I26">
        <v>2</v>
      </c>
      <c r="J26">
        <v>18.73</v>
      </c>
      <c r="K26">
        <v>6</v>
      </c>
      <c r="L26">
        <v>152.43</v>
      </c>
      <c r="M26">
        <v>72</v>
      </c>
      <c r="N26" t="s">
        <v>45</v>
      </c>
      <c r="O26">
        <v>39</v>
      </c>
      <c r="P26">
        <v>107</v>
      </c>
      <c r="Q26" s="27" t="str">
        <f>IF(D26=Pivot!$AS$4,R25, "")</f>
        <v/>
      </c>
      <c r="R26" t="s">
        <v>42</v>
      </c>
      <c r="S26" s="5">
        <v>36.450000000000003</v>
      </c>
      <c r="T26">
        <v>25.1</v>
      </c>
      <c r="U26">
        <v>182.92</v>
      </c>
      <c r="V26" s="27">
        <f t="shared" si="0"/>
        <v>224.76</v>
      </c>
      <c r="W26">
        <f t="shared" si="1"/>
        <v>335.35</v>
      </c>
      <c r="X26" s="33" t="str">
        <f t="shared" si="2"/>
        <v>Low Quality</v>
      </c>
      <c r="Y26" s="27" t="str">
        <f t="shared" si="3"/>
        <v>20</v>
      </c>
    </row>
    <row r="27" spans="1:25" x14ac:dyDescent="0.25">
      <c r="A27" s="1">
        <v>45495</v>
      </c>
      <c r="B27" t="s">
        <v>28</v>
      </c>
      <c r="C27">
        <v>1</v>
      </c>
      <c r="D27" t="s">
        <v>77</v>
      </c>
      <c r="E27" t="s">
        <v>22</v>
      </c>
      <c r="F27" t="s">
        <v>69</v>
      </c>
      <c r="G27" t="s">
        <v>52</v>
      </c>
      <c r="H27" t="s">
        <v>61</v>
      </c>
      <c r="I27">
        <v>5</v>
      </c>
      <c r="J27">
        <v>13.11</v>
      </c>
      <c r="K27">
        <v>9</v>
      </c>
      <c r="L27">
        <v>286</v>
      </c>
      <c r="M27">
        <v>88</v>
      </c>
      <c r="N27" t="s">
        <v>63</v>
      </c>
      <c r="O27">
        <v>16</v>
      </c>
      <c r="P27">
        <v>168</v>
      </c>
      <c r="Q27" s="27" t="str">
        <f>IF(D27=Pivot!$AS$4,R26, "")</f>
        <v/>
      </c>
      <c r="R27" t="s">
        <v>27</v>
      </c>
      <c r="S27" s="5">
        <v>9.52</v>
      </c>
      <c r="T27">
        <v>75.959999999999994</v>
      </c>
      <c r="U27">
        <v>419.47</v>
      </c>
      <c r="V27" s="27">
        <f t="shared" si="0"/>
        <v>589.94999999999993</v>
      </c>
      <c r="W27">
        <f t="shared" si="1"/>
        <v>705.47</v>
      </c>
      <c r="X27" s="33" t="str">
        <f t="shared" si="2"/>
        <v>Mid Quality</v>
      </c>
      <c r="Y27" s="27" t="str">
        <f t="shared" si="3"/>
        <v>14</v>
      </c>
    </row>
    <row r="28" spans="1:25" x14ac:dyDescent="0.25">
      <c r="A28" s="1">
        <v>45478</v>
      </c>
      <c r="B28" t="s">
        <v>20</v>
      </c>
      <c r="C28">
        <v>2</v>
      </c>
      <c r="D28" t="s">
        <v>79</v>
      </c>
      <c r="E28" t="s">
        <v>67</v>
      </c>
      <c r="F28" t="s">
        <v>31</v>
      </c>
      <c r="G28" t="s">
        <v>32</v>
      </c>
      <c r="H28" t="s">
        <v>40</v>
      </c>
      <c r="I28">
        <v>3</v>
      </c>
      <c r="J28">
        <v>16.23</v>
      </c>
      <c r="K28">
        <v>9</v>
      </c>
      <c r="L28">
        <v>412.74</v>
      </c>
      <c r="M28">
        <v>87</v>
      </c>
      <c r="N28" t="s">
        <v>45</v>
      </c>
      <c r="O28">
        <v>38</v>
      </c>
      <c r="P28">
        <v>801</v>
      </c>
      <c r="Q28" s="27" t="str">
        <f>IF(D28=Pivot!$AS$4,R27, "")</f>
        <v/>
      </c>
      <c r="R28" t="s">
        <v>57</v>
      </c>
      <c r="S28" s="5">
        <v>4.74</v>
      </c>
      <c r="T28">
        <v>87.52</v>
      </c>
      <c r="U28">
        <v>598.47</v>
      </c>
      <c r="V28" s="27">
        <f t="shared" si="0"/>
        <v>438.21000000000004</v>
      </c>
      <c r="W28">
        <f t="shared" si="1"/>
        <v>1011.21</v>
      </c>
      <c r="X28" s="33" t="str">
        <f t="shared" si="2"/>
        <v>Low Quality</v>
      </c>
      <c r="Y28" s="27" t="str">
        <f t="shared" si="3"/>
        <v>18</v>
      </c>
    </row>
    <row r="29" spans="1:25" x14ac:dyDescent="0.25">
      <c r="A29" s="1">
        <v>45549</v>
      </c>
      <c r="B29" t="s">
        <v>75</v>
      </c>
      <c r="C29">
        <v>2</v>
      </c>
      <c r="D29" t="s">
        <v>80</v>
      </c>
      <c r="E29" t="s">
        <v>67</v>
      </c>
      <c r="F29" t="s">
        <v>81</v>
      </c>
      <c r="G29" t="s">
        <v>24</v>
      </c>
      <c r="H29" t="s">
        <v>25</v>
      </c>
      <c r="I29">
        <v>1</v>
      </c>
      <c r="J29">
        <v>9.86</v>
      </c>
      <c r="K29">
        <v>7</v>
      </c>
      <c r="L29">
        <v>209.06</v>
      </c>
      <c r="M29">
        <v>46</v>
      </c>
      <c r="N29" t="s">
        <v>49</v>
      </c>
      <c r="O29">
        <v>32</v>
      </c>
      <c r="P29">
        <v>790</v>
      </c>
      <c r="Q29" s="27" t="str">
        <f>IF(D29=Pivot!$AS$4,R28, "")</f>
        <v>Rutin kontrol</v>
      </c>
      <c r="R29" t="s">
        <v>34</v>
      </c>
      <c r="S29" s="5">
        <v>4.05</v>
      </c>
      <c r="T29">
        <v>90.9</v>
      </c>
      <c r="U29">
        <v>160.28</v>
      </c>
      <c r="V29" s="27">
        <f t="shared" si="0"/>
        <v>69.02</v>
      </c>
      <c r="W29">
        <f t="shared" si="1"/>
        <v>369.34000000000003</v>
      </c>
      <c r="X29" s="33" t="str">
        <f t="shared" si="2"/>
        <v>Mid Quality</v>
      </c>
      <c r="Y29" s="27" t="str">
        <f t="shared" si="3"/>
        <v>10</v>
      </c>
    </row>
    <row r="30" spans="1:25" x14ac:dyDescent="0.25">
      <c r="A30" s="1">
        <v>45297</v>
      </c>
      <c r="B30" t="s">
        <v>75</v>
      </c>
      <c r="C30">
        <v>3</v>
      </c>
      <c r="D30" t="s">
        <v>82</v>
      </c>
      <c r="E30" t="s">
        <v>37</v>
      </c>
      <c r="F30" t="s">
        <v>23</v>
      </c>
      <c r="G30" t="s">
        <v>60</v>
      </c>
      <c r="H30" t="s">
        <v>48</v>
      </c>
      <c r="I30">
        <v>4</v>
      </c>
      <c r="J30">
        <v>7.87</v>
      </c>
      <c r="K30">
        <v>9</v>
      </c>
      <c r="L30">
        <v>338.99</v>
      </c>
      <c r="M30">
        <v>61</v>
      </c>
      <c r="N30" t="s">
        <v>45</v>
      </c>
      <c r="O30">
        <v>6</v>
      </c>
      <c r="P30">
        <v>674</v>
      </c>
      <c r="Q30" s="27" t="str">
        <f>IF(D30=Pivot!$AS$4,R29, "")</f>
        <v/>
      </c>
      <c r="R30" t="s">
        <v>42</v>
      </c>
      <c r="S30" s="5">
        <v>0.89</v>
      </c>
      <c r="T30">
        <v>94.22</v>
      </c>
      <c r="U30">
        <v>344.64</v>
      </c>
      <c r="V30" s="27">
        <f t="shared" si="0"/>
        <v>283.32</v>
      </c>
      <c r="W30">
        <f t="shared" si="1"/>
        <v>683.63</v>
      </c>
      <c r="X30" s="33" t="str">
        <f t="shared" si="2"/>
        <v>Mid Quality</v>
      </c>
      <c r="Y30" s="27" t="str">
        <f t="shared" si="3"/>
        <v>8</v>
      </c>
    </row>
    <row r="31" spans="1:25" x14ac:dyDescent="0.25">
      <c r="A31" s="1">
        <v>45414</v>
      </c>
      <c r="B31" t="s">
        <v>35</v>
      </c>
      <c r="C31">
        <v>2</v>
      </c>
      <c r="D31" t="s">
        <v>47</v>
      </c>
      <c r="E31" t="s">
        <v>30</v>
      </c>
      <c r="F31" t="s">
        <v>56</v>
      </c>
      <c r="G31" t="s">
        <v>32</v>
      </c>
      <c r="H31" t="s">
        <v>40</v>
      </c>
      <c r="I31">
        <v>5</v>
      </c>
      <c r="J31">
        <v>3.06</v>
      </c>
      <c r="K31">
        <v>3</v>
      </c>
      <c r="L31">
        <v>160.53</v>
      </c>
      <c r="M31">
        <v>72</v>
      </c>
      <c r="N31" t="s">
        <v>55</v>
      </c>
      <c r="O31">
        <v>34</v>
      </c>
      <c r="P31">
        <v>167</v>
      </c>
      <c r="Q31" s="27" t="str">
        <f>IF(D31=Pivot!$AS$4,R30, "")</f>
        <v/>
      </c>
      <c r="R31" t="s">
        <v>46</v>
      </c>
      <c r="S31" s="5">
        <v>20.36</v>
      </c>
      <c r="T31">
        <v>54.28</v>
      </c>
      <c r="U31">
        <v>192.64</v>
      </c>
      <c r="V31" s="27">
        <f t="shared" si="0"/>
        <v>45.9</v>
      </c>
      <c r="W31">
        <f t="shared" si="1"/>
        <v>353.16999999999996</v>
      </c>
      <c r="X31" s="33" t="str">
        <f t="shared" si="2"/>
        <v>High Quality</v>
      </c>
      <c r="Y31" s="27" t="str">
        <f t="shared" si="3"/>
        <v>4</v>
      </c>
    </row>
    <row r="32" spans="1:25" x14ac:dyDescent="0.25">
      <c r="A32" s="1">
        <v>45376</v>
      </c>
      <c r="B32" t="s">
        <v>35</v>
      </c>
      <c r="C32">
        <v>1</v>
      </c>
      <c r="D32" t="s">
        <v>83</v>
      </c>
      <c r="E32" t="s">
        <v>37</v>
      </c>
      <c r="F32" t="s">
        <v>84</v>
      </c>
      <c r="G32" t="s">
        <v>39</v>
      </c>
      <c r="H32" t="s">
        <v>33</v>
      </c>
      <c r="I32">
        <v>4</v>
      </c>
      <c r="J32">
        <v>17.64</v>
      </c>
      <c r="K32">
        <v>3</v>
      </c>
      <c r="L32">
        <v>99.18</v>
      </c>
      <c r="M32">
        <v>42</v>
      </c>
      <c r="N32" t="s">
        <v>63</v>
      </c>
      <c r="O32">
        <v>8</v>
      </c>
      <c r="P32">
        <v>817</v>
      </c>
      <c r="Q32" s="27" t="str">
        <f>IF(D32=Pivot!$AS$4,R31, "")</f>
        <v/>
      </c>
      <c r="R32" t="s">
        <v>34</v>
      </c>
      <c r="S32" s="5">
        <v>0.98</v>
      </c>
      <c r="T32">
        <v>94.04</v>
      </c>
      <c r="U32">
        <v>69.430000000000007</v>
      </c>
      <c r="V32" s="27">
        <f t="shared" si="0"/>
        <v>211.68</v>
      </c>
      <c r="W32">
        <f t="shared" si="1"/>
        <v>168.61</v>
      </c>
      <c r="X32" s="33" t="str">
        <f t="shared" si="2"/>
        <v>Low Quality</v>
      </c>
      <c r="Y32" s="27" t="str">
        <f t="shared" si="3"/>
        <v>18</v>
      </c>
    </row>
    <row r="33" spans="1:25" x14ac:dyDescent="0.25">
      <c r="A33" s="1">
        <v>45555</v>
      </c>
      <c r="B33" t="s">
        <v>50</v>
      </c>
      <c r="C33">
        <v>2</v>
      </c>
      <c r="D33" t="s">
        <v>85</v>
      </c>
      <c r="E33" t="s">
        <v>22</v>
      </c>
      <c r="F33" t="s">
        <v>73</v>
      </c>
      <c r="G33" t="s">
        <v>39</v>
      </c>
      <c r="H33" t="s">
        <v>40</v>
      </c>
      <c r="I33">
        <v>1</v>
      </c>
      <c r="J33">
        <v>15.88</v>
      </c>
      <c r="K33">
        <v>1</v>
      </c>
      <c r="L33">
        <v>407.47</v>
      </c>
      <c r="M33">
        <v>66</v>
      </c>
      <c r="N33" t="s">
        <v>63</v>
      </c>
      <c r="O33">
        <v>30</v>
      </c>
      <c r="P33">
        <v>507</v>
      </c>
      <c r="Q33" s="27" t="str">
        <f>IF(D33=Pivot!$AS$4,R32, "")</f>
        <v/>
      </c>
      <c r="R33" t="s">
        <v>34</v>
      </c>
      <c r="S33" s="5">
        <v>5.92</v>
      </c>
      <c r="T33">
        <v>87.16</v>
      </c>
      <c r="U33">
        <v>448.22</v>
      </c>
      <c r="V33" s="27">
        <f t="shared" si="0"/>
        <v>15.88</v>
      </c>
      <c r="W33">
        <f t="shared" si="1"/>
        <v>855.69</v>
      </c>
      <c r="X33" s="33" t="str">
        <f t="shared" si="2"/>
        <v>Low Quality</v>
      </c>
      <c r="Y33" s="27" t="str">
        <f t="shared" si="3"/>
        <v>16</v>
      </c>
    </row>
    <row r="34" spans="1:25" x14ac:dyDescent="0.25">
      <c r="A34" s="1">
        <v>45363</v>
      </c>
      <c r="B34" t="s">
        <v>20</v>
      </c>
      <c r="C34">
        <v>3</v>
      </c>
      <c r="D34" t="s">
        <v>74</v>
      </c>
      <c r="E34" t="s">
        <v>37</v>
      </c>
      <c r="F34" t="s">
        <v>81</v>
      </c>
      <c r="G34" t="s">
        <v>39</v>
      </c>
      <c r="H34" t="s">
        <v>48</v>
      </c>
      <c r="I34">
        <v>5</v>
      </c>
      <c r="J34">
        <v>4.1900000000000004</v>
      </c>
      <c r="K34">
        <v>5</v>
      </c>
      <c r="L34">
        <v>94.54</v>
      </c>
      <c r="M34">
        <v>11</v>
      </c>
      <c r="N34" t="s">
        <v>26</v>
      </c>
      <c r="O34">
        <v>27</v>
      </c>
      <c r="P34">
        <v>617</v>
      </c>
      <c r="Q34" s="27" t="str">
        <f>IF(D34=Pivot!$AS$4,R33, "")</f>
        <v/>
      </c>
      <c r="R34" t="s">
        <v>27</v>
      </c>
      <c r="S34" s="5">
        <v>4.38</v>
      </c>
      <c r="T34">
        <v>86.24</v>
      </c>
      <c r="U34">
        <v>17.329999999999998</v>
      </c>
      <c r="V34" s="27">
        <f t="shared" si="0"/>
        <v>104.75000000000001</v>
      </c>
      <c r="W34">
        <f t="shared" si="1"/>
        <v>111.87</v>
      </c>
      <c r="X34" s="33" t="str">
        <f t="shared" si="2"/>
        <v>High Quality</v>
      </c>
      <c r="Y34" s="27" t="str">
        <f t="shared" si="3"/>
        <v>6</v>
      </c>
    </row>
    <row r="35" spans="1:25" x14ac:dyDescent="0.25">
      <c r="A35" s="1">
        <v>45520</v>
      </c>
      <c r="B35" t="s">
        <v>20</v>
      </c>
      <c r="C35">
        <v>3</v>
      </c>
      <c r="D35" t="s">
        <v>64</v>
      </c>
      <c r="E35" t="s">
        <v>51</v>
      </c>
      <c r="F35" t="s">
        <v>56</v>
      </c>
      <c r="G35" t="s">
        <v>32</v>
      </c>
      <c r="H35" t="s">
        <v>61</v>
      </c>
      <c r="I35">
        <v>4</v>
      </c>
      <c r="J35">
        <v>10.73</v>
      </c>
      <c r="K35">
        <v>4</v>
      </c>
      <c r="L35">
        <v>172.12</v>
      </c>
      <c r="M35">
        <v>75</v>
      </c>
      <c r="N35" t="s">
        <v>41</v>
      </c>
      <c r="O35">
        <v>7</v>
      </c>
      <c r="P35">
        <v>218</v>
      </c>
      <c r="Q35" s="27" t="str">
        <f>IF(D35=Pivot!$AS$4,R34, "")</f>
        <v/>
      </c>
      <c r="R35" t="s">
        <v>46</v>
      </c>
      <c r="S35" s="5">
        <v>3.21</v>
      </c>
      <c r="T35">
        <v>89.58</v>
      </c>
      <c r="U35">
        <v>215.15</v>
      </c>
      <c r="V35" s="27">
        <f t="shared" si="0"/>
        <v>171.68</v>
      </c>
      <c r="W35">
        <f t="shared" si="1"/>
        <v>387.27</v>
      </c>
      <c r="X35" s="33" t="str">
        <f t="shared" si="2"/>
        <v>Mid Quality</v>
      </c>
      <c r="Y35" s="27" t="str">
        <f t="shared" si="3"/>
        <v>12</v>
      </c>
    </row>
    <row r="36" spans="1:25" x14ac:dyDescent="0.25">
      <c r="A36" s="1">
        <v>45373</v>
      </c>
      <c r="B36" t="s">
        <v>65</v>
      </c>
      <c r="C36">
        <v>2</v>
      </c>
      <c r="D36" t="s">
        <v>47</v>
      </c>
      <c r="E36" t="s">
        <v>22</v>
      </c>
      <c r="F36" t="s">
        <v>23</v>
      </c>
      <c r="G36" t="s">
        <v>32</v>
      </c>
      <c r="H36" t="s">
        <v>61</v>
      </c>
      <c r="I36">
        <v>4</v>
      </c>
      <c r="J36">
        <v>10.26</v>
      </c>
      <c r="K36">
        <v>2</v>
      </c>
      <c r="L36">
        <v>434.8</v>
      </c>
      <c r="M36">
        <v>54</v>
      </c>
      <c r="N36" t="s">
        <v>49</v>
      </c>
      <c r="O36">
        <v>27</v>
      </c>
      <c r="P36">
        <v>924</v>
      </c>
      <c r="Q36" s="27" t="str">
        <f>IF(D36=Pivot!$AS$4,R35, "")</f>
        <v/>
      </c>
      <c r="R36" t="s">
        <v>46</v>
      </c>
      <c r="S36" s="5">
        <v>2.92</v>
      </c>
      <c r="T36">
        <v>90.16</v>
      </c>
      <c r="U36">
        <v>391.32</v>
      </c>
      <c r="V36" s="27">
        <f t="shared" si="0"/>
        <v>82.08</v>
      </c>
      <c r="W36">
        <f t="shared" si="1"/>
        <v>826.12</v>
      </c>
      <c r="X36" s="33" t="str">
        <f t="shared" si="2"/>
        <v>Mid Quality</v>
      </c>
      <c r="Y36" s="27" t="str">
        <f t="shared" si="3"/>
        <v>12</v>
      </c>
    </row>
    <row r="37" spans="1:25" x14ac:dyDescent="0.25">
      <c r="A37" s="1">
        <v>45383</v>
      </c>
      <c r="B37" t="s">
        <v>65</v>
      </c>
      <c r="C37">
        <v>3</v>
      </c>
      <c r="D37" t="s">
        <v>85</v>
      </c>
      <c r="E37" t="s">
        <v>67</v>
      </c>
      <c r="F37" t="s">
        <v>72</v>
      </c>
      <c r="G37" t="s">
        <v>32</v>
      </c>
      <c r="H37" t="s">
        <v>48</v>
      </c>
      <c r="I37">
        <v>5</v>
      </c>
      <c r="J37">
        <v>12.88</v>
      </c>
      <c r="K37">
        <v>9</v>
      </c>
      <c r="L37">
        <v>205.91</v>
      </c>
      <c r="M37">
        <v>56</v>
      </c>
      <c r="N37" t="s">
        <v>63</v>
      </c>
      <c r="O37">
        <v>25</v>
      </c>
      <c r="P37">
        <v>130</v>
      </c>
      <c r="Q37" s="27" t="str">
        <f>IF(D37=Pivot!$AS$4,R36, "")</f>
        <v/>
      </c>
      <c r="R37" t="s">
        <v>57</v>
      </c>
      <c r="S37" s="5">
        <v>19.23</v>
      </c>
      <c r="T37">
        <v>56.54</v>
      </c>
      <c r="U37">
        <v>192.18</v>
      </c>
      <c r="V37" s="27">
        <f t="shared" si="0"/>
        <v>579.6</v>
      </c>
      <c r="W37">
        <f t="shared" si="1"/>
        <v>398.09000000000003</v>
      </c>
      <c r="X37" s="33" t="str">
        <f t="shared" si="2"/>
        <v>Mid Quality</v>
      </c>
      <c r="Y37" s="27" t="str">
        <f t="shared" si="3"/>
        <v>14</v>
      </c>
    </row>
    <row r="38" spans="1:25" x14ac:dyDescent="0.25">
      <c r="A38" s="1">
        <v>45581</v>
      </c>
      <c r="B38" t="s">
        <v>65</v>
      </c>
      <c r="C38">
        <v>1</v>
      </c>
      <c r="D38" t="s">
        <v>43</v>
      </c>
      <c r="E38" t="s">
        <v>30</v>
      </c>
      <c r="F38" t="s">
        <v>38</v>
      </c>
      <c r="G38" t="s">
        <v>24</v>
      </c>
      <c r="H38" t="s">
        <v>25</v>
      </c>
      <c r="I38">
        <v>1</v>
      </c>
      <c r="J38">
        <v>18.98</v>
      </c>
      <c r="K38">
        <v>3</v>
      </c>
      <c r="L38">
        <v>487.87</v>
      </c>
      <c r="M38">
        <v>30</v>
      </c>
      <c r="N38" t="s">
        <v>55</v>
      </c>
      <c r="O38">
        <v>46</v>
      </c>
      <c r="P38">
        <v>617</v>
      </c>
      <c r="Q38" s="27" t="str">
        <f>IF(D38=Pivot!$AS$4,R37, "")</f>
        <v/>
      </c>
      <c r="R38" t="s">
        <v>27</v>
      </c>
      <c r="S38" s="5">
        <v>7.46</v>
      </c>
      <c r="T38">
        <v>84.08</v>
      </c>
      <c r="U38">
        <v>243.94</v>
      </c>
      <c r="V38" s="27">
        <f t="shared" si="0"/>
        <v>56.94</v>
      </c>
      <c r="W38">
        <f t="shared" si="1"/>
        <v>731.81</v>
      </c>
      <c r="X38" s="33" t="str">
        <f t="shared" si="2"/>
        <v>Low Quality</v>
      </c>
      <c r="Y38" s="27" t="str">
        <f t="shared" si="3"/>
        <v>20</v>
      </c>
    </row>
    <row r="39" spans="1:25" x14ac:dyDescent="0.25">
      <c r="A39" s="1">
        <v>45581</v>
      </c>
      <c r="B39" t="s">
        <v>35</v>
      </c>
      <c r="C39">
        <v>1</v>
      </c>
      <c r="D39" t="s">
        <v>83</v>
      </c>
      <c r="E39" t="s">
        <v>22</v>
      </c>
      <c r="F39" t="s">
        <v>70</v>
      </c>
      <c r="G39" t="s">
        <v>24</v>
      </c>
      <c r="H39" t="s">
        <v>25</v>
      </c>
      <c r="I39">
        <v>4</v>
      </c>
      <c r="J39">
        <v>12.02</v>
      </c>
      <c r="K39">
        <v>8</v>
      </c>
      <c r="L39">
        <v>490.88</v>
      </c>
      <c r="M39">
        <v>30</v>
      </c>
      <c r="N39" t="s">
        <v>45</v>
      </c>
      <c r="O39">
        <v>41</v>
      </c>
      <c r="P39">
        <v>582</v>
      </c>
      <c r="Q39" s="27" t="str">
        <f>IF(D39=Pivot!$AS$4,R38, "")</f>
        <v/>
      </c>
      <c r="R39" t="s">
        <v>57</v>
      </c>
      <c r="S39" s="5">
        <v>7.04</v>
      </c>
      <c r="T39">
        <v>81.92</v>
      </c>
      <c r="U39">
        <v>245.44</v>
      </c>
      <c r="V39" s="27">
        <f t="shared" si="0"/>
        <v>384.64</v>
      </c>
      <c r="W39">
        <f t="shared" si="1"/>
        <v>736.31999999999994</v>
      </c>
      <c r="X39" s="33" t="str">
        <f t="shared" si="2"/>
        <v>Mid Quality</v>
      </c>
      <c r="Y39" s="27" t="str">
        <f t="shared" si="3"/>
        <v>14</v>
      </c>
    </row>
    <row r="40" spans="1:25" x14ac:dyDescent="0.25">
      <c r="A40" s="1">
        <v>45366</v>
      </c>
      <c r="B40" t="s">
        <v>20</v>
      </c>
      <c r="C40">
        <v>2</v>
      </c>
      <c r="D40" t="s">
        <v>58</v>
      </c>
      <c r="E40" t="s">
        <v>22</v>
      </c>
      <c r="F40" t="s">
        <v>86</v>
      </c>
      <c r="G40" t="s">
        <v>39</v>
      </c>
      <c r="H40" t="s">
        <v>61</v>
      </c>
      <c r="I40">
        <v>3</v>
      </c>
      <c r="J40">
        <v>11.26</v>
      </c>
      <c r="K40">
        <v>6</v>
      </c>
      <c r="L40">
        <v>170.72</v>
      </c>
      <c r="M40">
        <v>23</v>
      </c>
      <c r="N40" t="s">
        <v>63</v>
      </c>
      <c r="O40">
        <v>15</v>
      </c>
      <c r="P40">
        <v>306</v>
      </c>
      <c r="Q40" s="27" t="str">
        <f>IF(D40=Pivot!$AS$4,R39, "")</f>
        <v/>
      </c>
      <c r="R40" t="s">
        <v>27</v>
      </c>
      <c r="S40" s="5">
        <v>4.9000000000000004</v>
      </c>
      <c r="T40">
        <v>87.2</v>
      </c>
      <c r="U40">
        <v>65.44</v>
      </c>
      <c r="V40" s="27">
        <f t="shared" si="0"/>
        <v>202.68</v>
      </c>
      <c r="W40">
        <f t="shared" si="1"/>
        <v>236.16</v>
      </c>
      <c r="X40" s="33" t="str">
        <f t="shared" si="2"/>
        <v>Mid Quality</v>
      </c>
      <c r="Y40" s="27" t="str">
        <f t="shared" si="3"/>
        <v>12</v>
      </c>
    </row>
    <row r="41" spans="1:25" x14ac:dyDescent="0.25">
      <c r="A41" s="1">
        <v>45539</v>
      </c>
      <c r="B41" t="s">
        <v>20</v>
      </c>
      <c r="C41">
        <v>2</v>
      </c>
      <c r="D41" t="s">
        <v>76</v>
      </c>
      <c r="E41" t="s">
        <v>51</v>
      </c>
      <c r="F41" t="s">
        <v>38</v>
      </c>
      <c r="G41" t="s">
        <v>52</v>
      </c>
      <c r="H41" t="s">
        <v>61</v>
      </c>
      <c r="I41">
        <v>5</v>
      </c>
      <c r="J41">
        <v>1.96</v>
      </c>
      <c r="K41">
        <v>5</v>
      </c>
      <c r="L41">
        <v>68.44</v>
      </c>
      <c r="M41">
        <v>13</v>
      </c>
      <c r="N41" t="s">
        <v>55</v>
      </c>
      <c r="O41">
        <v>25</v>
      </c>
      <c r="P41">
        <v>768</v>
      </c>
      <c r="Q41" s="27" t="str">
        <f>IF(D41=Pivot!$AS$4,R40, "")</f>
        <v/>
      </c>
      <c r="R41" t="s">
        <v>46</v>
      </c>
      <c r="S41" s="5">
        <v>3.26</v>
      </c>
      <c r="T41">
        <v>88.48</v>
      </c>
      <c r="U41">
        <v>14.83</v>
      </c>
      <c r="V41" s="27">
        <f t="shared" si="0"/>
        <v>49</v>
      </c>
      <c r="W41">
        <f t="shared" si="1"/>
        <v>83.27</v>
      </c>
      <c r="X41" s="33" t="str">
        <f t="shared" si="2"/>
        <v>High Quality</v>
      </c>
      <c r="Y41" s="27" t="str">
        <f t="shared" si="3"/>
        <v>2</v>
      </c>
    </row>
    <row r="42" spans="1:25" x14ac:dyDescent="0.25">
      <c r="A42" s="1">
        <v>45475</v>
      </c>
      <c r="B42" t="s">
        <v>75</v>
      </c>
      <c r="C42">
        <v>2</v>
      </c>
      <c r="D42" t="s">
        <v>64</v>
      </c>
      <c r="E42" t="s">
        <v>30</v>
      </c>
      <c r="F42" t="s">
        <v>87</v>
      </c>
      <c r="G42" t="s">
        <v>39</v>
      </c>
      <c r="H42" t="s">
        <v>48</v>
      </c>
      <c r="I42">
        <v>2</v>
      </c>
      <c r="J42">
        <v>2.2000000000000002</v>
      </c>
      <c r="K42">
        <v>1</v>
      </c>
      <c r="L42">
        <v>367.28</v>
      </c>
      <c r="M42">
        <v>65</v>
      </c>
      <c r="N42" t="s">
        <v>45</v>
      </c>
      <c r="O42">
        <v>22</v>
      </c>
      <c r="P42">
        <v>678</v>
      </c>
      <c r="Q42" s="27" t="str">
        <f>IF(D42=Pivot!$AS$4,R41, "")</f>
        <v/>
      </c>
      <c r="R42" t="s">
        <v>27</v>
      </c>
      <c r="S42" s="5">
        <v>3.24</v>
      </c>
      <c r="T42">
        <v>91.52</v>
      </c>
      <c r="U42">
        <v>397.89</v>
      </c>
      <c r="V42" s="27">
        <f t="shared" si="0"/>
        <v>4.4000000000000004</v>
      </c>
      <c r="W42">
        <f t="shared" si="1"/>
        <v>765.17</v>
      </c>
      <c r="X42" s="33" t="str">
        <f t="shared" si="2"/>
        <v>High Quality</v>
      </c>
      <c r="Y42" s="27" t="str">
        <f t="shared" si="3"/>
        <v>4</v>
      </c>
    </row>
    <row r="43" spans="1:25" x14ac:dyDescent="0.25">
      <c r="A43" s="1">
        <v>45312</v>
      </c>
      <c r="B43" t="s">
        <v>35</v>
      </c>
      <c r="C43">
        <v>3</v>
      </c>
      <c r="D43" t="s">
        <v>88</v>
      </c>
      <c r="E43" t="s">
        <v>67</v>
      </c>
      <c r="F43" t="s">
        <v>81</v>
      </c>
      <c r="G43" t="s">
        <v>60</v>
      </c>
      <c r="H43" t="s">
        <v>25</v>
      </c>
      <c r="I43">
        <v>2</v>
      </c>
      <c r="J43">
        <v>4.5599999999999996</v>
      </c>
      <c r="K43">
        <v>4</v>
      </c>
      <c r="L43">
        <v>252.94</v>
      </c>
      <c r="M43">
        <v>24</v>
      </c>
      <c r="N43" t="s">
        <v>41</v>
      </c>
      <c r="O43">
        <v>18</v>
      </c>
      <c r="P43">
        <v>486</v>
      </c>
      <c r="Q43" s="27" t="str">
        <f>IF(D43=Pivot!$AS$4,R42, "")</f>
        <v/>
      </c>
      <c r="R43" t="s">
        <v>27</v>
      </c>
      <c r="S43" s="5">
        <v>3.7</v>
      </c>
      <c r="T43">
        <v>90.6</v>
      </c>
      <c r="U43">
        <v>101.18</v>
      </c>
      <c r="V43" s="27">
        <f t="shared" si="0"/>
        <v>36.479999999999997</v>
      </c>
      <c r="W43">
        <f t="shared" si="1"/>
        <v>354.12</v>
      </c>
      <c r="X43" s="33" t="str">
        <f t="shared" si="2"/>
        <v>High Quality</v>
      </c>
      <c r="Y43" s="27" t="str">
        <f t="shared" si="3"/>
        <v>6</v>
      </c>
    </row>
    <row r="44" spans="1:25" x14ac:dyDescent="0.25">
      <c r="A44" s="1">
        <v>45404</v>
      </c>
      <c r="B44" t="s">
        <v>28</v>
      </c>
      <c r="C44">
        <v>1</v>
      </c>
      <c r="D44" t="s">
        <v>64</v>
      </c>
      <c r="E44" t="s">
        <v>22</v>
      </c>
      <c r="F44" t="s">
        <v>89</v>
      </c>
      <c r="G44" t="s">
        <v>24</v>
      </c>
      <c r="H44" t="s">
        <v>61</v>
      </c>
      <c r="I44">
        <v>1</v>
      </c>
      <c r="J44">
        <v>1.62</v>
      </c>
      <c r="K44">
        <v>3</v>
      </c>
      <c r="L44">
        <v>95.34</v>
      </c>
      <c r="M44">
        <v>54</v>
      </c>
      <c r="N44" t="s">
        <v>63</v>
      </c>
      <c r="O44">
        <v>12</v>
      </c>
      <c r="P44">
        <v>511</v>
      </c>
      <c r="Q44" s="27" t="str">
        <f>IF(D44=Pivot!$AS$4,R43, "")</f>
        <v/>
      </c>
      <c r="R44" t="s">
        <v>27</v>
      </c>
      <c r="S44" s="5">
        <v>2.35</v>
      </c>
      <c r="T44">
        <v>94.3</v>
      </c>
      <c r="U44">
        <v>85.81</v>
      </c>
      <c r="V44" s="27">
        <f t="shared" si="0"/>
        <v>4.8600000000000003</v>
      </c>
      <c r="W44">
        <f t="shared" si="1"/>
        <v>181.15</v>
      </c>
      <c r="X44" s="33" t="str">
        <f t="shared" si="2"/>
        <v>High Quality</v>
      </c>
      <c r="Y44" s="27" t="str">
        <f t="shared" si="3"/>
        <v>2</v>
      </c>
    </row>
    <row r="45" spans="1:25" x14ac:dyDescent="0.25">
      <c r="A45" s="1">
        <v>45541</v>
      </c>
      <c r="B45" t="s">
        <v>35</v>
      </c>
      <c r="C45">
        <v>1</v>
      </c>
      <c r="D45" t="s">
        <v>88</v>
      </c>
      <c r="E45" t="s">
        <v>22</v>
      </c>
      <c r="F45" t="s">
        <v>87</v>
      </c>
      <c r="G45" t="s">
        <v>32</v>
      </c>
      <c r="H45" t="s">
        <v>25</v>
      </c>
      <c r="I45">
        <v>3</v>
      </c>
      <c r="J45">
        <v>15.12</v>
      </c>
      <c r="K45">
        <v>1</v>
      </c>
      <c r="L45">
        <v>368.39</v>
      </c>
      <c r="M45">
        <v>84</v>
      </c>
      <c r="N45" t="s">
        <v>63</v>
      </c>
      <c r="O45">
        <v>23</v>
      </c>
      <c r="P45">
        <v>941</v>
      </c>
      <c r="Q45" s="27" t="str">
        <f>IF(D45=Pivot!$AS$4,R44, "")</f>
        <v/>
      </c>
      <c r="R45" t="s">
        <v>42</v>
      </c>
      <c r="S45" s="5">
        <v>2.44</v>
      </c>
      <c r="T45">
        <v>92.12</v>
      </c>
      <c r="U45">
        <v>515.75</v>
      </c>
      <c r="V45" s="27">
        <f t="shared" si="0"/>
        <v>45.36</v>
      </c>
      <c r="W45">
        <f t="shared" si="1"/>
        <v>884.14</v>
      </c>
      <c r="X45" s="33" t="str">
        <f t="shared" si="2"/>
        <v>Low Quality</v>
      </c>
      <c r="Y45" s="27" t="str">
        <f t="shared" si="3"/>
        <v>16</v>
      </c>
    </row>
    <row r="46" spans="1:25" x14ac:dyDescent="0.25">
      <c r="A46" s="1">
        <v>45410</v>
      </c>
      <c r="B46" t="s">
        <v>28</v>
      </c>
      <c r="C46">
        <v>3</v>
      </c>
      <c r="D46" t="s">
        <v>79</v>
      </c>
      <c r="E46" t="s">
        <v>51</v>
      </c>
      <c r="F46" t="s">
        <v>23</v>
      </c>
      <c r="G46" t="s">
        <v>24</v>
      </c>
      <c r="H46" t="s">
        <v>61</v>
      </c>
      <c r="I46">
        <v>4</v>
      </c>
      <c r="J46">
        <v>14.74</v>
      </c>
      <c r="K46">
        <v>5</v>
      </c>
      <c r="L46">
        <v>64.03</v>
      </c>
      <c r="M46">
        <v>85</v>
      </c>
      <c r="N46" t="s">
        <v>55</v>
      </c>
      <c r="O46">
        <v>45</v>
      </c>
      <c r="P46">
        <v>469</v>
      </c>
      <c r="Q46" s="27" t="str">
        <f>IF(D46=Pivot!$AS$4,R45, "")</f>
        <v/>
      </c>
      <c r="R46" t="s">
        <v>42</v>
      </c>
      <c r="S46" s="5">
        <v>9.59</v>
      </c>
      <c r="T46">
        <v>76.819999999999993</v>
      </c>
      <c r="U46">
        <v>90.71</v>
      </c>
      <c r="V46" s="27">
        <f t="shared" si="0"/>
        <v>294.8</v>
      </c>
      <c r="W46">
        <f t="shared" si="1"/>
        <v>154.74</v>
      </c>
      <c r="X46" s="33" t="str">
        <f t="shared" si="2"/>
        <v>Mid Quality</v>
      </c>
      <c r="Y46" s="27" t="str">
        <f t="shared" si="3"/>
        <v>16</v>
      </c>
    </row>
    <row r="47" spans="1:25" x14ac:dyDescent="0.25">
      <c r="A47" s="1">
        <v>45324</v>
      </c>
      <c r="B47" t="s">
        <v>75</v>
      </c>
      <c r="C47">
        <v>1</v>
      </c>
      <c r="D47" t="s">
        <v>88</v>
      </c>
      <c r="E47" t="s">
        <v>37</v>
      </c>
      <c r="F47" t="s">
        <v>56</v>
      </c>
      <c r="G47" t="s">
        <v>32</v>
      </c>
      <c r="H47" t="s">
        <v>40</v>
      </c>
      <c r="I47">
        <v>2</v>
      </c>
      <c r="J47">
        <v>3.59</v>
      </c>
      <c r="K47">
        <v>6</v>
      </c>
      <c r="L47">
        <v>441.59</v>
      </c>
      <c r="M47">
        <v>26</v>
      </c>
      <c r="N47" t="s">
        <v>26</v>
      </c>
      <c r="O47">
        <v>39</v>
      </c>
      <c r="P47">
        <v>452</v>
      </c>
      <c r="Q47" s="27" t="str">
        <f>IF(D47=Pivot!$AS$4,R46, "")</f>
        <v/>
      </c>
      <c r="R47" t="s">
        <v>46</v>
      </c>
      <c r="S47" s="5">
        <v>8.6300000000000008</v>
      </c>
      <c r="T47">
        <v>80.739999999999995</v>
      </c>
      <c r="U47">
        <v>191.36</v>
      </c>
      <c r="V47" s="27">
        <f t="shared" si="0"/>
        <v>43.08</v>
      </c>
      <c r="W47">
        <f t="shared" si="1"/>
        <v>632.95000000000005</v>
      </c>
      <c r="X47" s="33" t="str">
        <f t="shared" si="2"/>
        <v>High Quality</v>
      </c>
      <c r="Y47" s="27" t="str">
        <f t="shared" si="3"/>
        <v>4</v>
      </c>
    </row>
    <row r="48" spans="1:25" x14ac:dyDescent="0.25">
      <c r="A48" s="1">
        <v>45427</v>
      </c>
      <c r="B48" t="s">
        <v>50</v>
      </c>
      <c r="C48">
        <v>2</v>
      </c>
      <c r="D48" t="s">
        <v>64</v>
      </c>
      <c r="E48" t="s">
        <v>67</v>
      </c>
      <c r="F48" t="s">
        <v>78</v>
      </c>
      <c r="G48" t="s">
        <v>60</v>
      </c>
      <c r="H48" t="s">
        <v>33</v>
      </c>
      <c r="I48">
        <v>1</v>
      </c>
      <c r="J48">
        <v>16.89</v>
      </c>
      <c r="K48">
        <v>2</v>
      </c>
      <c r="L48">
        <v>112.39</v>
      </c>
      <c r="M48">
        <v>17</v>
      </c>
      <c r="N48" t="s">
        <v>49</v>
      </c>
      <c r="O48">
        <v>25</v>
      </c>
      <c r="P48">
        <v>435</v>
      </c>
      <c r="Q48" s="27" t="str">
        <f>IF(D48=Pivot!$AS$4,R47, "")</f>
        <v/>
      </c>
      <c r="R48" t="s">
        <v>27</v>
      </c>
      <c r="S48" s="5">
        <v>5.75</v>
      </c>
      <c r="T48">
        <v>87.5</v>
      </c>
      <c r="U48">
        <v>31.84</v>
      </c>
      <c r="V48" s="27">
        <f t="shared" si="0"/>
        <v>33.78</v>
      </c>
      <c r="W48">
        <f t="shared" si="1"/>
        <v>144.22999999999999</v>
      </c>
      <c r="X48" s="33" t="str">
        <f t="shared" si="2"/>
        <v>Low Quality</v>
      </c>
      <c r="Y48" s="27" t="str">
        <f t="shared" si="3"/>
        <v>18</v>
      </c>
    </row>
    <row r="49" spans="1:25" x14ac:dyDescent="0.25">
      <c r="A49" s="1">
        <v>45481</v>
      </c>
      <c r="B49" t="s">
        <v>20</v>
      </c>
      <c r="C49">
        <v>2</v>
      </c>
      <c r="D49" t="s">
        <v>71</v>
      </c>
      <c r="E49" t="s">
        <v>30</v>
      </c>
      <c r="F49" t="s">
        <v>87</v>
      </c>
      <c r="G49" t="s">
        <v>60</v>
      </c>
      <c r="H49" t="s">
        <v>40</v>
      </c>
      <c r="I49">
        <v>3</v>
      </c>
      <c r="J49">
        <v>3.94</v>
      </c>
      <c r="K49">
        <v>3</v>
      </c>
      <c r="L49">
        <v>107.29</v>
      </c>
      <c r="M49">
        <v>16</v>
      </c>
      <c r="N49" t="s">
        <v>41</v>
      </c>
      <c r="O49">
        <v>10</v>
      </c>
      <c r="P49">
        <v>990</v>
      </c>
      <c r="Q49" s="27" t="str">
        <f>IF(D49=Pivot!$AS$4,R48, "")</f>
        <v/>
      </c>
      <c r="R49" t="s">
        <v>46</v>
      </c>
      <c r="S49" s="5">
        <v>1.01</v>
      </c>
      <c r="T49">
        <v>94.98</v>
      </c>
      <c r="U49">
        <v>28.61</v>
      </c>
      <c r="V49" s="27">
        <f t="shared" si="0"/>
        <v>35.46</v>
      </c>
      <c r="W49">
        <f t="shared" si="1"/>
        <v>135.9</v>
      </c>
      <c r="X49" s="33" t="str">
        <f t="shared" si="2"/>
        <v>High Quality</v>
      </c>
      <c r="Y49" s="27" t="str">
        <f t="shared" si="3"/>
        <v>4</v>
      </c>
    </row>
    <row r="50" spans="1:25" x14ac:dyDescent="0.25">
      <c r="A50" s="1">
        <v>45411</v>
      </c>
      <c r="B50" t="s">
        <v>75</v>
      </c>
      <c r="C50">
        <v>2</v>
      </c>
      <c r="D50" t="s">
        <v>82</v>
      </c>
      <c r="E50" t="s">
        <v>22</v>
      </c>
      <c r="F50" t="s">
        <v>54</v>
      </c>
      <c r="G50" t="s">
        <v>24</v>
      </c>
      <c r="H50" t="s">
        <v>61</v>
      </c>
      <c r="I50">
        <v>3</v>
      </c>
      <c r="J50">
        <v>6.72</v>
      </c>
      <c r="K50">
        <v>6</v>
      </c>
      <c r="L50">
        <v>129.05000000000001</v>
      </c>
      <c r="M50">
        <v>14</v>
      </c>
      <c r="N50" t="s">
        <v>49</v>
      </c>
      <c r="O50">
        <v>30</v>
      </c>
      <c r="P50">
        <v>388</v>
      </c>
      <c r="Q50" s="27" t="str">
        <f>IF(D50=Pivot!$AS$4,R49, "")</f>
        <v/>
      </c>
      <c r="R50" t="s">
        <v>42</v>
      </c>
      <c r="S50" s="5">
        <v>7.73</v>
      </c>
      <c r="T50">
        <v>81.540000000000006</v>
      </c>
      <c r="U50">
        <v>30.11</v>
      </c>
      <c r="V50" s="27">
        <f t="shared" si="0"/>
        <v>120.96</v>
      </c>
      <c r="W50">
        <f t="shared" si="1"/>
        <v>159.16000000000003</v>
      </c>
      <c r="X50" s="33" t="str">
        <f t="shared" si="2"/>
        <v>Mid Quality</v>
      </c>
      <c r="Y50" s="27" t="str">
        <f t="shared" si="3"/>
        <v>8</v>
      </c>
    </row>
    <row r="51" spans="1:25" x14ac:dyDescent="0.25">
      <c r="A51" s="1">
        <v>45313</v>
      </c>
      <c r="B51" t="s">
        <v>20</v>
      </c>
      <c r="C51">
        <v>1</v>
      </c>
      <c r="D51" t="s">
        <v>21</v>
      </c>
      <c r="E51" t="s">
        <v>22</v>
      </c>
      <c r="F51" t="s">
        <v>68</v>
      </c>
      <c r="G51" t="s">
        <v>32</v>
      </c>
      <c r="H51" t="s">
        <v>33</v>
      </c>
      <c r="I51">
        <v>1</v>
      </c>
      <c r="J51">
        <v>5.73</v>
      </c>
      <c r="K51">
        <v>4</v>
      </c>
      <c r="L51">
        <v>482.12</v>
      </c>
      <c r="M51">
        <v>69</v>
      </c>
      <c r="N51" t="s">
        <v>63</v>
      </c>
      <c r="O51">
        <v>10</v>
      </c>
      <c r="P51">
        <v>239</v>
      </c>
      <c r="Q51" s="27" t="str">
        <f>IF(D51=Pivot!$AS$4,R50, "")</f>
        <v/>
      </c>
      <c r="R51" t="s">
        <v>27</v>
      </c>
      <c r="S51" s="5">
        <v>4.18</v>
      </c>
      <c r="T51">
        <v>90.64</v>
      </c>
      <c r="U51">
        <v>554.44000000000005</v>
      </c>
      <c r="V51" s="27">
        <f t="shared" si="0"/>
        <v>22.92</v>
      </c>
      <c r="W51">
        <f t="shared" si="1"/>
        <v>1036.56</v>
      </c>
      <c r="X51" s="33" t="str">
        <f t="shared" si="2"/>
        <v>High Quality</v>
      </c>
      <c r="Y51" s="27" t="str">
        <f t="shared" si="3"/>
        <v>6</v>
      </c>
    </row>
    <row r="52" spans="1:25" x14ac:dyDescent="0.25">
      <c r="A52" s="1">
        <v>45397</v>
      </c>
      <c r="B52" t="s">
        <v>65</v>
      </c>
      <c r="C52">
        <v>2</v>
      </c>
      <c r="D52" t="s">
        <v>58</v>
      </c>
      <c r="E52" t="s">
        <v>67</v>
      </c>
      <c r="F52" t="s">
        <v>87</v>
      </c>
      <c r="G52" t="s">
        <v>60</v>
      </c>
      <c r="H52" t="s">
        <v>33</v>
      </c>
      <c r="I52">
        <v>1</v>
      </c>
      <c r="J52">
        <v>8.07</v>
      </c>
      <c r="K52">
        <v>9</v>
      </c>
      <c r="L52">
        <v>361.93</v>
      </c>
      <c r="M52">
        <v>34</v>
      </c>
      <c r="N52" t="s">
        <v>49</v>
      </c>
      <c r="O52">
        <v>34</v>
      </c>
      <c r="P52">
        <v>399</v>
      </c>
      <c r="Q52" s="27" t="str">
        <f>IF(D52=Pivot!$AS$4,R51, "")</f>
        <v/>
      </c>
      <c r="R52" t="s">
        <v>57</v>
      </c>
      <c r="S52" s="5">
        <v>8.52</v>
      </c>
      <c r="T52">
        <v>81.96</v>
      </c>
      <c r="U52">
        <v>205.09</v>
      </c>
      <c r="V52" s="27">
        <f t="shared" si="0"/>
        <v>72.63</v>
      </c>
      <c r="W52">
        <f t="shared" si="1"/>
        <v>567.02</v>
      </c>
      <c r="X52" s="33" t="str">
        <f t="shared" si="2"/>
        <v>Mid Quality</v>
      </c>
      <c r="Y52" s="27" t="str">
        <f t="shared" si="3"/>
        <v>10</v>
      </c>
    </row>
    <row r="53" spans="1:25" x14ac:dyDescent="0.25">
      <c r="A53" s="1">
        <v>45557</v>
      </c>
      <c r="B53" t="s">
        <v>50</v>
      </c>
      <c r="C53">
        <v>3</v>
      </c>
      <c r="D53" t="s">
        <v>58</v>
      </c>
      <c r="E53" t="s">
        <v>37</v>
      </c>
      <c r="F53" t="s">
        <v>62</v>
      </c>
      <c r="G53" t="s">
        <v>39</v>
      </c>
      <c r="H53" t="s">
        <v>61</v>
      </c>
      <c r="I53">
        <v>4</v>
      </c>
      <c r="J53">
        <v>5.84</v>
      </c>
      <c r="K53">
        <v>5</v>
      </c>
      <c r="L53">
        <v>410.62</v>
      </c>
      <c r="M53">
        <v>12</v>
      </c>
      <c r="N53" t="s">
        <v>45</v>
      </c>
      <c r="O53">
        <v>46</v>
      </c>
      <c r="P53">
        <v>112</v>
      </c>
      <c r="Q53" s="27" t="str">
        <f>IF(D53=Pivot!$AS$4,R52, "")</f>
        <v/>
      </c>
      <c r="R53" t="s">
        <v>42</v>
      </c>
      <c r="S53" s="5">
        <v>41.07</v>
      </c>
      <c r="T53">
        <v>13.86</v>
      </c>
      <c r="U53">
        <v>82.12</v>
      </c>
      <c r="V53" s="27">
        <f t="shared" si="0"/>
        <v>116.8</v>
      </c>
      <c r="W53">
        <f t="shared" si="1"/>
        <v>492.74</v>
      </c>
      <c r="X53" s="33" t="str">
        <f t="shared" si="2"/>
        <v>High Quality</v>
      </c>
      <c r="Y53" s="27" t="str">
        <f t="shared" si="3"/>
        <v>6</v>
      </c>
    </row>
    <row r="54" spans="1:25" x14ac:dyDescent="0.25">
      <c r="A54" s="1">
        <v>45476</v>
      </c>
      <c r="B54" t="s">
        <v>50</v>
      </c>
      <c r="C54">
        <v>3</v>
      </c>
      <c r="D54" t="s">
        <v>47</v>
      </c>
      <c r="E54" t="s">
        <v>22</v>
      </c>
      <c r="F54" t="s">
        <v>62</v>
      </c>
      <c r="G54" t="s">
        <v>39</v>
      </c>
      <c r="H54" t="s">
        <v>61</v>
      </c>
      <c r="I54">
        <v>1</v>
      </c>
      <c r="J54">
        <v>10.29</v>
      </c>
      <c r="K54">
        <v>4</v>
      </c>
      <c r="L54">
        <v>228.94</v>
      </c>
      <c r="M54">
        <v>25</v>
      </c>
      <c r="N54" t="s">
        <v>41</v>
      </c>
      <c r="O54">
        <v>13</v>
      </c>
      <c r="P54">
        <v>763</v>
      </c>
      <c r="Q54" s="27" t="str">
        <f>IF(D54=Pivot!$AS$4,R53, "")</f>
        <v/>
      </c>
      <c r="R54" t="s">
        <v>42</v>
      </c>
      <c r="S54" s="5">
        <v>1.7</v>
      </c>
      <c r="T54">
        <v>95.6</v>
      </c>
      <c r="U54">
        <v>95.39</v>
      </c>
      <c r="V54" s="27">
        <f t="shared" si="0"/>
        <v>41.16</v>
      </c>
      <c r="W54">
        <f t="shared" si="1"/>
        <v>324.33</v>
      </c>
      <c r="X54" s="33" t="str">
        <f t="shared" si="2"/>
        <v>Mid Quality</v>
      </c>
      <c r="Y54" s="27" t="str">
        <f t="shared" si="3"/>
        <v>12</v>
      </c>
    </row>
    <row r="55" spans="1:25" x14ac:dyDescent="0.25">
      <c r="A55" s="1">
        <v>45490</v>
      </c>
      <c r="B55" t="s">
        <v>75</v>
      </c>
      <c r="C55">
        <v>1</v>
      </c>
      <c r="D55" t="s">
        <v>77</v>
      </c>
      <c r="E55" t="s">
        <v>67</v>
      </c>
      <c r="F55" t="s">
        <v>59</v>
      </c>
      <c r="G55" t="s">
        <v>32</v>
      </c>
      <c r="H55" t="s">
        <v>25</v>
      </c>
      <c r="I55">
        <v>4</v>
      </c>
      <c r="J55">
        <v>8.74</v>
      </c>
      <c r="K55">
        <v>2</v>
      </c>
      <c r="L55">
        <v>201.34</v>
      </c>
      <c r="M55">
        <v>26</v>
      </c>
      <c r="N55" t="s">
        <v>49</v>
      </c>
      <c r="O55">
        <v>29</v>
      </c>
      <c r="P55">
        <v>527</v>
      </c>
      <c r="Q55" s="27" t="str">
        <f>IF(D55=Pivot!$AS$4,R54, "")</f>
        <v/>
      </c>
      <c r="R55" t="s">
        <v>42</v>
      </c>
      <c r="S55" s="5">
        <v>5.5</v>
      </c>
      <c r="T55">
        <v>85</v>
      </c>
      <c r="U55">
        <v>87.25</v>
      </c>
      <c r="V55" s="27">
        <f t="shared" si="0"/>
        <v>69.92</v>
      </c>
      <c r="W55">
        <f t="shared" si="1"/>
        <v>288.59000000000003</v>
      </c>
      <c r="X55" s="33" t="str">
        <f t="shared" si="2"/>
        <v>Mid Quality</v>
      </c>
      <c r="Y55" s="27" t="str">
        <f t="shared" si="3"/>
        <v>10</v>
      </c>
    </row>
    <row r="56" spans="1:25" x14ac:dyDescent="0.25">
      <c r="A56" s="1">
        <v>45532</v>
      </c>
      <c r="B56" t="s">
        <v>50</v>
      </c>
      <c r="C56">
        <v>3</v>
      </c>
      <c r="D56" t="s">
        <v>53</v>
      </c>
      <c r="E56" t="s">
        <v>51</v>
      </c>
      <c r="F56" t="s">
        <v>72</v>
      </c>
      <c r="G56" t="s">
        <v>24</v>
      </c>
      <c r="H56" t="s">
        <v>61</v>
      </c>
      <c r="I56">
        <v>4</v>
      </c>
      <c r="J56">
        <v>19.739999999999998</v>
      </c>
      <c r="K56">
        <v>6</v>
      </c>
      <c r="L56">
        <v>155.52000000000001</v>
      </c>
      <c r="M56">
        <v>22</v>
      </c>
      <c r="N56" t="s">
        <v>45</v>
      </c>
      <c r="O56">
        <v>38</v>
      </c>
      <c r="P56">
        <v>924</v>
      </c>
      <c r="Q56" s="27" t="str">
        <f>IF(D56=Pivot!$AS$4,R55, "")</f>
        <v/>
      </c>
      <c r="R56" t="s">
        <v>27</v>
      </c>
      <c r="S56" s="5">
        <v>4.1100000000000003</v>
      </c>
      <c r="T56">
        <v>87.78</v>
      </c>
      <c r="U56">
        <v>57.02</v>
      </c>
      <c r="V56" s="27">
        <f t="shared" si="0"/>
        <v>473.76</v>
      </c>
      <c r="W56">
        <f t="shared" si="1"/>
        <v>212.54000000000002</v>
      </c>
      <c r="X56" s="33" t="str">
        <f t="shared" si="2"/>
        <v>Low Quality</v>
      </c>
      <c r="Y56" s="27" t="str">
        <f t="shared" si="3"/>
        <v>20</v>
      </c>
    </row>
    <row r="57" spans="1:25" x14ac:dyDescent="0.25">
      <c r="A57" s="1">
        <v>45524</v>
      </c>
      <c r="B57" t="s">
        <v>28</v>
      </c>
      <c r="C57">
        <v>3</v>
      </c>
      <c r="D57" t="s">
        <v>43</v>
      </c>
      <c r="E57" t="s">
        <v>37</v>
      </c>
      <c r="F57" t="s">
        <v>68</v>
      </c>
      <c r="G57" t="s">
        <v>60</v>
      </c>
      <c r="H57" t="s">
        <v>48</v>
      </c>
      <c r="I57">
        <v>5</v>
      </c>
      <c r="J57">
        <v>2.06</v>
      </c>
      <c r="K57">
        <v>2</v>
      </c>
      <c r="L57">
        <v>266.29000000000002</v>
      </c>
      <c r="M57">
        <v>70</v>
      </c>
      <c r="N57" t="s">
        <v>55</v>
      </c>
      <c r="O57">
        <v>41</v>
      </c>
      <c r="P57">
        <v>963</v>
      </c>
      <c r="Q57" s="27" t="str">
        <f>IF(D57=Pivot!$AS$4,R56, "")</f>
        <v/>
      </c>
      <c r="R57" t="s">
        <v>34</v>
      </c>
      <c r="S57" s="5">
        <v>4.26</v>
      </c>
      <c r="T57">
        <v>86.48</v>
      </c>
      <c r="U57">
        <v>310.67</v>
      </c>
      <c r="V57" s="27">
        <f t="shared" si="0"/>
        <v>20.6</v>
      </c>
      <c r="W57">
        <f t="shared" si="1"/>
        <v>576.96</v>
      </c>
      <c r="X57" s="33" t="str">
        <f t="shared" si="2"/>
        <v>High Quality</v>
      </c>
      <c r="Y57" s="27" t="str">
        <f t="shared" si="3"/>
        <v>4</v>
      </c>
    </row>
    <row r="58" spans="1:25" x14ac:dyDescent="0.25">
      <c r="A58" s="1">
        <v>45315</v>
      </c>
      <c r="B58" t="s">
        <v>50</v>
      </c>
      <c r="C58">
        <v>1</v>
      </c>
      <c r="D58" t="s">
        <v>66</v>
      </c>
      <c r="E58" t="s">
        <v>30</v>
      </c>
      <c r="F58" t="s">
        <v>90</v>
      </c>
      <c r="G58" t="s">
        <v>24</v>
      </c>
      <c r="H58" t="s">
        <v>61</v>
      </c>
      <c r="I58">
        <v>3</v>
      </c>
      <c r="J58">
        <v>3.7</v>
      </c>
      <c r="K58">
        <v>7</v>
      </c>
      <c r="L58">
        <v>298.32</v>
      </c>
      <c r="M58">
        <v>52</v>
      </c>
      <c r="N58" t="s">
        <v>49</v>
      </c>
      <c r="O58">
        <v>45</v>
      </c>
      <c r="P58">
        <v>499</v>
      </c>
      <c r="Q58" s="27" t="str">
        <f>IF(D58=Pivot!$AS$4,R57, "")</f>
        <v/>
      </c>
      <c r="R58" t="s">
        <v>57</v>
      </c>
      <c r="S58" s="5">
        <v>9.02</v>
      </c>
      <c r="T58">
        <v>78.959999999999994</v>
      </c>
      <c r="U58">
        <v>258.54000000000002</v>
      </c>
      <c r="V58" s="27">
        <f t="shared" si="0"/>
        <v>77.7</v>
      </c>
      <c r="W58">
        <f t="shared" si="1"/>
        <v>556.86</v>
      </c>
      <c r="X58" s="33" t="str">
        <f t="shared" si="2"/>
        <v>High Quality</v>
      </c>
      <c r="Y58" s="27" t="str">
        <f t="shared" si="3"/>
        <v>4</v>
      </c>
    </row>
    <row r="59" spans="1:25" x14ac:dyDescent="0.25">
      <c r="A59" s="1">
        <v>45312</v>
      </c>
      <c r="B59" t="s">
        <v>20</v>
      </c>
      <c r="C59">
        <v>2</v>
      </c>
      <c r="D59" t="s">
        <v>79</v>
      </c>
      <c r="E59" t="s">
        <v>22</v>
      </c>
      <c r="F59" t="s">
        <v>62</v>
      </c>
      <c r="G59" t="s">
        <v>39</v>
      </c>
      <c r="H59" t="s">
        <v>48</v>
      </c>
      <c r="I59">
        <v>3</v>
      </c>
      <c r="J59">
        <v>2</v>
      </c>
      <c r="K59">
        <v>3</v>
      </c>
      <c r="L59">
        <v>334.3</v>
      </c>
      <c r="M59">
        <v>48</v>
      </c>
      <c r="N59" t="s">
        <v>41</v>
      </c>
      <c r="O59">
        <v>9</v>
      </c>
      <c r="P59">
        <v>208</v>
      </c>
      <c r="Q59" s="27" t="str">
        <f>IF(D59=Pivot!$AS$4,R58, "")</f>
        <v/>
      </c>
      <c r="R59" t="s">
        <v>57</v>
      </c>
      <c r="S59" s="5">
        <v>4.33</v>
      </c>
      <c r="T59">
        <v>88.34</v>
      </c>
      <c r="U59">
        <v>267.44</v>
      </c>
      <c r="V59" s="27">
        <f t="shared" si="0"/>
        <v>18</v>
      </c>
      <c r="W59">
        <f t="shared" si="1"/>
        <v>601.74</v>
      </c>
      <c r="X59" s="33" t="str">
        <f t="shared" si="2"/>
        <v>High Quality</v>
      </c>
      <c r="Y59" s="27" t="str">
        <f t="shared" si="3"/>
        <v>2</v>
      </c>
    </row>
    <row r="60" spans="1:25" x14ac:dyDescent="0.25">
      <c r="A60" s="1">
        <v>45457</v>
      </c>
      <c r="B60" t="s">
        <v>20</v>
      </c>
      <c r="C60">
        <v>2</v>
      </c>
      <c r="D60" t="s">
        <v>80</v>
      </c>
      <c r="E60" t="s">
        <v>67</v>
      </c>
      <c r="F60" t="s">
        <v>68</v>
      </c>
      <c r="G60" t="s">
        <v>60</v>
      </c>
      <c r="H60" t="s">
        <v>61</v>
      </c>
      <c r="I60">
        <v>3</v>
      </c>
      <c r="J60">
        <v>12.89</v>
      </c>
      <c r="K60">
        <v>9</v>
      </c>
      <c r="L60">
        <v>165.7</v>
      </c>
      <c r="M60">
        <v>13</v>
      </c>
      <c r="N60" t="s">
        <v>45</v>
      </c>
      <c r="O60">
        <v>13</v>
      </c>
      <c r="P60">
        <v>584</v>
      </c>
      <c r="Q60" s="27" t="str">
        <f>IF(D60=Pivot!$AS$4,R59, "")</f>
        <v>Rutin kontrol</v>
      </c>
      <c r="R60" t="s">
        <v>46</v>
      </c>
      <c r="S60" s="5">
        <v>2.23</v>
      </c>
      <c r="T60">
        <v>92.54</v>
      </c>
      <c r="U60">
        <v>35.9</v>
      </c>
      <c r="V60" s="27">
        <f t="shared" si="0"/>
        <v>348.03000000000003</v>
      </c>
      <c r="W60">
        <f t="shared" si="1"/>
        <v>201.6</v>
      </c>
      <c r="X60" s="33" t="str">
        <f t="shared" si="2"/>
        <v>Mid Quality</v>
      </c>
      <c r="Y60" s="27" t="str">
        <f t="shared" si="3"/>
        <v>14</v>
      </c>
    </row>
    <row r="61" spans="1:25" x14ac:dyDescent="0.25">
      <c r="A61" s="1">
        <v>45344</v>
      </c>
      <c r="B61" t="s">
        <v>20</v>
      </c>
      <c r="C61">
        <v>2</v>
      </c>
      <c r="D61" t="s">
        <v>77</v>
      </c>
      <c r="E61" t="s">
        <v>51</v>
      </c>
      <c r="F61" t="s">
        <v>56</v>
      </c>
      <c r="G61" t="s">
        <v>24</v>
      </c>
      <c r="H61" t="s">
        <v>25</v>
      </c>
      <c r="I61">
        <v>5</v>
      </c>
      <c r="J61">
        <v>2.04</v>
      </c>
      <c r="K61">
        <v>5</v>
      </c>
      <c r="L61">
        <v>476.89</v>
      </c>
      <c r="M61">
        <v>71</v>
      </c>
      <c r="N61" t="s">
        <v>49</v>
      </c>
      <c r="O61">
        <v>37</v>
      </c>
      <c r="P61">
        <v>987</v>
      </c>
      <c r="Q61" s="27" t="str">
        <f>IF(D61=Pivot!$AS$4,R60, "")</f>
        <v/>
      </c>
      <c r="R61" t="s">
        <v>27</v>
      </c>
      <c r="S61" s="5">
        <v>3.75</v>
      </c>
      <c r="T61">
        <v>87.5</v>
      </c>
      <c r="U61">
        <v>564.32000000000005</v>
      </c>
      <c r="V61" s="27">
        <f t="shared" si="0"/>
        <v>51</v>
      </c>
      <c r="W61">
        <f t="shared" si="1"/>
        <v>1041.21</v>
      </c>
      <c r="X61" s="33" t="str">
        <f t="shared" si="2"/>
        <v>High Quality</v>
      </c>
      <c r="Y61" s="27" t="str">
        <f t="shared" si="3"/>
        <v>4</v>
      </c>
    </row>
    <row r="62" spans="1:25" x14ac:dyDescent="0.25">
      <c r="A62" s="1">
        <v>45558</v>
      </c>
      <c r="B62" t="s">
        <v>20</v>
      </c>
      <c r="C62">
        <v>1</v>
      </c>
      <c r="D62" t="s">
        <v>66</v>
      </c>
      <c r="E62" t="s">
        <v>30</v>
      </c>
      <c r="F62" t="s">
        <v>87</v>
      </c>
      <c r="G62" t="s">
        <v>52</v>
      </c>
      <c r="H62" t="s">
        <v>48</v>
      </c>
      <c r="I62">
        <v>4</v>
      </c>
      <c r="J62">
        <v>16.89</v>
      </c>
      <c r="K62">
        <v>8</v>
      </c>
      <c r="L62">
        <v>126.39</v>
      </c>
      <c r="M62">
        <v>58</v>
      </c>
      <c r="N62" t="s">
        <v>55</v>
      </c>
      <c r="O62">
        <v>14</v>
      </c>
      <c r="P62">
        <v>455</v>
      </c>
      <c r="Q62" s="27" t="str">
        <f>IF(D62=Pivot!$AS$4,R61, "")</f>
        <v/>
      </c>
      <c r="R62" t="s">
        <v>42</v>
      </c>
      <c r="S62" s="5">
        <v>3.08</v>
      </c>
      <c r="T62">
        <v>89.84</v>
      </c>
      <c r="U62">
        <v>122.18</v>
      </c>
      <c r="V62" s="27">
        <f t="shared" si="0"/>
        <v>540.48</v>
      </c>
      <c r="W62">
        <f t="shared" si="1"/>
        <v>248.57</v>
      </c>
      <c r="X62" s="33" t="str">
        <f t="shared" si="2"/>
        <v>Low Quality</v>
      </c>
      <c r="Y62" s="27" t="str">
        <f t="shared" si="3"/>
        <v>18</v>
      </c>
    </row>
    <row r="63" spans="1:25" x14ac:dyDescent="0.25">
      <c r="A63" s="1">
        <v>45432</v>
      </c>
      <c r="B63" t="s">
        <v>28</v>
      </c>
      <c r="C63">
        <v>3</v>
      </c>
      <c r="D63" t="s">
        <v>64</v>
      </c>
      <c r="E63" t="s">
        <v>67</v>
      </c>
      <c r="F63" t="s">
        <v>69</v>
      </c>
      <c r="G63" t="s">
        <v>32</v>
      </c>
      <c r="H63" t="s">
        <v>40</v>
      </c>
      <c r="I63">
        <v>4</v>
      </c>
      <c r="J63">
        <v>10.73</v>
      </c>
      <c r="K63">
        <v>6</v>
      </c>
      <c r="L63">
        <v>484.54</v>
      </c>
      <c r="M63">
        <v>30</v>
      </c>
      <c r="N63" t="s">
        <v>49</v>
      </c>
      <c r="O63">
        <v>37</v>
      </c>
      <c r="P63">
        <v>248</v>
      </c>
      <c r="Q63" s="27" t="str">
        <f>IF(D63=Pivot!$AS$4,R62, "")</f>
        <v/>
      </c>
      <c r="R63" t="s">
        <v>34</v>
      </c>
      <c r="S63" s="5">
        <v>14.92</v>
      </c>
      <c r="T63">
        <v>66.16</v>
      </c>
      <c r="U63">
        <v>242.27</v>
      </c>
      <c r="V63" s="27">
        <f t="shared" si="0"/>
        <v>257.52</v>
      </c>
      <c r="W63">
        <f t="shared" si="1"/>
        <v>726.81000000000006</v>
      </c>
      <c r="X63" s="33" t="str">
        <f t="shared" si="2"/>
        <v>Mid Quality</v>
      </c>
      <c r="Y63" s="27" t="str">
        <f t="shared" si="3"/>
        <v>12</v>
      </c>
    </row>
    <row r="64" spans="1:25" x14ac:dyDescent="0.25">
      <c r="A64" s="1">
        <v>45426</v>
      </c>
      <c r="B64" t="s">
        <v>35</v>
      </c>
      <c r="C64">
        <v>2</v>
      </c>
      <c r="D64" t="s">
        <v>91</v>
      </c>
      <c r="E64" t="s">
        <v>67</v>
      </c>
      <c r="F64" t="s">
        <v>23</v>
      </c>
      <c r="G64" t="s">
        <v>32</v>
      </c>
      <c r="H64" t="s">
        <v>48</v>
      </c>
      <c r="I64">
        <v>1</v>
      </c>
      <c r="J64">
        <v>11.01</v>
      </c>
      <c r="K64">
        <v>8</v>
      </c>
      <c r="L64">
        <v>56.69</v>
      </c>
      <c r="M64">
        <v>89</v>
      </c>
      <c r="N64" t="s">
        <v>45</v>
      </c>
      <c r="O64">
        <v>9</v>
      </c>
      <c r="P64">
        <v>978</v>
      </c>
      <c r="Q64" s="27" t="str">
        <f>IF(D64=Pivot!$AS$4,R63, "")</f>
        <v/>
      </c>
      <c r="R64" t="s">
        <v>27</v>
      </c>
      <c r="S64" s="5">
        <v>0.92</v>
      </c>
      <c r="T64">
        <v>97.16</v>
      </c>
      <c r="U64">
        <v>84.09</v>
      </c>
      <c r="V64" s="27">
        <f t="shared" si="0"/>
        <v>88.08</v>
      </c>
      <c r="W64">
        <f t="shared" si="1"/>
        <v>140.78</v>
      </c>
      <c r="X64" s="33" t="str">
        <f t="shared" si="2"/>
        <v>Mid Quality</v>
      </c>
      <c r="Y64" s="27" t="str">
        <f t="shared" si="3"/>
        <v>12</v>
      </c>
    </row>
    <row r="65" spans="1:25" x14ac:dyDescent="0.25">
      <c r="A65" s="1">
        <v>45588</v>
      </c>
      <c r="B65" t="s">
        <v>65</v>
      </c>
      <c r="C65">
        <v>2</v>
      </c>
      <c r="D65" t="s">
        <v>21</v>
      </c>
      <c r="E65" t="s">
        <v>30</v>
      </c>
      <c r="F65" t="s">
        <v>38</v>
      </c>
      <c r="G65" t="s">
        <v>52</v>
      </c>
      <c r="H65" t="s">
        <v>25</v>
      </c>
      <c r="I65">
        <v>5</v>
      </c>
      <c r="J65">
        <v>11.67</v>
      </c>
      <c r="K65">
        <v>3</v>
      </c>
      <c r="L65">
        <v>266.51</v>
      </c>
      <c r="M65">
        <v>30</v>
      </c>
      <c r="N65" t="s">
        <v>49</v>
      </c>
      <c r="O65">
        <v>8</v>
      </c>
      <c r="P65">
        <v>815</v>
      </c>
      <c r="Q65" s="27" t="str">
        <f>IF(D65=Pivot!$AS$4,R64, "")</f>
        <v/>
      </c>
      <c r="R65" t="s">
        <v>27</v>
      </c>
      <c r="S65" s="5">
        <v>0.98</v>
      </c>
      <c r="T65">
        <v>93.04</v>
      </c>
      <c r="U65">
        <v>133.26</v>
      </c>
      <c r="V65" s="27">
        <f t="shared" si="0"/>
        <v>175.05</v>
      </c>
      <c r="W65">
        <f t="shared" si="1"/>
        <v>399.77</v>
      </c>
      <c r="X65" s="33" t="str">
        <f t="shared" si="2"/>
        <v>Mid Quality</v>
      </c>
      <c r="Y65" s="27" t="str">
        <f t="shared" si="3"/>
        <v>12</v>
      </c>
    </row>
    <row r="66" spans="1:25" x14ac:dyDescent="0.25">
      <c r="A66" s="1">
        <v>45570</v>
      </c>
      <c r="B66" t="s">
        <v>75</v>
      </c>
      <c r="C66">
        <v>1</v>
      </c>
      <c r="D66" t="s">
        <v>47</v>
      </c>
      <c r="E66" t="s">
        <v>51</v>
      </c>
      <c r="F66" t="s">
        <v>73</v>
      </c>
      <c r="G66" t="s">
        <v>39</v>
      </c>
      <c r="H66" t="s">
        <v>48</v>
      </c>
      <c r="I66">
        <v>1</v>
      </c>
      <c r="J66">
        <v>4.25</v>
      </c>
      <c r="K66">
        <v>3</v>
      </c>
      <c r="L66">
        <v>200.02</v>
      </c>
      <c r="M66">
        <v>38</v>
      </c>
      <c r="N66" t="s">
        <v>41</v>
      </c>
      <c r="O66">
        <v>39</v>
      </c>
      <c r="P66">
        <v>406</v>
      </c>
      <c r="Q66" s="27" t="str">
        <f>IF(D66=Pivot!$AS$4,R65, "")</f>
        <v/>
      </c>
      <c r="R66" t="s">
        <v>34</v>
      </c>
      <c r="S66" s="5">
        <v>9.61</v>
      </c>
      <c r="T66">
        <v>79.78</v>
      </c>
      <c r="U66">
        <v>126.68</v>
      </c>
      <c r="V66" s="27">
        <f t="shared" ref="V66:V129" si="4">K66*I66*J66</f>
        <v>12.75</v>
      </c>
      <c r="W66">
        <f t="shared" ref="W66:W129" si="5">U66+L66</f>
        <v>326.70000000000005</v>
      </c>
      <c r="X66" s="33" t="str">
        <f t="shared" ref="X66:X129" si="6">_xlfn.IFS(J66&lt;6,"High Quality",J66&lt;=15,"Mid Quality",J66&gt;15,"Low Quality")</f>
        <v>High Quality</v>
      </c>
      <c r="Y66" s="27" t="str">
        <f t="shared" ref="Y66:Y129" si="7">_xlfn.IFS(J66&lt;=0,"0",J66&lt;=2,"2",J66&lt;=4,"4",J66&lt;=6,"6",J66&lt;=8,"8",J66&lt;=10,"10",J66&lt;=12,"12",J66&lt;=14,"14",J66&lt;=16,"16",J66&lt;=16,"16",J66&lt;=18,"18",J66&lt;=20,"20")</f>
        <v>6</v>
      </c>
    </row>
    <row r="67" spans="1:25" x14ac:dyDescent="0.25">
      <c r="A67" s="1">
        <v>45583</v>
      </c>
      <c r="B67" t="s">
        <v>20</v>
      </c>
      <c r="C67">
        <v>2</v>
      </c>
      <c r="D67" t="s">
        <v>29</v>
      </c>
      <c r="E67" t="s">
        <v>51</v>
      </c>
      <c r="F67" t="s">
        <v>68</v>
      </c>
      <c r="G67" t="s">
        <v>60</v>
      </c>
      <c r="H67" t="s">
        <v>61</v>
      </c>
      <c r="I67">
        <v>5</v>
      </c>
      <c r="J67">
        <v>4.76</v>
      </c>
      <c r="K67">
        <v>5</v>
      </c>
      <c r="L67">
        <v>252.11</v>
      </c>
      <c r="M67">
        <v>12</v>
      </c>
      <c r="N67" t="s">
        <v>63</v>
      </c>
      <c r="O67">
        <v>40</v>
      </c>
      <c r="P67">
        <v>632</v>
      </c>
      <c r="Q67" s="27" t="str">
        <f>IF(D67=Pivot!$AS$4,R66, "")</f>
        <v/>
      </c>
      <c r="R67" t="s">
        <v>42</v>
      </c>
      <c r="S67" s="5">
        <v>6.33</v>
      </c>
      <c r="T67">
        <v>82.34</v>
      </c>
      <c r="U67">
        <v>50.42</v>
      </c>
      <c r="V67" s="27">
        <f t="shared" si="4"/>
        <v>119</v>
      </c>
      <c r="W67">
        <f t="shared" si="5"/>
        <v>302.53000000000003</v>
      </c>
      <c r="X67" s="33" t="str">
        <f t="shared" si="6"/>
        <v>High Quality</v>
      </c>
      <c r="Y67" s="27" t="str">
        <f t="shared" si="7"/>
        <v>6</v>
      </c>
    </row>
    <row r="68" spans="1:25" x14ac:dyDescent="0.25">
      <c r="A68" s="1">
        <v>45381</v>
      </c>
      <c r="B68" t="s">
        <v>50</v>
      </c>
      <c r="C68">
        <v>1</v>
      </c>
      <c r="D68" t="s">
        <v>29</v>
      </c>
      <c r="E68" t="s">
        <v>37</v>
      </c>
      <c r="F68" t="s">
        <v>44</v>
      </c>
      <c r="G68" t="s">
        <v>32</v>
      </c>
      <c r="H68" t="s">
        <v>61</v>
      </c>
      <c r="I68">
        <v>1</v>
      </c>
      <c r="J68">
        <v>7.06</v>
      </c>
      <c r="K68">
        <v>3</v>
      </c>
      <c r="L68">
        <v>306.8</v>
      </c>
      <c r="M68">
        <v>14</v>
      </c>
      <c r="N68" t="s">
        <v>45</v>
      </c>
      <c r="O68">
        <v>3</v>
      </c>
      <c r="P68">
        <v>159</v>
      </c>
      <c r="Q68" s="27" t="str">
        <f>IF(D68=Pivot!$AS$4,R67, "")</f>
        <v/>
      </c>
      <c r="R68" t="s">
        <v>27</v>
      </c>
      <c r="S68" s="5">
        <v>1.89</v>
      </c>
      <c r="T68">
        <v>95.22</v>
      </c>
      <c r="U68">
        <v>71.59</v>
      </c>
      <c r="V68" s="27">
        <f t="shared" si="4"/>
        <v>21.18</v>
      </c>
      <c r="W68">
        <f t="shared" si="5"/>
        <v>378.39</v>
      </c>
      <c r="X68" s="33" t="str">
        <f t="shared" si="6"/>
        <v>Mid Quality</v>
      </c>
      <c r="Y68" s="27" t="str">
        <f t="shared" si="7"/>
        <v>8</v>
      </c>
    </row>
    <row r="69" spans="1:25" x14ac:dyDescent="0.25">
      <c r="A69" s="1">
        <v>45484</v>
      </c>
      <c r="B69" t="s">
        <v>20</v>
      </c>
      <c r="C69">
        <v>3</v>
      </c>
      <c r="D69" t="s">
        <v>88</v>
      </c>
      <c r="E69" t="s">
        <v>22</v>
      </c>
      <c r="F69" t="s">
        <v>81</v>
      </c>
      <c r="G69" t="s">
        <v>52</v>
      </c>
      <c r="H69" t="s">
        <v>25</v>
      </c>
      <c r="I69">
        <v>2</v>
      </c>
      <c r="J69">
        <v>12.28</v>
      </c>
      <c r="K69">
        <v>8</v>
      </c>
      <c r="L69">
        <v>246.02</v>
      </c>
      <c r="M69">
        <v>52</v>
      </c>
      <c r="N69" t="s">
        <v>45</v>
      </c>
      <c r="O69">
        <v>47</v>
      </c>
      <c r="P69">
        <v>534</v>
      </c>
      <c r="Q69" s="27" t="str">
        <f>IF(D69=Pivot!$AS$4,R68, "")</f>
        <v/>
      </c>
      <c r="R69" t="s">
        <v>57</v>
      </c>
      <c r="S69" s="5">
        <v>8.8000000000000007</v>
      </c>
      <c r="T69">
        <v>80.400000000000006</v>
      </c>
      <c r="U69">
        <v>213.22</v>
      </c>
      <c r="V69" s="27">
        <f t="shared" si="4"/>
        <v>196.48</v>
      </c>
      <c r="W69">
        <f t="shared" si="5"/>
        <v>459.24</v>
      </c>
      <c r="X69" s="33" t="str">
        <f t="shared" si="6"/>
        <v>Mid Quality</v>
      </c>
      <c r="Y69" s="27" t="str">
        <f t="shared" si="7"/>
        <v>14</v>
      </c>
    </row>
    <row r="70" spans="1:25" x14ac:dyDescent="0.25">
      <c r="A70" s="1">
        <v>45485</v>
      </c>
      <c r="B70" t="s">
        <v>50</v>
      </c>
      <c r="C70">
        <v>1</v>
      </c>
      <c r="D70" t="s">
        <v>74</v>
      </c>
      <c r="E70" t="s">
        <v>30</v>
      </c>
      <c r="F70" t="s">
        <v>56</v>
      </c>
      <c r="G70" t="s">
        <v>52</v>
      </c>
      <c r="H70" t="s">
        <v>33</v>
      </c>
      <c r="I70">
        <v>3</v>
      </c>
      <c r="J70">
        <v>4.99</v>
      </c>
      <c r="K70">
        <v>8</v>
      </c>
      <c r="L70">
        <v>236.68</v>
      </c>
      <c r="M70">
        <v>59</v>
      </c>
      <c r="N70" t="s">
        <v>45</v>
      </c>
      <c r="O70">
        <v>40</v>
      </c>
      <c r="P70">
        <v>120</v>
      </c>
      <c r="Q70" s="27" t="str">
        <f>IF(D70=Pivot!$AS$4,R69, "")</f>
        <v/>
      </c>
      <c r="R70" t="s">
        <v>57</v>
      </c>
      <c r="S70" s="5">
        <v>33.33</v>
      </c>
      <c r="T70">
        <v>30.34</v>
      </c>
      <c r="U70">
        <v>232.74</v>
      </c>
      <c r="V70" s="27">
        <f t="shared" si="4"/>
        <v>119.76</v>
      </c>
      <c r="W70">
        <f t="shared" si="5"/>
        <v>469.42</v>
      </c>
      <c r="X70" s="33" t="str">
        <f t="shared" si="6"/>
        <v>High Quality</v>
      </c>
      <c r="Y70" s="27" t="str">
        <f t="shared" si="7"/>
        <v>6</v>
      </c>
    </row>
    <row r="71" spans="1:25" x14ac:dyDescent="0.25">
      <c r="A71" s="1">
        <v>45479</v>
      </c>
      <c r="B71" t="s">
        <v>65</v>
      </c>
      <c r="C71">
        <v>1</v>
      </c>
      <c r="D71" t="s">
        <v>74</v>
      </c>
      <c r="E71" t="s">
        <v>30</v>
      </c>
      <c r="F71" t="s">
        <v>68</v>
      </c>
      <c r="G71" t="s">
        <v>39</v>
      </c>
      <c r="H71" t="s">
        <v>61</v>
      </c>
      <c r="I71">
        <v>3</v>
      </c>
      <c r="J71">
        <v>3.21</v>
      </c>
      <c r="K71">
        <v>2</v>
      </c>
      <c r="L71">
        <v>379.73</v>
      </c>
      <c r="M71">
        <v>58</v>
      </c>
      <c r="N71" t="s">
        <v>45</v>
      </c>
      <c r="O71">
        <v>33</v>
      </c>
      <c r="P71">
        <v>974</v>
      </c>
      <c r="Q71" s="27" t="str">
        <f>IF(D71=Pivot!$AS$4,R70, "")</f>
        <v/>
      </c>
      <c r="R71" t="s">
        <v>34</v>
      </c>
      <c r="S71" s="5">
        <v>3.39</v>
      </c>
      <c r="T71">
        <v>90.22</v>
      </c>
      <c r="U71">
        <v>367.07</v>
      </c>
      <c r="V71" s="27">
        <f t="shared" si="4"/>
        <v>19.259999999999998</v>
      </c>
      <c r="W71">
        <f t="shared" si="5"/>
        <v>746.8</v>
      </c>
      <c r="X71" s="33" t="str">
        <f t="shared" si="6"/>
        <v>High Quality</v>
      </c>
      <c r="Y71" s="27" t="str">
        <f t="shared" si="7"/>
        <v>4</v>
      </c>
    </row>
    <row r="72" spans="1:25" x14ac:dyDescent="0.25">
      <c r="A72" s="1">
        <v>45592</v>
      </c>
      <c r="B72" t="s">
        <v>65</v>
      </c>
      <c r="C72">
        <v>1</v>
      </c>
      <c r="D72" t="s">
        <v>71</v>
      </c>
      <c r="E72" t="s">
        <v>30</v>
      </c>
      <c r="F72" t="s">
        <v>72</v>
      </c>
      <c r="G72" t="s">
        <v>39</v>
      </c>
      <c r="H72" t="s">
        <v>40</v>
      </c>
      <c r="I72">
        <v>4</v>
      </c>
      <c r="J72">
        <v>19.43</v>
      </c>
      <c r="K72">
        <v>4</v>
      </c>
      <c r="L72">
        <v>358.64</v>
      </c>
      <c r="M72">
        <v>82</v>
      </c>
      <c r="N72" t="s">
        <v>49</v>
      </c>
      <c r="O72">
        <v>32</v>
      </c>
      <c r="P72">
        <v>481</v>
      </c>
      <c r="Q72" s="27" t="str">
        <f>IF(D72=Pivot!$AS$4,R71, "")</f>
        <v/>
      </c>
      <c r="R72" t="s">
        <v>42</v>
      </c>
      <c r="S72" s="5">
        <v>6.65</v>
      </c>
      <c r="T72">
        <v>82.7</v>
      </c>
      <c r="U72">
        <v>490.14</v>
      </c>
      <c r="V72" s="27">
        <f t="shared" si="4"/>
        <v>310.88</v>
      </c>
      <c r="W72">
        <f t="shared" si="5"/>
        <v>848.78</v>
      </c>
      <c r="X72" s="33" t="str">
        <f t="shared" si="6"/>
        <v>Low Quality</v>
      </c>
      <c r="Y72" s="27" t="str">
        <f t="shared" si="7"/>
        <v>20</v>
      </c>
    </row>
    <row r="73" spans="1:25" x14ac:dyDescent="0.25">
      <c r="A73" s="1">
        <v>45331</v>
      </c>
      <c r="B73" t="s">
        <v>65</v>
      </c>
      <c r="C73">
        <v>1</v>
      </c>
      <c r="D73" t="s">
        <v>53</v>
      </c>
      <c r="E73" t="s">
        <v>51</v>
      </c>
      <c r="F73" t="s">
        <v>59</v>
      </c>
      <c r="G73" t="s">
        <v>24</v>
      </c>
      <c r="H73" t="s">
        <v>25</v>
      </c>
      <c r="I73">
        <v>2</v>
      </c>
      <c r="J73">
        <v>1.42</v>
      </c>
      <c r="K73">
        <v>1</v>
      </c>
      <c r="L73">
        <v>424.97</v>
      </c>
      <c r="M73">
        <v>44</v>
      </c>
      <c r="N73" t="s">
        <v>41</v>
      </c>
      <c r="O73">
        <v>7</v>
      </c>
      <c r="P73">
        <v>344</v>
      </c>
      <c r="Q73" s="27" t="str">
        <f>IF(D73=Pivot!$AS$4,R72, "")</f>
        <v/>
      </c>
      <c r="R73" t="s">
        <v>34</v>
      </c>
      <c r="S73" s="5">
        <v>2.0299999999999998</v>
      </c>
      <c r="T73">
        <v>93.94</v>
      </c>
      <c r="U73">
        <v>311.64</v>
      </c>
      <c r="V73" s="27">
        <f t="shared" si="4"/>
        <v>2.84</v>
      </c>
      <c r="W73">
        <f t="shared" si="5"/>
        <v>736.61</v>
      </c>
      <c r="X73" s="33" t="str">
        <f t="shared" si="6"/>
        <v>High Quality</v>
      </c>
      <c r="Y73" s="27" t="str">
        <f t="shared" si="7"/>
        <v>2</v>
      </c>
    </row>
    <row r="74" spans="1:25" x14ac:dyDescent="0.25">
      <c r="A74" s="1">
        <v>45556</v>
      </c>
      <c r="B74" t="s">
        <v>50</v>
      </c>
      <c r="C74">
        <v>3</v>
      </c>
      <c r="D74" t="s">
        <v>76</v>
      </c>
      <c r="E74" t="s">
        <v>22</v>
      </c>
      <c r="F74" t="s">
        <v>54</v>
      </c>
      <c r="G74" t="s">
        <v>32</v>
      </c>
      <c r="H74" t="s">
        <v>48</v>
      </c>
      <c r="I74">
        <v>3</v>
      </c>
      <c r="J74">
        <v>16.25</v>
      </c>
      <c r="K74">
        <v>4</v>
      </c>
      <c r="L74">
        <v>162.47999999999999</v>
      </c>
      <c r="M74">
        <v>19</v>
      </c>
      <c r="N74" t="s">
        <v>55</v>
      </c>
      <c r="O74">
        <v>19</v>
      </c>
      <c r="P74">
        <v>172</v>
      </c>
      <c r="Q74" s="27" t="str">
        <f>IF(D74=Pivot!$AS$4,R73, "")</f>
        <v/>
      </c>
      <c r="R74" t="s">
        <v>27</v>
      </c>
      <c r="S74" s="5">
        <v>11.05</v>
      </c>
      <c r="T74">
        <v>74.900000000000006</v>
      </c>
      <c r="U74">
        <v>51.45</v>
      </c>
      <c r="V74" s="27">
        <f t="shared" si="4"/>
        <v>195</v>
      </c>
      <c r="W74">
        <f t="shared" si="5"/>
        <v>213.93</v>
      </c>
      <c r="X74" s="33" t="str">
        <f t="shared" si="6"/>
        <v>Low Quality</v>
      </c>
      <c r="Y74" s="27" t="str">
        <f t="shared" si="7"/>
        <v>18</v>
      </c>
    </row>
    <row r="75" spans="1:25" x14ac:dyDescent="0.25">
      <c r="A75" s="1">
        <v>45420</v>
      </c>
      <c r="B75" t="s">
        <v>20</v>
      </c>
      <c r="C75">
        <v>3</v>
      </c>
      <c r="D75" t="s">
        <v>79</v>
      </c>
      <c r="E75" t="s">
        <v>37</v>
      </c>
      <c r="F75" t="s">
        <v>23</v>
      </c>
      <c r="G75" t="s">
        <v>24</v>
      </c>
      <c r="H75" t="s">
        <v>48</v>
      </c>
      <c r="I75">
        <v>4</v>
      </c>
      <c r="J75">
        <v>15.97</v>
      </c>
      <c r="K75">
        <v>4</v>
      </c>
      <c r="L75">
        <v>324.29000000000002</v>
      </c>
      <c r="M75">
        <v>85</v>
      </c>
      <c r="N75" t="s">
        <v>41</v>
      </c>
      <c r="O75">
        <v>34</v>
      </c>
      <c r="P75">
        <v>548</v>
      </c>
      <c r="Q75" s="27" t="str">
        <f>IF(D75=Pivot!$AS$4,R74, "")</f>
        <v/>
      </c>
      <c r="R75" t="s">
        <v>57</v>
      </c>
      <c r="S75" s="5">
        <v>6.2</v>
      </c>
      <c r="T75">
        <v>83.6</v>
      </c>
      <c r="U75">
        <v>459.41</v>
      </c>
      <c r="V75" s="27">
        <f t="shared" si="4"/>
        <v>255.52</v>
      </c>
      <c r="W75">
        <f t="shared" si="5"/>
        <v>783.7</v>
      </c>
      <c r="X75" s="33" t="str">
        <f t="shared" si="6"/>
        <v>Low Quality</v>
      </c>
      <c r="Y75" s="27" t="str">
        <f t="shared" si="7"/>
        <v>16</v>
      </c>
    </row>
    <row r="76" spans="1:25" x14ac:dyDescent="0.25">
      <c r="A76" s="1">
        <v>45484</v>
      </c>
      <c r="B76" t="s">
        <v>65</v>
      </c>
      <c r="C76">
        <v>2</v>
      </c>
      <c r="D76" t="s">
        <v>29</v>
      </c>
      <c r="E76" t="s">
        <v>67</v>
      </c>
      <c r="F76" t="s">
        <v>78</v>
      </c>
      <c r="G76" t="s">
        <v>52</v>
      </c>
      <c r="H76" t="s">
        <v>40</v>
      </c>
      <c r="I76">
        <v>2</v>
      </c>
      <c r="J76">
        <v>6.65</v>
      </c>
      <c r="K76">
        <v>9</v>
      </c>
      <c r="L76">
        <v>313.33999999999997</v>
      </c>
      <c r="M76">
        <v>22</v>
      </c>
      <c r="N76" t="s">
        <v>45</v>
      </c>
      <c r="O76">
        <v>14</v>
      </c>
      <c r="P76">
        <v>175</v>
      </c>
      <c r="Q76" s="27" t="str">
        <f>IF(D76=Pivot!$AS$4,R75, "")</f>
        <v/>
      </c>
      <c r="R76" t="s">
        <v>46</v>
      </c>
      <c r="S76" s="5">
        <v>8</v>
      </c>
      <c r="T76">
        <v>82</v>
      </c>
      <c r="U76">
        <v>114.89</v>
      </c>
      <c r="V76" s="27">
        <f t="shared" si="4"/>
        <v>119.7</v>
      </c>
      <c r="W76">
        <f t="shared" si="5"/>
        <v>428.22999999999996</v>
      </c>
      <c r="X76" s="33" t="str">
        <f t="shared" si="6"/>
        <v>Mid Quality</v>
      </c>
      <c r="Y76" s="27" t="str">
        <f t="shared" si="7"/>
        <v>8</v>
      </c>
    </row>
    <row r="77" spans="1:25" x14ac:dyDescent="0.25">
      <c r="A77" s="1">
        <v>45406</v>
      </c>
      <c r="B77" t="s">
        <v>28</v>
      </c>
      <c r="C77">
        <v>3</v>
      </c>
      <c r="D77" t="s">
        <v>82</v>
      </c>
      <c r="E77" t="s">
        <v>67</v>
      </c>
      <c r="F77" t="s">
        <v>73</v>
      </c>
      <c r="G77" t="s">
        <v>60</v>
      </c>
      <c r="H77" t="s">
        <v>61</v>
      </c>
      <c r="I77">
        <v>3</v>
      </c>
      <c r="J77">
        <v>3.58</v>
      </c>
      <c r="K77">
        <v>3</v>
      </c>
      <c r="L77">
        <v>216.38</v>
      </c>
      <c r="M77">
        <v>27</v>
      </c>
      <c r="N77" t="s">
        <v>26</v>
      </c>
      <c r="O77">
        <v>47</v>
      </c>
      <c r="P77">
        <v>797</v>
      </c>
      <c r="Q77" s="27" t="str">
        <f>IF(D77=Pivot!$AS$4,R76, "")</f>
        <v/>
      </c>
      <c r="R77" t="s">
        <v>34</v>
      </c>
      <c r="S77" s="5">
        <v>5.9</v>
      </c>
      <c r="T77">
        <v>85.2</v>
      </c>
      <c r="U77">
        <v>97.37</v>
      </c>
      <c r="V77" s="27">
        <f t="shared" si="4"/>
        <v>32.22</v>
      </c>
      <c r="W77">
        <f t="shared" si="5"/>
        <v>313.75</v>
      </c>
      <c r="X77" s="33" t="str">
        <f t="shared" si="6"/>
        <v>High Quality</v>
      </c>
      <c r="Y77" s="27" t="str">
        <f t="shared" si="7"/>
        <v>4</v>
      </c>
    </row>
    <row r="78" spans="1:25" x14ac:dyDescent="0.25">
      <c r="A78" s="1">
        <v>45556</v>
      </c>
      <c r="B78" t="s">
        <v>50</v>
      </c>
      <c r="C78">
        <v>3</v>
      </c>
      <c r="D78" t="s">
        <v>85</v>
      </c>
      <c r="E78" t="s">
        <v>30</v>
      </c>
      <c r="F78" t="s">
        <v>44</v>
      </c>
      <c r="G78" t="s">
        <v>60</v>
      </c>
      <c r="H78" t="s">
        <v>25</v>
      </c>
      <c r="I78">
        <v>1</v>
      </c>
      <c r="J78">
        <v>3.77</v>
      </c>
      <c r="K78">
        <v>2</v>
      </c>
      <c r="L78">
        <v>268.73</v>
      </c>
      <c r="M78">
        <v>66</v>
      </c>
      <c r="N78" t="s">
        <v>49</v>
      </c>
      <c r="O78">
        <v>46</v>
      </c>
      <c r="P78">
        <v>689</v>
      </c>
      <c r="Q78" s="27" t="str">
        <f>IF(D78=Pivot!$AS$4,R77, "")</f>
        <v/>
      </c>
      <c r="R78" t="s">
        <v>46</v>
      </c>
      <c r="S78" s="5">
        <v>6.68</v>
      </c>
      <c r="T78">
        <v>85.64</v>
      </c>
      <c r="U78">
        <v>295.60000000000002</v>
      </c>
      <c r="V78" s="27">
        <f t="shared" si="4"/>
        <v>7.54</v>
      </c>
      <c r="W78">
        <f t="shared" si="5"/>
        <v>564.33000000000004</v>
      </c>
      <c r="X78" s="33" t="str">
        <f t="shared" si="6"/>
        <v>High Quality</v>
      </c>
      <c r="Y78" s="27" t="str">
        <f t="shared" si="7"/>
        <v>4</v>
      </c>
    </row>
    <row r="79" spans="1:25" x14ac:dyDescent="0.25">
      <c r="A79" s="1">
        <v>45499</v>
      </c>
      <c r="B79" t="s">
        <v>50</v>
      </c>
      <c r="C79">
        <v>2</v>
      </c>
      <c r="D79" t="s">
        <v>88</v>
      </c>
      <c r="E79" t="s">
        <v>22</v>
      </c>
      <c r="F79" t="s">
        <v>23</v>
      </c>
      <c r="G79" t="s">
        <v>39</v>
      </c>
      <c r="H79" t="s">
        <v>40</v>
      </c>
      <c r="I79">
        <v>5</v>
      </c>
      <c r="J79">
        <v>14.25</v>
      </c>
      <c r="K79">
        <v>9</v>
      </c>
      <c r="L79">
        <v>191.2</v>
      </c>
      <c r="M79">
        <v>50</v>
      </c>
      <c r="N79" t="s">
        <v>26</v>
      </c>
      <c r="O79">
        <v>19</v>
      </c>
      <c r="P79">
        <v>489</v>
      </c>
      <c r="Q79" s="27" t="str">
        <f>IF(D79=Pivot!$AS$4,R78, "")</f>
        <v/>
      </c>
      <c r="R79" t="s">
        <v>46</v>
      </c>
      <c r="S79" s="5">
        <v>3.89</v>
      </c>
      <c r="T79">
        <v>87.22</v>
      </c>
      <c r="U79">
        <v>159.33000000000001</v>
      </c>
      <c r="V79" s="27">
        <f t="shared" si="4"/>
        <v>641.25</v>
      </c>
      <c r="W79">
        <f t="shared" si="5"/>
        <v>350.53</v>
      </c>
      <c r="X79" s="33" t="str">
        <f t="shared" si="6"/>
        <v>Mid Quality</v>
      </c>
      <c r="Y79" s="27" t="str">
        <f t="shared" si="7"/>
        <v>16</v>
      </c>
    </row>
    <row r="80" spans="1:25" x14ac:dyDescent="0.25">
      <c r="A80" s="1">
        <v>45472</v>
      </c>
      <c r="B80" t="s">
        <v>20</v>
      </c>
      <c r="C80">
        <v>3</v>
      </c>
      <c r="D80" t="s">
        <v>82</v>
      </c>
      <c r="E80" t="s">
        <v>51</v>
      </c>
      <c r="F80" t="s">
        <v>78</v>
      </c>
      <c r="G80" t="s">
        <v>60</v>
      </c>
      <c r="H80" t="s">
        <v>61</v>
      </c>
      <c r="I80">
        <v>2</v>
      </c>
      <c r="J80">
        <v>13.21</v>
      </c>
      <c r="K80">
        <v>9</v>
      </c>
      <c r="L80">
        <v>113.83</v>
      </c>
      <c r="M80">
        <v>43</v>
      </c>
      <c r="N80" t="s">
        <v>49</v>
      </c>
      <c r="O80">
        <v>26</v>
      </c>
      <c r="P80">
        <v>676</v>
      </c>
      <c r="Q80" s="27" t="str">
        <f>IF(D80=Pivot!$AS$4,R79, "")</f>
        <v/>
      </c>
      <c r="R80" t="s">
        <v>57</v>
      </c>
      <c r="S80" s="5">
        <v>3.85</v>
      </c>
      <c r="T80">
        <v>90.3</v>
      </c>
      <c r="U80">
        <v>81.58</v>
      </c>
      <c r="V80" s="27">
        <f t="shared" si="4"/>
        <v>237.78000000000003</v>
      </c>
      <c r="W80">
        <f t="shared" si="5"/>
        <v>195.41</v>
      </c>
      <c r="X80" s="33" t="str">
        <f t="shared" si="6"/>
        <v>Mid Quality</v>
      </c>
      <c r="Y80" s="27" t="str">
        <f t="shared" si="7"/>
        <v>14</v>
      </c>
    </row>
    <row r="81" spans="1:25" x14ac:dyDescent="0.25">
      <c r="A81" s="1">
        <v>45468</v>
      </c>
      <c r="B81" t="s">
        <v>50</v>
      </c>
      <c r="C81">
        <v>1</v>
      </c>
      <c r="D81" t="s">
        <v>71</v>
      </c>
      <c r="E81" t="s">
        <v>22</v>
      </c>
      <c r="F81" t="s">
        <v>68</v>
      </c>
      <c r="G81" t="s">
        <v>60</v>
      </c>
      <c r="H81" t="s">
        <v>25</v>
      </c>
      <c r="I81">
        <v>4</v>
      </c>
      <c r="J81">
        <v>15.87</v>
      </c>
      <c r="K81">
        <v>1</v>
      </c>
      <c r="L81">
        <v>146.21</v>
      </c>
      <c r="M81">
        <v>19</v>
      </c>
      <c r="N81" t="s">
        <v>45</v>
      </c>
      <c r="O81">
        <v>17</v>
      </c>
      <c r="P81">
        <v>441</v>
      </c>
      <c r="Q81" s="27" t="str">
        <f>IF(D81=Pivot!$AS$4,R80, "")</f>
        <v/>
      </c>
      <c r="R81" t="s">
        <v>34</v>
      </c>
      <c r="S81" s="5">
        <v>3.85</v>
      </c>
      <c r="T81">
        <v>88.3</v>
      </c>
      <c r="U81">
        <v>46.3</v>
      </c>
      <c r="V81" s="27">
        <f t="shared" si="4"/>
        <v>63.48</v>
      </c>
      <c r="W81">
        <f t="shared" si="5"/>
        <v>192.51</v>
      </c>
      <c r="X81" s="33" t="str">
        <f t="shared" si="6"/>
        <v>Low Quality</v>
      </c>
      <c r="Y81" s="27" t="str">
        <f t="shared" si="7"/>
        <v>16</v>
      </c>
    </row>
    <row r="82" spans="1:25" x14ac:dyDescent="0.25">
      <c r="A82" s="1">
        <v>45541</v>
      </c>
      <c r="B82" t="s">
        <v>50</v>
      </c>
      <c r="C82">
        <v>1</v>
      </c>
      <c r="D82" t="s">
        <v>83</v>
      </c>
      <c r="E82" t="s">
        <v>22</v>
      </c>
      <c r="F82" t="s">
        <v>59</v>
      </c>
      <c r="G82" t="s">
        <v>60</v>
      </c>
      <c r="H82" t="s">
        <v>48</v>
      </c>
      <c r="I82">
        <v>2</v>
      </c>
      <c r="J82">
        <v>18.809999999999999</v>
      </c>
      <c r="K82">
        <v>6</v>
      </c>
      <c r="L82">
        <v>97.48</v>
      </c>
      <c r="M82">
        <v>57</v>
      </c>
      <c r="N82" t="s">
        <v>49</v>
      </c>
      <c r="O82">
        <v>28</v>
      </c>
      <c r="P82">
        <v>389</v>
      </c>
      <c r="Q82" s="27" t="str">
        <f>IF(D82=Pivot!$AS$4,R81, "")</f>
        <v/>
      </c>
      <c r="R82" t="s">
        <v>46</v>
      </c>
      <c r="S82" s="5">
        <v>7.2</v>
      </c>
      <c r="T82">
        <v>83.6</v>
      </c>
      <c r="U82">
        <v>92.61</v>
      </c>
      <c r="V82" s="27">
        <f t="shared" si="4"/>
        <v>225.71999999999997</v>
      </c>
      <c r="W82">
        <f t="shared" si="5"/>
        <v>190.09</v>
      </c>
      <c r="X82" s="33" t="str">
        <f t="shared" si="6"/>
        <v>Low Quality</v>
      </c>
      <c r="Y82" s="27" t="str">
        <f t="shared" si="7"/>
        <v>20</v>
      </c>
    </row>
    <row r="83" spans="1:25" x14ac:dyDescent="0.25">
      <c r="A83" s="1">
        <v>45538</v>
      </c>
      <c r="B83" t="s">
        <v>65</v>
      </c>
      <c r="C83">
        <v>2</v>
      </c>
      <c r="D83" t="s">
        <v>88</v>
      </c>
      <c r="E83" t="s">
        <v>51</v>
      </c>
      <c r="F83" t="s">
        <v>72</v>
      </c>
      <c r="G83" t="s">
        <v>52</v>
      </c>
      <c r="H83" t="s">
        <v>25</v>
      </c>
      <c r="I83">
        <v>4</v>
      </c>
      <c r="J83">
        <v>14.15</v>
      </c>
      <c r="K83">
        <v>8</v>
      </c>
      <c r="L83">
        <v>357.38</v>
      </c>
      <c r="M83">
        <v>68</v>
      </c>
      <c r="N83" t="s">
        <v>45</v>
      </c>
      <c r="O83">
        <v>19</v>
      </c>
      <c r="P83">
        <v>667</v>
      </c>
      <c r="Q83" s="27" t="str">
        <f>IF(D83=Pivot!$AS$4,R82, "")</f>
        <v/>
      </c>
      <c r="R83" t="s">
        <v>27</v>
      </c>
      <c r="S83" s="5">
        <v>2.85</v>
      </c>
      <c r="T83">
        <v>90.3</v>
      </c>
      <c r="U83">
        <v>405.03</v>
      </c>
      <c r="V83" s="27">
        <f t="shared" si="4"/>
        <v>452.8</v>
      </c>
      <c r="W83">
        <f t="shared" si="5"/>
        <v>762.41</v>
      </c>
      <c r="X83" s="33" t="str">
        <f t="shared" si="6"/>
        <v>Mid Quality</v>
      </c>
      <c r="Y83" s="27" t="str">
        <f t="shared" si="7"/>
        <v>16</v>
      </c>
    </row>
    <row r="84" spans="1:25" x14ac:dyDescent="0.25">
      <c r="A84" s="1">
        <v>45295</v>
      </c>
      <c r="B84" t="s">
        <v>20</v>
      </c>
      <c r="C84">
        <v>2</v>
      </c>
      <c r="D84" t="s">
        <v>77</v>
      </c>
      <c r="E84" t="s">
        <v>30</v>
      </c>
      <c r="F84" t="s">
        <v>72</v>
      </c>
      <c r="G84" t="s">
        <v>60</v>
      </c>
      <c r="H84" t="s">
        <v>33</v>
      </c>
      <c r="I84">
        <v>2</v>
      </c>
      <c r="J84">
        <v>3.96</v>
      </c>
      <c r="K84">
        <v>3</v>
      </c>
      <c r="L84">
        <v>347.33</v>
      </c>
      <c r="M84">
        <v>67</v>
      </c>
      <c r="N84" t="s">
        <v>41</v>
      </c>
      <c r="O84">
        <v>27</v>
      </c>
      <c r="P84">
        <v>430</v>
      </c>
      <c r="Q84" s="27" t="str">
        <f>IF(D84=Pivot!$AS$4,R83, "")</f>
        <v/>
      </c>
      <c r="R84" t="s">
        <v>42</v>
      </c>
      <c r="S84" s="5">
        <v>6.28</v>
      </c>
      <c r="T84">
        <v>85.44</v>
      </c>
      <c r="U84">
        <v>387.85</v>
      </c>
      <c r="V84" s="27">
        <f t="shared" si="4"/>
        <v>23.759999999999998</v>
      </c>
      <c r="W84">
        <f t="shared" si="5"/>
        <v>735.18000000000006</v>
      </c>
      <c r="X84" s="33" t="str">
        <f t="shared" si="6"/>
        <v>High Quality</v>
      </c>
      <c r="Y84" s="27" t="str">
        <f t="shared" si="7"/>
        <v>4</v>
      </c>
    </row>
    <row r="85" spans="1:25" x14ac:dyDescent="0.25">
      <c r="A85" s="1">
        <v>45548</v>
      </c>
      <c r="B85" t="s">
        <v>65</v>
      </c>
      <c r="C85">
        <v>2</v>
      </c>
      <c r="D85" t="s">
        <v>74</v>
      </c>
      <c r="E85" t="s">
        <v>22</v>
      </c>
      <c r="F85" t="s">
        <v>70</v>
      </c>
      <c r="G85" t="s">
        <v>60</v>
      </c>
      <c r="H85" t="s">
        <v>25</v>
      </c>
      <c r="I85">
        <v>4</v>
      </c>
      <c r="J85">
        <v>5.63</v>
      </c>
      <c r="K85">
        <v>9</v>
      </c>
      <c r="L85">
        <v>477.77</v>
      </c>
      <c r="M85">
        <v>84</v>
      </c>
      <c r="N85" t="s">
        <v>63</v>
      </c>
      <c r="O85">
        <v>48</v>
      </c>
      <c r="P85">
        <v>358</v>
      </c>
      <c r="Q85" s="27" t="str">
        <f>IF(D85=Pivot!$AS$4,R84, "")</f>
        <v/>
      </c>
      <c r="R85" t="s">
        <v>42</v>
      </c>
      <c r="S85" s="5">
        <v>13.41</v>
      </c>
      <c r="T85">
        <v>69.180000000000007</v>
      </c>
      <c r="U85">
        <v>668.88</v>
      </c>
      <c r="V85" s="27">
        <f t="shared" si="4"/>
        <v>202.68</v>
      </c>
      <c r="W85">
        <f t="shared" si="5"/>
        <v>1146.6500000000001</v>
      </c>
      <c r="X85" s="33" t="str">
        <f t="shared" si="6"/>
        <v>High Quality</v>
      </c>
      <c r="Y85" s="27" t="str">
        <f t="shared" si="7"/>
        <v>6</v>
      </c>
    </row>
    <row r="86" spans="1:25" x14ac:dyDescent="0.25">
      <c r="A86" s="1">
        <v>45363</v>
      </c>
      <c r="B86" t="s">
        <v>65</v>
      </c>
      <c r="C86">
        <v>1</v>
      </c>
      <c r="D86" t="s">
        <v>74</v>
      </c>
      <c r="E86" t="s">
        <v>67</v>
      </c>
      <c r="F86" t="s">
        <v>73</v>
      </c>
      <c r="G86" t="s">
        <v>60</v>
      </c>
      <c r="H86" t="s">
        <v>33</v>
      </c>
      <c r="I86">
        <v>3</v>
      </c>
      <c r="J86">
        <v>17</v>
      </c>
      <c r="K86">
        <v>2</v>
      </c>
      <c r="L86">
        <v>378.36</v>
      </c>
      <c r="M86">
        <v>20</v>
      </c>
      <c r="N86" t="s">
        <v>49</v>
      </c>
      <c r="O86">
        <v>19</v>
      </c>
      <c r="P86">
        <v>525</v>
      </c>
      <c r="Q86" s="27" t="str">
        <f>IF(D86=Pivot!$AS$4,R85, "")</f>
        <v/>
      </c>
      <c r="R86" t="s">
        <v>57</v>
      </c>
      <c r="S86" s="5">
        <v>3.62</v>
      </c>
      <c r="T86">
        <v>89.76</v>
      </c>
      <c r="U86">
        <v>126.12</v>
      </c>
      <c r="V86" s="27">
        <f t="shared" si="4"/>
        <v>102</v>
      </c>
      <c r="W86">
        <f t="shared" si="5"/>
        <v>504.48</v>
      </c>
      <c r="X86" s="33" t="str">
        <f t="shared" si="6"/>
        <v>Low Quality</v>
      </c>
      <c r="Y86" s="27" t="str">
        <f t="shared" si="7"/>
        <v>18</v>
      </c>
    </row>
    <row r="87" spans="1:25" x14ac:dyDescent="0.25">
      <c r="A87" s="1">
        <v>45517</v>
      </c>
      <c r="B87" t="s">
        <v>20</v>
      </c>
      <c r="C87">
        <v>3</v>
      </c>
      <c r="D87" t="s">
        <v>80</v>
      </c>
      <c r="E87" t="s">
        <v>51</v>
      </c>
      <c r="F87" t="s">
        <v>73</v>
      </c>
      <c r="G87" t="s">
        <v>24</v>
      </c>
      <c r="H87" t="s">
        <v>25</v>
      </c>
      <c r="I87">
        <v>1</v>
      </c>
      <c r="J87">
        <v>4.9800000000000004</v>
      </c>
      <c r="K87">
        <v>6</v>
      </c>
      <c r="L87">
        <v>73.42</v>
      </c>
      <c r="M87">
        <v>74</v>
      </c>
      <c r="N87" t="s">
        <v>45</v>
      </c>
      <c r="O87">
        <v>33</v>
      </c>
      <c r="P87">
        <v>801</v>
      </c>
      <c r="Q87" s="27" t="str">
        <f>IF(D87=Pivot!$AS$4,R86, "")</f>
        <v>Rutin kontrol</v>
      </c>
      <c r="R87" t="s">
        <v>34</v>
      </c>
      <c r="S87" s="5">
        <v>4.12</v>
      </c>
      <c r="T87">
        <v>90.76</v>
      </c>
      <c r="U87">
        <v>90.55</v>
      </c>
      <c r="V87" s="27">
        <f t="shared" si="4"/>
        <v>29.880000000000003</v>
      </c>
      <c r="W87">
        <f t="shared" si="5"/>
        <v>163.97</v>
      </c>
      <c r="X87" s="33" t="str">
        <f t="shared" si="6"/>
        <v>High Quality</v>
      </c>
      <c r="Y87" s="27" t="str">
        <f t="shared" si="7"/>
        <v>6</v>
      </c>
    </row>
    <row r="88" spans="1:25" x14ac:dyDescent="0.25">
      <c r="A88" s="1">
        <v>45376</v>
      </c>
      <c r="B88" t="s">
        <v>75</v>
      </c>
      <c r="C88">
        <v>1</v>
      </c>
      <c r="D88" t="s">
        <v>66</v>
      </c>
      <c r="E88" t="s">
        <v>37</v>
      </c>
      <c r="F88" t="s">
        <v>69</v>
      </c>
      <c r="G88" t="s">
        <v>52</v>
      </c>
      <c r="H88" t="s">
        <v>33</v>
      </c>
      <c r="I88">
        <v>3</v>
      </c>
      <c r="J88">
        <v>2.38</v>
      </c>
      <c r="K88">
        <v>1</v>
      </c>
      <c r="L88">
        <v>447.91</v>
      </c>
      <c r="M88">
        <v>70</v>
      </c>
      <c r="N88" t="s">
        <v>26</v>
      </c>
      <c r="O88">
        <v>7</v>
      </c>
      <c r="P88">
        <v>105</v>
      </c>
      <c r="Q88" s="27" t="str">
        <f>IF(D88=Pivot!$AS$4,R87, "")</f>
        <v/>
      </c>
      <c r="R88" t="s">
        <v>34</v>
      </c>
      <c r="S88" s="5">
        <v>6.67</v>
      </c>
      <c r="T88">
        <v>83.66</v>
      </c>
      <c r="U88">
        <v>522.55999999999995</v>
      </c>
      <c r="V88" s="27">
        <f t="shared" si="4"/>
        <v>7.14</v>
      </c>
      <c r="W88">
        <f t="shared" si="5"/>
        <v>970.47</v>
      </c>
      <c r="X88" s="33" t="str">
        <f t="shared" si="6"/>
        <v>High Quality</v>
      </c>
      <c r="Y88" s="27" t="str">
        <f t="shared" si="7"/>
        <v>4</v>
      </c>
    </row>
    <row r="89" spans="1:25" x14ac:dyDescent="0.25">
      <c r="A89" s="1">
        <v>45409</v>
      </c>
      <c r="B89" t="s">
        <v>65</v>
      </c>
      <c r="C89">
        <v>2</v>
      </c>
      <c r="D89" t="s">
        <v>47</v>
      </c>
      <c r="E89" t="s">
        <v>30</v>
      </c>
      <c r="F89" t="s">
        <v>69</v>
      </c>
      <c r="G89" t="s">
        <v>39</v>
      </c>
      <c r="H89" t="s">
        <v>48</v>
      </c>
      <c r="I89">
        <v>1</v>
      </c>
      <c r="J89">
        <v>14.36</v>
      </c>
      <c r="K89">
        <v>7</v>
      </c>
      <c r="L89">
        <v>438.2</v>
      </c>
      <c r="M89">
        <v>17</v>
      </c>
      <c r="N89" t="s">
        <v>45</v>
      </c>
      <c r="O89">
        <v>29</v>
      </c>
      <c r="P89">
        <v>105</v>
      </c>
      <c r="Q89" s="27" t="str">
        <f>IF(D89=Pivot!$AS$4,R88, "")</f>
        <v/>
      </c>
      <c r="R89" t="s">
        <v>42</v>
      </c>
      <c r="S89" s="5">
        <v>27.62</v>
      </c>
      <c r="T89">
        <v>43.76</v>
      </c>
      <c r="U89">
        <v>124.16</v>
      </c>
      <c r="V89" s="27">
        <f t="shared" si="4"/>
        <v>100.52</v>
      </c>
      <c r="W89">
        <f t="shared" si="5"/>
        <v>562.36</v>
      </c>
      <c r="X89" s="33" t="str">
        <f t="shared" si="6"/>
        <v>Mid Quality</v>
      </c>
      <c r="Y89" s="27" t="str">
        <f t="shared" si="7"/>
        <v>16</v>
      </c>
    </row>
    <row r="90" spans="1:25" x14ac:dyDescent="0.25">
      <c r="A90" s="1">
        <v>45331</v>
      </c>
      <c r="B90" t="s">
        <v>28</v>
      </c>
      <c r="C90">
        <v>3</v>
      </c>
      <c r="D90" t="s">
        <v>64</v>
      </c>
      <c r="E90" t="s">
        <v>51</v>
      </c>
      <c r="F90" t="s">
        <v>31</v>
      </c>
      <c r="G90" t="s">
        <v>24</v>
      </c>
      <c r="H90" t="s">
        <v>61</v>
      </c>
      <c r="I90">
        <v>3</v>
      </c>
      <c r="J90">
        <v>8.65</v>
      </c>
      <c r="K90">
        <v>3</v>
      </c>
      <c r="L90">
        <v>249.49</v>
      </c>
      <c r="M90">
        <v>51</v>
      </c>
      <c r="N90" t="s">
        <v>26</v>
      </c>
      <c r="O90">
        <v>43</v>
      </c>
      <c r="P90">
        <v>290</v>
      </c>
      <c r="Q90" s="27" t="str">
        <f>IF(D90=Pivot!$AS$4,R89, "")</f>
        <v/>
      </c>
      <c r="R90" t="s">
        <v>27</v>
      </c>
      <c r="S90" s="5">
        <v>14.83</v>
      </c>
      <c r="T90">
        <v>67.34</v>
      </c>
      <c r="U90">
        <v>212.07</v>
      </c>
      <c r="V90" s="27">
        <f t="shared" si="4"/>
        <v>77.850000000000009</v>
      </c>
      <c r="W90">
        <f t="shared" si="5"/>
        <v>461.56</v>
      </c>
      <c r="X90" s="33" t="str">
        <f t="shared" si="6"/>
        <v>Mid Quality</v>
      </c>
      <c r="Y90" s="27" t="str">
        <f t="shared" si="7"/>
        <v>10</v>
      </c>
    </row>
    <row r="91" spans="1:25" x14ac:dyDescent="0.25">
      <c r="A91" s="1">
        <v>45555</v>
      </c>
      <c r="B91" t="s">
        <v>28</v>
      </c>
      <c r="C91">
        <v>3</v>
      </c>
      <c r="D91" t="s">
        <v>53</v>
      </c>
      <c r="E91" t="s">
        <v>37</v>
      </c>
      <c r="F91" t="s">
        <v>68</v>
      </c>
      <c r="G91" t="s">
        <v>32</v>
      </c>
      <c r="H91" t="s">
        <v>33</v>
      </c>
      <c r="I91">
        <v>3</v>
      </c>
      <c r="J91">
        <v>18.48</v>
      </c>
      <c r="K91">
        <v>7</v>
      </c>
      <c r="L91">
        <v>313.64</v>
      </c>
      <c r="M91">
        <v>13</v>
      </c>
      <c r="N91" t="s">
        <v>49</v>
      </c>
      <c r="O91">
        <v>5</v>
      </c>
      <c r="P91">
        <v>247</v>
      </c>
      <c r="Q91" s="27" t="str">
        <f>IF(D91=Pivot!$AS$4,R90, "")</f>
        <v/>
      </c>
      <c r="R91" t="s">
        <v>42</v>
      </c>
      <c r="S91" s="5">
        <v>2.02</v>
      </c>
      <c r="T91">
        <v>92.96</v>
      </c>
      <c r="U91">
        <v>67.959999999999994</v>
      </c>
      <c r="V91" s="27">
        <f t="shared" si="4"/>
        <v>388.08</v>
      </c>
      <c r="W91">
        <f t="shared" si="5"/>
        <v>381.59999999999997</v>
      </c>
      <c r="X91" s="33" t="str">
        <f t="shared" si="6"/>
        <v>Low Quality</v>
      </c>
      <c r="Y91" s="27" t="str">
        <f t="shared" si="7"/>
        <v>20</v>
      </c>
    </row>
    <row r="92" spans="1:25" x14ac:dyDescent="0.25">
      <c r="A92" s="1">
        <v>45435</v>
      </c>
      <c r="B92" t="s">
        <v>50</v>
      </c>
      <c r="C92">
        <v>1</v>
      </c>
      <c r="D92" t="s">
        <v>79</v>
      </c>
      <c r="E92" t="s">
        <v>37</v>
      </c>
      <c r="F92" t="s">
        <v>68</v>
      </c>
      <c r="G92" t="s">
        <v>52</v>
      </c>
      <c r="H92" t="s">
        <v>33</v>
      </c>
      <c r="I92">
        <v>2</v>
      </c>
      <c r="J92">
        <v>13.35</v>
      </c>
      <c r="K92">
        <v>4</v>
      </c>
      <c r="L92">
        <v>489.24</v>
      </c>
      <c r="M92">
        <v>67</v>
      </c>
      <c r="N92" t="s">
        <v>55</v>
      </c>
      <c r="O92">
        <v>30</v>
      </c>
      <c r="P92">
        <v>504</v>
      </c>
      <c r="Q92" s="27" t="str">
        <f>IF(D92=Pivot!$AS$4,R91, "")</f>
        <v/>
      </c>
      <c r="R92" t="s">
        <v>42</v>
      </c>
      <c r="S92" s="5">
        <v>5.95</v>
      </c>
      <c r="T92">
        <v>86.1</v>
      </c>
      <c r="U92">
        <v>546.32000000000005</v>
      </c>
      <c r="V92" s="27">
        <f t="shared" si="4"/>
        <v>106.8</v>
      </c>
      <c r="W92">
        <f t="shared" si="5"/>
        <v>1035.56</v>
      </c>
      <c r="X92" s="33" t="str">
        <f t="shared" si="6"/>
        <v>Mid Quality</v>
      </c>
      <c r="Y92" s="27" t="str">
        <f t="shared" si="7"/>
        <v>14</v>
      </c>
    </row>
    <row r="93" spans="1:25" x14ac:dyDescent="0.25">
      <c r="A93" s="1">
        <v>45400</v>
      </c>
      <c r="B93" t="s">
        <v>28</v>
      </c>
      <c r="C93">
        <v>2</v>
      </c>
      <c r="D93" t="s">
        <v>36</v>
      </c>
      <c r="E93" t="s">
        <v>22</v>
      </c>
      <c r="F93" t="s">
        <v>84</v>
      </c>
      <c r="G93" t="s">
        <v>52</v>
      </c>
      <c r="H93" t="s">
        <v>48</v>
      </c>
      <c r="I93">
        <v>5</v>
      </c>
      <c r="J93">
        <v>2.72</v>
      </c>
      <c r="K93">
        <v>9</v>
      </c>
      <c r="L93">
        <v>289.54000000000002</v>
      </c>
      <c r="M93">
        <v>38</v>
      </c>
      <c r="N93" t="s">
        <v>26</v>
      </c>
      <c r="O93">
        <v>49</v>
      </c>
      <c r="P93">
        <v>357</v>
      </c>
      <c r="Q93" s="27" t="str">
        <f>IF(D93=Pivot!$AS$4,R92, "")</f>
        <v/>
      </c>
      <c r="R93" t="s">
        <v>34</v>
      </c>
      <c r="S93" s="5">
        <v>13.73</v>
      </c>
      <c r="T93">
        <v>67.540000000000006</v>
      </c>
      <c r="U93">
        <v>183.38</v>
      </c>
      <c r="V93" s="27">
        <f t="shared" si="4"/>
        <v>122.4</v>
      </c>
      <c r="W93">
        <f t="shared" si="5"/>
        <v>472.92</v>
      </c>
      <c r="X93" s="33" t="str">
        <f t="shared" si="6"/>
        <v>High Quality</v>
      </c>
      <c r="Y93" s="27" t="str">
        <f t="shared" si="7"/>
        <v>4</v>
      </c>
    </row>
    <row r="94" spans="1:25" x14ac:dyDescent="0.25">
      <c r="A94" s="1">
        <v>45368</v>
      </c>
      <c r="B94" t="s">
        <v>50</v>
      </c>
      <c r="C94">
        <v>1</v>
      </c>
      <c r="D94" t="s">
        <v>21</v>
      </c>
      <c r="E94" t="s">
        <v>22</v>
      </c>
      <c r="F94" t="s">
        <v>87</v>
      </c>
      <c r="G94" t="s">
        <v>32</v>
      </c>
      <c r="H94" t="s">
        <v>33</v>
      </c>
      <c r="I94">
        <v>4</v>
      </c>
      <c r="J94">
        <v>19.010000000000002</v>
      </c>
      <c r="K94">
        <v>5</v>
      </c>
      <c r="L94">
        <v>457.39</v>
      </c>
      <c r="M94">
        <v>85</v>
      </c>
      <c r="N94" t="s">
        <v>45</v>
      </c>
      <c r="O94">
        <v>43</v>
      </c>
      <c r="P94">
        <v>829</v>
      </c>
      <c r="Q94" s="27" t="str">
        <f>IF(D94=Pivot!$AS$4,R93, "")</f>
        <v/>
      </c>
      <c r="R94" t="s">
        <v>46</v>
      </c>
      <c r="S94" s="5">
        <v>5.19</v>
      </c>
      <c r="T94">
        <v>85.62</v>
      </c>
      <c r="U94">
        <v>647.97</v>
      </c>
      <c r="V94" s="27">
        <f t="shared" si="4"/>
        <v>380.20000000000005</v>
      </c>
      <c r="W94">
        <f t="shared" si="5"/>
        <v>1105.3600000000001</v>
      </c>
      <c r="X94" s="33" t="str">
        <f t="shared" si="6"/>
        <v>Low Quality</v>
      </c>
      <c r="Y94" s="27" t="str">
        <f t="shared" si="7"/>
        <v>20</v>
      </c>
    </row>
    <row r="95" spans="1:25" x14ac:dyDescent="0.25">
      <c r="A95" s="1">
        <v>45387</v>
      </c>
      <c r="B95" t="s">
        <v>75</v>
      </c>
      <c r="C95">
        <v>3</v>
      </c>
      <c r="D95" t="s">
        <v>77</v>
      </c>
      <c r="E95" t="s">
        <v>22</v>
      </c>
      <c r="F95" t="s">
        <v>23</v>
      </c>
      <c r="G95" t="s">
        <v>32</v>
      </c>
      <c r="H95" t="s">
        <v>40</v>
      </c>
      <c r="I95">
        <v>4</v>
      </c>
      <c r="J95">
        <v>5.91</v>
      </c>
      <c r="K95">
        <v>3</v>
      </c>
      <c r="L95">
        <v>87.37</v>
      </c>
      <c r="M95">
        <v>33</v>
      </c>
      <c r="N95" t="s">
        <v>49</v>
      </c>
      <c r="O95">
        <v>8</v>
      </c>
      <c r="P95">
        <v>578</v>
      </c>
      <c r="Q95" s="27" t="str">
        <f>IF(D95=Pivot!$AS$4,R94, "")</f>
        <v/>
      </c>
      <c r="R95" t="s">
        <v>27</v>
      </c>
      <c r="S95" s="5">
        <v>1.38</v>
      </c>
      <c r="T95">
        <v>93.24</v>
      </c>
      <c r="U95">
        <v>48.05</v>
      </c>
      <c r="V95" s="27">
        <f t="shared" si="4"/>
        <v>70.92</v>
      </c>
      <c r="W95">
        <f t="shared" si="5"/>
        <v>135.42000000000002</v>
      </c>
      <c r="X95" s="33" t="str">
        <f t="shared" si="6"/>
        <v>High Quality</v>
      </c>
      <c r="Y95" s="27" t="str">
        <f t="shared" si="7"/>
        <v>6</v>
      </c>
    </row>
    <row r="96" spans="1:25" x14ac:dyDescent="0.25">
      <c r="A96" s="1">
        <v>45372</v>
      </c>
      <c r="B96" t="s">
        <v>20</v>
      </c>
      <c r="C96">
        <v>1</v>
      </c>
      <c r="D96" t="s">
        <v>29</v>
      </c>
      <c r="E96" t="s">
        <v>51</v>
      </c>
      <c r="F96" t="s">
        <v>70</v>
      </c>
      <c r="G96" t="s">
        <v>32</v>
      </c>
      <c r="H96" t="s">
        <v>48</v>
      </c>
      <c r="I96">
        <v>4</v>
      </c>
      <c r="J96">
        <v>7.41</v>
      </c>
      <c r="K96">
        <v>8</v>
      </c>
      <c r="L96">
        <v>135.97</v>
      </c>
      <c r="M96">
        <v>41</v>
      </c>
      <c r="N96" t="s">
        <v>45</v>
      </c>
      <c r="O96">
        <v>42</v>
      </c>
      <c r="P96">
        <v>189</v>
      </c>
      <c r="Q96" s="27" t="str">
        <f>IF(D96=Pivot!$AS$4,R95, "")</f>
        <v/>
      </c>
      <c r="R96" t="s">
        <v>34</v>
      </c>
      <c r="S96" s="5">
        <v>22.22</v>
      </c>
      <c r="T96">
        <v>51.56</v>
      </c>
      <c r="U96">
        <v>92.91</v>
      </c>
      <c r="V96" s="27">
        <f t="shared" si="4"/>
        <v>237.12</v>
      </c>
      <c r="W96">
        <f t="shared" si="5"/>
        <v>228.88</v>
      </c>
      <c r="X96" s="33" t="str">
        <f t="shared" si="6"/>
        <v>Mid Quality</v>
      </c>
      <c r="Y96" s="27" t="str">
        <f t="shared" si="7"/>
        <v>8</v>
      </c>
    </row>
    <row r="97" spans="1:25" x14ac:dyDescent="0.25">
      <c r="A97" s="1">
        <v>45477</v>
      </c>
      <c r="B97" t="s">
        <v>20</v>
      </c>
      <c r="C97">
        <v>1</v>
      </c>
      <c r="D97" t="s">
        <v>91</v>
      </c>
      <c r="E97" t="s">
        <v>51</v>
      </c>
      <c r="F97" t="s">
        <v>44</v>
      </c>
      <c r="G97" t="s">
        <v>39</v>
      </c>
      <c r="H97" t="s">
        <v>40</v>
      </c>
      <c r="I97">
        <v>1</v>
      </c>
      <c r="J97">
        <v>8.64</v>
      </c>
      <c r="K97">
        <v>6</v>
      </c>
      <c r="L97">
        <v>248.34</v>
      </c>
      <c r="M97">
        <v>47</v>
      </c>
      <c r="N97" t="s">
        <v>55</v>
      </c>
      <c r="O97">
        <v>12</v>
      </c>
      <c r="P97">
        <v>923</v>
      </c>
      <c r="Q97" s="27" t="str">
        <f>IF(D97=Pivot!$AS$4,R96, "")</f>
        <v/>
      </c>
      <c r="R97" t="s">
        <v>42</v>
      </c>
      <c r="S97" s="5">
        <v>1.3</v>
      </c>
      <c r="T97">
        <v>96.4</v>
      </c>
      <c r="U97">
        <v>194.53</v>
      </c>
      <c r="V97" s="27">
        <f t="shared" si="4"/>
        <v>51.84</v>
      </c>
      <c r="W97">
        <f t="shared" si="5"/>
        <v>442.87</v>
      </c>
      <c r="X97" s="33" t="str">
        <f t="shared" si="6"/>
        <v>Mid Quality</v>
      </c>
      <c r="Y97" s="27" t="str">
        <f t="shared" si="7"/>
        <v>10</v>
      </c>
    </row>
    <row r="98" spans="1:25" x14ac:dyDescent="0.25">
      <c r="A98" s="1">
        <v>45352</v>
      </c>
      <c r="B98" t="s">
        <v>20</v>
      </c>
      <c r="C98">
        <v>2</v>
      </c>
      <c r="D98" t="s">
        <v>21</v>
      </c>
      <c r="E98" t="s">
        <v>30</v>
      </c>
      <c r="F98" t="s">
        <v>68</v>
      </c>
      <c r="G98" t="s">
        <v>60</v>
      </c>
      <c r="H98" t="s">
        <v>48</v>
      </c>
      <c r="I98">
        <v>4</v>
      </c>
      <c r="J98">
        <v>1.97</v>
      </c>
      <c r="K98">
        <v>2</v>
      </c>
      <c r="L98">
        <v>313.14</v>
      </c>
      <c r="M98">
        <v>68</v>
      </c>
      <c r="N98" t="s">
        <v>63</v>
      </c>
      <c r="O98">
        <v>42</v>
      </c>
      <c r="P98">
        <v>963</v>
      </c>
      <c r="Q98" s="27" t="str">
        <f>IF(D98=Pivot!$AS$4,R97, "")</f>
        <v/>
      </c>
      <c r="R98" t="s">
        <v>46</v>
      </c>
      <c r="S98" s="5">
        <v>4.3600000000000003</v>
      </c>
      <c r="T98">
        <v>87.28</v>
      </c>
      <c r="U98">
        <v>354.89</v>
      </c>
      <c r="V98" s="27">
        <f t="shared" si="4"/>
        <v>15.76</v>
      </c>
      <c r="W98">
        <f t="shared" si="5"/>
        <v>668.03</v>
      </c>
      <c r="X98" s="33" t="str">
        <f t="shared" si="6"/>
        <v>High Quality</v>
      </c>
      <c r="Y98" s="27" t="str">
        <f t="shared" si="7"/>
        <v>2</v>
      </c>
    </row>
    <row r="99" spans="1:25" x14ac:dyDescent="0.25">
      <c r="A99" s="1">
        <v>45409</v>
      </c>
      <c r="B99" t="s">
        <v>28</v>
      </c>
      <c r="C99">
        <v>2</v>
      </c>
      <c r="D99" t="s">
        <v>21</v>
      </c>
      <c r="E99" t="s">
        <v>22</v>
      </c>
      <c r="F99" t="s">
        <v>31</v>
      </c>
      <c r="G99" t="s">
        <v>52</v>
      </c>
      <c r="H99" t="s">
        <v>33</v>
      </c>
      <c r="I99">
        <v>4</v>
      </c>
      <c r="J99">
        <v>10.43</v>
      </c>
      <c r="K99">
        <v>3</v>
      </c>
      <c r="L99">
        <v>417.3</v>
      </c>
      <c r="M99">
        <v>28</v>
      </c>
      <c r="N99" t="s">
        <v>55</v>
      </c>
      <c r="O99">
        <v>13</v>
      </c>
      <c r="P99">
        <v>109</v>
      </c>
      <c r="Q99" s="27" t="str">
        <f>IF(D99=Pivot!$AS$4,R98, "")</f>
        <v/>
      </c>
      <c r="R99" t="s">
        <v>27</v>
      </c>
      <c r="S99" s="5">
        <v>11.93</v>
      </c>
      <c r="T99">
        <v>72.14</v>
      </c>
      <c r="U99">
        <v>194.74</v>
      </c>
      <c r="V99" s="27">
        <f t="shared" si="4"/>
        <v>125.16</v>
      </c>
      <c r="W99">
        <f t="shared" si="5"/>
        <v>612.04</v>
      </c>
      <c r="X99" s="33" t="str">
        <f t="shared" si="6"/>
        <v>Mid Quality</v>
      </c>
      <c r="Y99" s="27" t="str">
        <f t="shared" si="7"/>
        <v>12</v>
      </c>
    </row>
    <row r="100" spans="1:25" x14ac:dyDescent="0.25">
      <c r="A100" s="1">
        <v>45504</v>
      </c>
      <c r="B100" t="s">
        <v>75</v>
      </c>
      <c r="C100">
        <v>3</v>
      </c>
      <c r="D100" t="s">
        <v>47</v>
      </c>
      <c r="E100" t="s">
        <v>37</v>
      </c>
      <c r="F100" t="s">
        <v>23</v>
      </c>
      <c r="G100" t="s">
        <v>60</v>
      </c>
      <c r="H100" t="s">
        <v>40</v>
      </c>
      <c r="I100">
        <v>2</v>
      </c>
      <c r="J100">
        <v>3.34</v>
      </c>
      <c r="K100">
        <v>8</v>
      </c>
      <c r="L100">
        <v>494.72</v>
      </c>
      <c r="M100">
        <v>75</v>
      </c>
      <c r="N100" t="s">
        <v>41</v>
      </c>
      <c r="O100">
        <v>26</v>
      </c>
      <c r="P100">
        <v>186</v>
      </c>
      <c r="Q100" s="27" t="str">
        <f>IF(D100=Pivot!$AS$4,R99, "")</f>
        <v/>
      </c>
      <c r="R100" t="s">
        <v>57</v>
      </c>
      <c r="S100" s="5">
        <v>13.98</v>
      </c>
      <c r="T100">
        <v>70.040000000000006</v>
      </c>
      <c r="U100">
        <v>618.4</v>
      </c>
      <c r="V100" s="27">
        <f t="shared" si="4"/>
        <v>53.44</v>
      </c>
      <c r="W100">
        <f t="shared" si="5"/>
        <v>1113.1199999999999</v>
      </c>
      <c r="X100" s="33" t="str">
        <f t="shared" si="6"/>
        <v>High Quality</v>
      </c>
      <c r="Y100" s="27" t="str">
        <f t="shared" si="7"/>
        <v>4</v>
      </c>
    </row>
    <row r="101" spans="1:25" x14ac:dyDescent="0.25">
      <c r="A101" s="1">
        <v>45461</v>
      </c>
      <c r="B101" t="s">
        <v>28</v>
      </c>
      <c r="C101">
        <v>1</v>
      </c>
      <c r="D101" t="s">
        <v>76</v>
      </c>
      <c r="E101" t="s">
        <v>67</v>
      </c>
      <c r="F101" t="s">
        <v>56</v>
      </c>
      <c r="G101" t="s">
        <v>60</v>
      </c>
      <c r="H101" t="s">
        <v>33</v>
      </c>
      <c r="I101">
        <v>3</v>
      </c>
      <c r="J101">
        <v>8.6199999999999992</v>
      </c>
      <c r="K101">
        <v>7</v>
      </c>
      <c r="L101">
        <v>224.98</v>
      </c>
      <c r="M101">
        <v>38</v>
      </c>
      <c r="N101" t="s">
        <v>49</v>
      </c>
      <c r="O101">
        <v>18</v>
      </c>
      <c r="P101">
        <v>861</v>
      </c>
      <c r="Q101" s="27" t="str">
        <f>IF(D101=Pivot!$AS$4,R100, "")</f>
        <v/>
      </c>
      <c r="R101" t="s">
        <v>27</v>
      </c>
      <c r="S101" s="5">
        <v>2.09</v>
      </c>
      <c r="T101">
        <v>92.82</v>
      </c>
      <c r="U101">
        <v>142.49</v>
      </c>
      <c r="V101" s="27">
        <f t="shared" si="4"/>
        <v>181.01999999999998</v>
      </c>
      <c r="W101">
        <f t="shared" si="5"/>
        <v>367.47</v>
      </c>
      <c r="X101" s="33" t="str">
        <f t="shared" si="6"/>
        <v>Mid Quality</v>
      </c>
      <c r="Y101" s="27" t="str">
        <f t="shared" si="7"/>
        <v>10</v>
      </c>
    </row>
    <row r="102" spans="1:25" x14ac:dyDescent="0.25">
      <c r="A102" s="1">
        <v>45350</v>
      </c>
      <c r="B102" t="s">
        <v>28</v>
      </c>
      <c r="C102">
        <v>1</v>
      </c>
      <c r="D102" t="s">
        <v>80</v>
      </c>
      <c r="E102" t="s">
        <v>30</v>
      </c>
      <c r="F102" t="s">
        <v>56</v>
      </c>
      <c r="G102" t="s">
        <v>32</v>
      </c>
      <c r="H102" t="s">
        <v>48</v>
      </c>
      <c r="I102">
        <v>4</v>
      </c>
      <c r="J102">
        <v>7.66</v>
      </c>
      <c r="K102">
        <v>6</v>
      </c>
      <c r="L102">
        <v>71.34</v>
      </c>
      <c r="M102">
        <v>52</v>
      </c>
      <c r="N102" t="s">
        <v>55</v>
      </c>
      <c r="O102">
        <v>42</v>
      </c>
      <c r="P102">
        <v>937</v>
      </c>
      <c r="Q102" s="27" t="str">
        <f>IF(D102=Pivot!$AS$4,R101, "")</f>
        <v>Kontrol tekrarlandı</v>
      </c>
      <c r="R102" t="s">
        <v>27</v>
      </c>
      <c r="S102" s="5">
        <v>4.4800000000000004</v>
      </c>
      <c r="T102">
        <v>87.04</v>
      </c>
      <c r="U102">
        <v>61.83</v>
      </c>
      <c r="V102" s="27">
        <f t="shared" si="4"/>
        <v>183.84</v>
      </c>
      <c r="W102">
        <f t="shared" si="5"/>
        <v>133.17000000000002</v>
      </c>
      <c r="X102" s="33" t="str">
        <f t="shared" si="6"/>
        <v>Mid Quality</v>
      </c>
      <c r="Y102" s="27" t="str">
        <f t="shared" si="7"/>
        <v>8</v>
      </c>
    </row>
    <row r="103" spans="1:25" x14ac:dyDescent="0.25">
      <c r="A103" s="1">
        <v>45538</v>
      </c>
      <c r="B103" t="s">
        <v>75</v>
      </c>
      <c r="C103">
        <v>1</v>
      </c>
      <c r="D103" t="s">
        <v>74</v>
      </c>
      <c r="E103" t="s">
        <v>51</v>
      </c>
      <c r="F103" t="s">
        <v>86</v>
      </c>
      <c r="G103" t="s">
        <v>39</v>
      </c>
      <c r="H103" t="s">
        <v>33</v>
      </c>
      <c r="I103">
        <v>5</v>
      </c>
      <c r="J103">
        <v>15.68</v>
      </c>
      <c r="K103">
        <v>1</v>
      </c>
      <c r="L103">
        <v>410.53</v>
      </c>
      <c r="M103">
        <v>16</v>
      </c>
      <c r="N103" t="s">
        <v>63</v>
      </c>
      <c r="O103">
        <v>49</v>
      </c>
      <c r="P103">
        <v>250</v>
      </c>
      <c r="Q103" s="27" t="str">
        <f>IF(D103=Pivot!$AS$4,R102, "")</f>
        <v/>
      </c>
      <c r="R103" t="s">
        <v>42</v>
      </c>
      <c r="S103" s="5">
        <v>19.600000000000001</v>
      </c>
      <c r="T103">
        <v>55.8</v>
      </c>
      <c r="U103">
        <v>109.47</v>
      </c>
      <c r="V103" s="27">
        <f t="shared" si="4"/>
        <v>78.400000000000006</v>
      </c>
      <c r="W103">
        <f t="shared" si="5"/>
        <v>520</v>
      </c>
      <c r="X103" s="33" t="str">
        <f t="shared" si="6"/>
        <v>Low Quality</v>
      </c>
      <c r="Y103" s="27" t="str">
        <f t="shared" si="7"/>
        <v>16</v>
      </c>
    </row>
    <row r="104" spans="1:25" x14ac:dyDescent="0.25">
      <c r="A104" s="1">
        <v>45537</v>
      </c>
      <c r="B104" t="s">
        <v>75</v>
      </c>
      <c r="C104">
        <v>3</v>
      </c>
      <c r="D104" t="s">
        <v>85</v>
      </c>
      <c r="E104" t="s">
        <v>30</v>
      </c>
      <c r="F104" t="s">
        <v>68</v>
      </c>
      <c r="G104" t="s">
        <v>24</v>
      </c>
      <c r="H104" t="s">
        <v>40</v>
      </c>
      <c r="I104">
        <v>4</v>
      </c>
      <c r="J104">
        <v>16.260000000000002</v>
      </c>
      <c r="K104">
        <v>9</v>
      </c>
      <c r="L104">
        <v>321.97000000000003</v>
      </c>
      <c r="M104">
        <v>27</v>
      </c>
      <c r="N104" t="s">
        <v>45</v>
      </c>
      <c r="O104">
        <v>20</v>
      </c>
      <c r="P104">
        <v>724</v>
      </c>
      <c r="Q104" s="27" t="str">
        <f>IF(D104=Pivot!$AS$4,R103, "")</f>
        <v/>
      </c>
      <c r="R104" t="s">
        <v>42</v>
      </c>
      <c r="S104" s="5">
        <v>2.76</v>
      </c>
      <c r="T104">
        <v>90.48</v>
      </c>
      <c r="U104">
        <v>144.88999999999999</v>
      </c>
      <c r="V104" s="27">
        <f t="shared" si="4"/>
        <v>585.36</v>
      </c>
      <c r="W104">
        <f t="shared" si="5"/>
        <v>466.86</v>
      </c>
      <c r="X104" s="33" t="str">
        <f t="shared" si="6"/>
        <v>Low Quality</v>
      </c>
      <c r="Y104" s="27" t="str">
        <f t="shared" si="7"/>
        <v>18</v>
      </c>
    </row>
    <row r="105" spans="1:25" x14ac:dyDescent="0.25">
      <c r="A105" s="1">
        <v>45537</v>
      </c>
      <c r="B105" t="s">
        <v>75</v>
      </c>
      <c r="C105">
        <v>3</v>
      </c>
      <c r="D105" t="s">
        <v>66</v>
      </c>
      <c r="E105" t="s">
        <v>30</v>
      </c>
      <c r="F105" t="s">
        <v>81</v>
      </c>
      <c r="G105" t="s">
        <v>39</v>
      </c>
      <c r="H105" t="s">
        <v>40</v>
      </c>
      <c r="I105">
        <v>1</v>
      </c>
      <c r="J105">
        <v>3.91</v>
      </c>
      <c r="K105">
        <v>3</v>
      </c>
      <c r="L105">
        <v>139.34</v>
      </c>
      <c r="M105">
        <v>83</v>
      </c>
      <c r="N105" t="s">
        <v>49</v>
      </c>
      <c r="O105">
        <v>16</v>
      </c>
      <c r="P105">
        <v>129</v>
      </c>
      <c r="Q105" s="27" t="str">
        <f>IF(D105=Pivot!$AS$4,R104, "")</f>
        <v/>
      </c>
      <c r="R105" t="s">
        <v>57</v>
      </c>
      <c r="S105" s="5">
        <v>12.4</v>
      </c>
      <c r="T105">
        <v>74.2</v>
      </c>
      <c r="U105">
        <v>192.75</v>
      </c>
      <c r="V105" s="27">
        <f t="shared" si="4"/>
        <v>11.73</v>
      </c>
      <c r="W105">
        <f t="shared" si="5"/>
        <v>332.09000000000003</v>
      </c>
      <c r="X105" s="33" t="str">
        <f t="shared" si="6"/>
        <v>High Quality</v>
      </c>
      <c r="Y105" s="27" t="str">
        <f t="shared" si="7"/>
        <v>4</v>
      </c>
    </row>
    <row r="106" spans="1:25" x14ac:dyDescent="0.25">
      <c r="A106" s="1">
        <v>45399</v>
      </c>
      <c r="B106" t="s">
        <v>75</v>
      </c>
      <c r="C106">
        <v>2</v>
      </c>
      <c r="D106" t="s">
        <v>36</v>
      </c>
      <c r="E106" t="s">
        <v>30</v>
      </c>
      <c r="F106" t="s">
        <v>90</v>
      </c>
      <c r="G106" t="s">
        <v>60</v>
      </c>
      <c r="H106" t="s">
        <v>33</v>
      </c>
      <c r="I106">
        <v>1</v>
      </c>
      <c r="J106">
        <v>7.96</v>
      </c>
      <c r="K106">
        <v>5</v>
      </c>
      <c r="L106">
        <v>272.67</v>
      </c>
      <c r="M106">
        <v>17</v>
      </c>
      <c r="N106" t="s">
        <v>26</v>
      </c>
      <c r="O106">
        <v>37</v>
      </c>
      <c r="P106">
        <v>227</v>
      </c>
      <c r="Q106" s="27" t="str">
        <f>IF(D106=Pivot!$AS$4,R105, "")</f>
        <v/>
      </c>
      <c r="R106" t="s">
        <v>57</v>
      </c>
      <c r="S106" s="5">
        <v>16.3</v>
      </c>
      <c r="T106">
        <v>66.400000000000006</v>
      </c>
      <c r="U106">
        <v>77.260000000000005</v>
      </c>
      <c r="V106" s="27">
        <f t="shared" si="4"/>
        <v>39.799999999999997</v>
      </c>
      <c r="W106">
        <f t="shared" si="5"/>
        <v>349.93</v>
      </c>
      <c r="X106" s="33" t="str">
        <f t="shared" si="6"/>
        <v>Mid Quality</v>
      </c>
      <c r="Y106" s="27" t="str">
        <f t="shared" si="7"/>
        <v>8</v>
      </c>
    </row>
    <row r="107" spans="1:25" x14ac:dyDescent="0.25">
      <c r="A107" s="1">
        <v>45374</v>
      </c>
      <c r="B107" t="s">
        <v>20</v>
      </c>
      <c r="C107">
        <v>2</v>
      </c>
      <c r="D107" t="s">
        <v>47</v>
      </c>
      <c r="E107" t="s">
        <v>30</v>
      </c>
      <c r="F107" t="s">
        <v>69</v>
      </c>
      <c r="G107" t="s">
        <v>39</v>
      </c>
      <c r="H107" t="s">
        <v>25</v>
      </c>
      <c r="I107">
        <v>1</v>
      </c>
      <c r="J107">
        <v>8.09</v>
      </c>
      <c r="K107">
        <v>7</v>
      </c>
      <c r="L107">
        <v>384.04</v>
      </c>
      <c r="M107">
        <v>49</v>
      </c>
      <c r="N107" t="s">
        <v>55</v>
      </c>
      <c r="O107">
        <v>3</v>
      </c>
      <c r="P107">
        <v>177</v>
      </c>
      <c r="Q107" s="27" t="str">
        <f>IF(D107=Pivot!$AS$4,R106, "")</f>
        <v/>
      </c>
      <c r="R107" t="s">
        <v>57</v>
      </c>
      <c r="S107" s="5">
        <v>1.69</v>
      </c>
      <c r="T107">
        <v>95.62</v>
      </c>
      <c r="U107">
        <v>313.63</v>
      </c>
      <c r="V107" s="27">
        <f t="shared" si="4"/>
        <v>56.629999999999995</v>
      </c>
      <c r="W107">
        <f t="shared" si="5"/>
        <v>697.67000000000007</v>
      </c>
      <c r="X107" s="33" t="str">
        <f t="shared" si="6"/>
        <v>Mid Quality</v>
      </c>
      <c r="Y107" s="27" t="str">
        <f t="shared" si="7"/>
        <v>10</v>
      </c>
    </row>
    <row r="108" spans="1:25" x14ac:dyDescent="0.25">
      <c r="A108" s="1">
        <v>45502</v>
      </c>
      <c r="B108" t="s">
        <v>35</v>
      </c>
      <c r="C108">
        <v>2</v>
      </c>
      <c r="D108" t="s">
        <v>80</v>
      </c>
      <c r="E108" t="s">
        <v>67</v>
      </c>
      <c r="F108" t="s">
        <v>31</v>
      </c>
      <c r="G108" t="s">
        <v>32</v>
      </c>
      <c r="H108" t="s">
        <v>48</v>
      </c>
      <c r="I108">
        <v>4</v>
      </c>
      <c r="J108">
        <v>3.88</v>
      </c>
      <c r="K108">
        <v>7</v>
      </c>
      <c r="L108">
        <v>396.69</v>
      </c>
      <c r="M108">
        <v>69</v>
      </c>
      <c r="N108" t="s">
        <v>63</v>
      </c>
      <c r="O108">
        <v>27</v>
      </c>
      <c r="P108">
        <v>520</v>
      </c>
      <c r="Q108" s="27" t="str">
        <f>IF(D108=Pivot!$AS$4,R107, "")</f>
        <v>Rutin kontrol</v>
      </c>
      <c r="R108" t="s">
        <v>34</v>
      </c>
      <c r="S108" s="5">
        <v>5.19</v>
      </c>
      <c r="T108">
        <v>85.62</v>
      </c>
      <c r="U108">
        <v>456.19</v>
      </c>
      <c r="V108" s="27">
        <f t="shared" si="4"/>
        <v>108.64</v>
      </c>
      <c r="W108">
        <f t="shared" si="5"/>
        <v>852.88</v>
      </c>
      <c r="X108" s="33" t="str">
        <f t="shared" si="6"/>
        <v>High Quality</v>
      </c>
      <c r="Y108" s="27" t="str">
        <f t="shared" si="7"/>
        <v>4</v>
      </c>
    </row>
    <row r="109" spans="1:25" x14ac:dyDescent="0.25">
      <c r="A109" s="1">
        <v>45303</v>
      </c>
      <c r="B109" t="s">
        <v>35</v>
      </c>
      <c r="C109">
        <v>1</v>
      </c>
      <c r="D109" t="s">
        <v>85</v>
      </c>
      <c r="E109" t="s">
        <v>22</v>
      </c>
      <c r="F109" t="s">
        <v>54</v>
      </c>
      <c r="G109" t="s">
        <v>24</v>
      </c>
      <c r="H109" t="s">
        <v>48</v>
      </c>
      <c r="I109">
        <v>2</v>
      </c>
      <c r="J109">
        <v>16.170000000000002</v>
      </c>
      <c r="K109">
        <v>3</v>
      </c>
      <c r="L109">
        <v>274.83</v>
      </c>
      <c r="M109">
        <v>51</v>
      </c>
      <c r="N109" t="s">
        <v>55</v>
      </c>
      <c r="O109">
        <v>15</v>
      </c>
      <c r="P109">
        <v>154</v>
      </c>
      <c r="Q109" s="27" t="str">
        <f>IF(D109=Pivot!$AS$4,R108, "")</f>
        <v/>
      </c>
      <c r="R109" t="s">
        <v>34</v>
      </c>
      <c r="S109" s="5">
        <v>9.74</v>
      </c>
      <c r="T109">
        <v>78.52</v>
      </c>
      <c r="U109">
        <v>233.61</v>
      </c>
      <c r="V109" s="27">
        <f t="shared" si="4"/>
        <v>97.02000000000001</v>
      </c>
      <c r="W109">
        <f t="shared" si="5"/>
        <v>508.44</v>
      </c>
      <c r="X109" s="33" t="str">
        <f t="shared" si="6"/>
        <v>Low Quality</v>
      </c>
      <c r="Y109" s="27" t="str">
        <f t="shared" si="7"/>
        <v>18</v>
      </c>
    </row>
    <row r="110" spans="1:25" x14ac:dyDescent="0.25">
      <c r="A110" s="1">
        <v>45416</v>
      </c>
      <c r="B110" t="s">
        <v>75</v>
      </c>
      <c r="C110">
        <v>1</v>
      </c>
      <c r="D110" t="s">
        <v>36</v>
      </c>
      <c r="E110" t="s">
        <v>37</v>
      </c>
      <c r="F110" t="s">
        <v>89</v>
      </c>
      <c r="G110" t="s">
        <v>32</v>
      </c>
      <c r="H110" t="s">
        <v>33</v>
      </c>
      <c r="I110">
        <v>5</v>
      </c>
      <c r="J110">
        <v>14.44</v>
      </c>
      <c r="K110">
        <v>4</v>
      </c>
      <c r="L110">
        <v>187.35</v>
      </c>
      <c r="M110">
        <v>62</v>
      </c>
      <c r="N110" t="s">
        <v>41</v>
      </c>
      <c r="O110">
        <v>34</v>
      </c>
      <c r="P110">
        <v>579</v>
      </c>
      <c r="Q110" s="27" t="str">
        <f>IF(D110=Pivot!$AS$4,R109, "")</f>
        <v/>
      </c>
      <c r="R110" t="s">
        <v>42</v>
      </c>
      <c r="S110" s="5">
        <v>5.87</v>
      </c>
      <c r="T110">
        <v>83.26</v>
      </c>
      <c r="U110">
        <v>193.6</v>
      </c>
      <c r="V110" s="27">
        <f t="shared" si="4"/>
        <v>288.8</v>
      </c>
      <c r="W110">
        <f t="shared" si="5"/>
        <v>380.95</v>
      </c>
      <c r="X110" s="33" t="str">
        <f t="shared" si="6"/>
        <v>Mid Quality</v>
      </c>
      <c r="Y110" s="27" t="str">
        <f t="shared" si="7"/>
        <v>16</v>
      </c>
    </row>
    <row r="111" spans="1:25" x14ac:dyDescent="0.25">
      <c r="A111" s="1">
        <v>45314</v>
      </c>
      <c r="B111" t="s">
        <v>35</v>
      </c>
      <c r="C111">
        <v>2</v>
      </c>
      <c r="D111" t="s">
        <v>74</v>
      </c>
      <c r="E111" t="s">
        <v>30</v>
      </c>
      <c r="F111" t="s">
        <v>44</v>
      </c>
      <c r="G111" t="s">
        <v>24</v>
      </c>
      <c r="H111" t="s">
        <v>25</v>
      </c>
      <c r="I111">
        <v>4</v>
      </c>
      <c r="J111">
        <v>4.62</v>
      </c>
      <c r="K111">
        <v>7</v>
      </c>
      <c r="L111">
        <v>488.18</v>
      </c>
      <c r="M111">
        <v>9</v>
      </c>
      <c r="N111" t="s">
        <v>49</v>
      </c>
      <c r="O111">
        <v>45</v>
      </c>
      <c r="P111">
        <v>404</v>
      </c>
      <c r="Q111" s="27" t="str">
        <f>IF(D111=Pivot!$AS$4,R110, "")</f>
        <v/>
      </c>
      <c r="R111" t="s">
        <v>42</v>
      </c>
      <c r="S111" s="5">
        <v>11.14</v>
      </c>
      <c r="T111">
        <v>73.72</v>
      </c>
      <c r="U111">
        <v>73.23</v>
      </c>
      <c r="V111" s="27">
        <f t="shared" si="4"/>
        <v>129.36000000000001</v>
      </c>
      <c r="W111">
        <f t="shared" si="5"/>
        <v>561.41</v>
      </c>
      <c r="X111" s="33" t="str">
        <f t="shared" si="6"/>
        <v>High Quality</v>
      </c>
      <c r="Y111" s="27" t="str">
        <f t="shared" si="7"/>
        <v>6</v>
      </c>
    </row>
    <row r="112" spans="1:25" x14ac:dyDescent="0.25">
      <c r="A112" s="1">
        <v>45357</v>
      </c>
      <c r="B112" t="s">
        <v>35</v>
      </c>
      <c r="C112">
        <v>1</v>
      </c>
      <c r="D112" t="s">
        <v>79</v>
      </c>
      <c r="E112" t="s">
        <v>30</v>
      </c>
      <c r="F112" t="s">
        <v>89</v>
      </c>
      <c r="G112" t="s">
        <v>60</v>
      </c>
      <c r="H112" t="s">
        <v>40</v>
      </c>
      <c r="I112">
        <v>2</v>
      </c>
      <c r="J112">
        <v>7.97</v>
      </c>
      <c r="K112">
        <v>8</v>
      </c>
      <c r="L112">
        <v>348.51</v>
      </c>
      <c r="M112">
        <v>81</v>
      </c>
      <c r="N112" t="s">
        <v>45</v>
      </c>
      <c r="O112">
        <v>22</v>
      </c>
      <c r="P112">
        <v>645</v>
      </c>
      <c r="Q112" s="27" t="str">
        <f>IF(D112=Pivot!$AS$4,R111, "")</f>
        <v/>
      </c>
      <c r="R112" t="s">
        <v>57</v>
      </c>
      <c r="S112" s="5">
        <v>3.41</v>
      </c>
      <c r="T112">
        <v>91.18</v>
      </c>
      <c r="U112">
        <v>470.49</v>
      </c>
      <c r="V112" s="27">
        <f t="shared" si="4"/>
        <v>127.52</v>
      </c>
      <c r="W112">
        <f t="shared" si="5"/>
        <v>819</v>
      </c>
      <c r="X112" s="33" t="str">
        <f t="shared" si="6"/>
        <v>Mid Quality</v>
      </c>
      <c r="Y112" s="27" t="str">
        <f t="shared" si="7"/>
        <v>8</v>
      </c>
    </row>
    <row r="113" spans="1:25" x14ac:dyDescent="0.25">
      <c r="A113" s="1">
        <v>45585</v>
      </c>
      <c r="B113" t="s">
        <v>75</v>
      </c>
      <c r="C113">
        <v>2</v>
      </c>
      <c r="D113" t="s">
        <v>74</v>
      </c>
      <c r="E113" t="s">
        <v>30</v>
      </c>
      <c r="F113" t="s">
        <v>59</v>
      </c>
      <c r="G113" t="s">
        <v>24</v>
      </c>
      <c r="H113" t="s">
        <v>61</v>
      </c>
      <c r="I113">
        <v>2</v>
      </c>
      <c r="J113">
        <v>3.01</v>
      </c>
      <c r="K113">
        <v>2</v>
      </c>
      <c r="L113">
        <v>233.71</v>
      </c>
      <c r="M113">
        <v>9</v>
      </c>
      <c r="N113" t="s">
        <v>63</v>
      </c>
      <c r="O113">
        <v>40</v>
      </c>
      <c r="P113">
        <v>204</v>
      </c>
      <c r="Q113" s="27" t="str">
        <f>IF(D113=Pivot!$AS$4,R112, "")</f>
        <v/>
      </c>
      <c r="R113" t="s">
        <v>34</v>
      </c>
      <c r="S113" s="5">
        <v>19.61</v>
      </c>
      <c r="T113">
        <v>58.78</v>
      </c>
      <c r="U113">
        <v>35.06</v>
      </c>
      <c r="V113" s="27">
        <f t="shared" si="4"/>
        <v>12.04</v>
      </c>
      <c r="W113">
        <f t="shared" si="5"/>
        <v>268.77</v>
      </c>
      <c r="X113" s="33" t="str">
        <f t="shared" si="6"/>
        <v>High Quality</v>
      </c>
      <c r="Y113" s="27" t="str">
        <f t="shared" si="7"/>
        <v>4</v>
      </c>
    </row>
    <row r="114" spans="1:25" x14ac:dyDescent="0.25">
      <c r="A114" s="1">
        <v>45374</v>
      </c>
      <c r="B114" t="s">
        <v>35</v>
      </c>
      <c r="C114">
        <v>3</v>
      </c>
      <c r="D114" t="s">
        <v>47</v>
      </c>
      <c r="E114" t="s">
        <v>22</v>
      </c>
      <c r="F114" t="s">
        <v>56</v>
      </c>
      <c r="G114" t="s">
        <v>24</v>
      </c>
      <c r="H114" t="s">
        <v>61</v>
      </c>
      <c r="I114">
        <v>4</v>
      </c>
      <c r="J114">
        <v>12.94</v>
      </c>
      <c r="K114">
        <v>9</v>
      </c>
      <c r="L114">
        <v>176.21</v>
      </c>
      <c r="M114">
        <v>64</v>
      </c>
      <c r="N114" t="s">
        <v>55</v>
      </c>
      <c r="O114">
        <v>23</v>
      </c>
      <c r="P114">
        <v>271</v>
      </c>
      <c r="Q114" s="27" t="str">
        <f>IF(D114=Pivot!$AS$4,R113, "")</f>
        <v/>
      </c>
      <c r="R114" t="s">
        <v>46</v>
      </c>
      <c r="S114" s="5">
        <v>8.49</v>
      </c>
      <c r="T114">
        <v>79.02</v>
      </c>
      <c r="U114">
        <v>187.96</v>
      </c>
      <c r="V114" s="27">
        <f t="shared" si="4"/>
        <v>465.84</v>
      </c>
      <c r="W114">
        <f t="shared" si="5"/>
        <v>364.17</v>
      </c>
      <c r="X114" s="33" t="str">
        <f t="shared" si="6"/>
        <v>Mid Quality</v>
      </c>
      <c r="Y114" s="27" t="str">
        <f t="shared" si="7"/>
        <v>14</v>
      </c>
    </row>
    <row r="115" spans="1:25" x14ac:dyDescent="0.25">
      <c r="A115" s="1">
        <v>45360</v>
      </c>
      <c r="B115" t="s">
        <v>28</v>
      </c>
      <c r="C115">
        <v>2</v>
      </c>
      <c r="D115" t="s">
        <v>74</v>
      </c>
      <c r="E115" t="s">
        <v>51</v>
      </c>
      <c r="F115" t="s">
        <v>81</v>
      </c>
      <c r="G115" t="s">
        <v>24</v>
      </c>
      <c r="H115" t="s">
        <v>33</v>
      </c>
      <c r="I115">
        <v>4</v>
      </c>
      <c r="J115">
        <v>3.31</v>
      </c>
      <c r="K115">
        <v>7</v>
      </c>
      <c r="L115">
        <v>379</v>
      </c>
      <c r="M115">
        <v>25</v>
      </c>
      <c r="N115" t="s">
        <v>49</v>
      </c>
      <c r="O115">
        <v>49</v>
      </c>
      <c r="P115">
        <v>598</v>
      </c>
      <c r="Q115" s="27" t="str">
        <f>IF(D115=Pivot!$AS$4,R114, "")</f>
        <v/>
      </c>
      <c r="R115" t="s">
        <v>34</v>
      </c>
      <c r="S115" s="5">
        <v>8.19</v>
      </c>
      <c r="T115">
        <v>79.62</v>
      </c>
      <c r="U115">
        <v>157.91999999999999</v>
      </c>
      <c r="V115" s="27">
        <f t="shared" si="4"/>
        <v>92.68</v>
      </c>
      <c r="W115">
        <f t="shared" si="5"/>
        <v>536.91999999999996</v>
      </c>
      <c r="X115" s="33" t="str">
        <f t="shared" si="6"/>
        <v>High Quality</v>
      </c>
      <c r="Y115" s="27" t="str">
        <f t="shared" si="7"/>
        <v>4</v>
      </c>
    </row>
    <row r="116" spans="1:25" x14ac:dyDescent="0.25">
      <c r="A116" s="1">
        <v>45554</v>
      </c>
      <c r="B116" t="s">
        <v>50</v>
      </c>
      <c r="C116">
        <v>3</v>
      </c>
      <c r="D116" t="s">
        <v>83</v>
      </c>
      <c r="E116" t="s">
        <v>51</v>
      </c>
      <c r="F116" t="s">
        <v>73</v>
      </c>
      <c r="G116" t="s">
        <v>39</v>
      </c>
      <c r="H116" t="s">
        <v>25</v>
      </c>
      <c r="I116">
        <v>2</v>
      </c>
      <c r="J116">
        <v>19.73</v>
      </c>
      <c r="K116">
        <v>8</v>
      </c>
      <c r="L116">
        <v>158.97999999999999</v>
      </c>
      <c r="M116">
        <v>28</v>
      </c>
      <c r="N116" t="s">
        <v>55</v>
      </c>
      <c r="O116">
        <v>4</v>
      </c>
      <c r="P116">
        <v>121</v>
      </c>
      <c r="Q116" s="27" t="str">
        <f>IF(D116=Pivot!$AS$4,R115, "")</f>
        <v/>
      </c>
      <c r="R116" t="s">
        <v>42</v>
      </c>
      <c r="S116" s="5">
        <v>3.31</v>
      </c>
      <c r="T116">
        <v>91.38</v>
      </c>
      <c r="U116">
        <v>74.19</v>
      </c>
      <c r="V116" s="27">
        <f t="shared" si="4"/>
        <v>315.68</v>
      </c>
      <c r="W116">
        <f t="shared" si="5"/>
        <v>233.17</v>
      </c>
      <c r="X116" s="33" t="str">
        <f t="shared" si="6"/>
        <v>Low Quality</v>
      </c>
      <c r="Y116" s="27" t="str">
        <f t="shared" si="7"/>
        <v>20</v>
      </c>
    </row>
    <row r="117" spans="1:25" x14ac:dyDescent="0.25">
      <c r="A117" s="1">
        <v>45312</v>
      </c>
      <c r="B117" t="s">
        <v>50</v>
      </c>
      <c r="C117">
        <v>1</v>
      </c>
      <c r="D117" t="s">
        <v>83</v>
      </c>
      <c r="E117" t="s">
        <v>67</v>
      </c>
      <c r="F117" t="s">
        <v>44</v>
      </c>
      <c r="G117" t="s">
        <v>39</v>
      </c>
      <c r="H117" t="s">
        <v>25</v>
      </c>
      <c r="I117">
        <v>2</v>
      </c>
      <c r="J117">
        <v>15.83</v>
      </c>
      <c r="K117">
        <v>6</v>
      </c>
      <c r="L117">
        <v>127.27</v>
      </c>
      <c r="M117">
        <v>22</v>
      </c>
      <c r="N117" t="s">
        <v>49</v>
      </c>
      <c r="O117">
        <v>41</v>
      </c>
      <c r="P117">
        <v>386</v>
      </c>
      <c r="Q117" s="27" t="str">
        <f>IF(D117=Pivot!$AS$4,R116, "")</f>
        <v/>
      </c>
      <c r="R117" t="s">
        <v>34</v>
      </c>
      <c r="S117" s="5">
        <v>10.62</v>
      </c>
      <c r="T117">
        <v>76.760000000000005</v>
      </c>
      <c r="U117">
        <v>46.67</v>
      </c>
      <c r="V117" s="27">
        <f t="shared" si="4"/>
        <v>189.96</v>
      </c>
      <c r="W117">
        <f t="shared" si="5"/>
        <v>173.94</v>
      </c>
      <c r="X117" s="33" t="str">
        <f t="shared" si="6"/>
        <v>Low Quality</v>
      </c>
      <c r="Y117" s="27" t="str">
        <f t="shared" si="7"/>
        <v>16</v>
      </c>
    </row>
    <row r="118" spans="1:25" x14ac:dyDescent="0.25">
      <c r="A118" s="1">
        <v>45585</v>
      </c>
      <c r="B118" t="s">
        <v>75</v>
      </c>
      <c r="C118">
        <v>2</v>
      </c>
      <c r="D118" t="s">
        <v>47</v>
      </c>
      <c r="E118" t="s">
        <v>51</v>
      </c>
      <c r="F118" t="s">
        <v>68</v>
      </c>
      <c r="G118" t="s">
        <v>60</v>
      </c>
      <c r="H118" t="s">
        <v>48</v>
      </c>
      <c r="I118">
        <v>2</v>
      </c>
      <c r="J118">
        <v>8.41</v>
      </c>
      <c r="K118">
        <v>6</v>
      </c>
      <c r="L118">
        <v>288.43</v>
      </c>
      <c r="M118">
        <v>25</v>
      </c>
      <c r="N118" t="s">
        <v>41</v>
      </c>
      <c r="O118">
        <v>23</v>
      </c>
      <c r="P118">
        <v>490</v>
      </c>
      <c r="Q118" s="27" t="str">
        <f>IF(D118=Pivot!$AS$4,R117, "")</f>
        <v/>
      </c>
      <c r="R118" t="s">
        <v>42</v>
      </c>
      <c r="S118" s="5">
        <v>4.6900000000000004</v>
      </c>
      <c r="T118">
        <v>88.62</v>
      </c>
      <c r="U118">
        <v>120.18</v>
      </c>
      <c r="V118" s="27">
        <f t="shared" si="4"/>
        <v>100.92</v>
      </c>
      <c r="W118">
        <f t="shared" si="5"/>
        <v>408.61</v>
      </c>
      <c r="X118" s="33" t="str">
        <f t="shared" si="6"/>
        <v>Mid Quality</v>
      </c>
      <c r="Y118" s="27" t="str">
        <f t="shared" si="7"/>
        <v>10</v>
      </c>
    </row>
    <row r="119" spans="1:25" x14ac:dyDescent="0.25">
      <c r="A119" s="1">
        <v>45367</v>
      </c>
      <c r="B119" t="s">
        <v>20</v>
      </c>
      <c r="C119">
        <v>1</v>
      </c>
      <c r="D119" t="s">
        <v>79</v>
      </c>
      <c r="E119" t="s">
        <v>30</v>
      </c>
      <c r="F119" t="s">
        <v>54</v>
      </c>
      <c r="G119" t="s">
        <v>24</v>
      </c>
      <c r="H119" t="s">
        <v>40</v>
      </c>
      <c r="I119">
        <v>4</v>
      </c>
      <c r="J119">
        <v>11.99</v>
      </c>
      <c r="K119">
        <v>9</v>
      </c>
      <c r="L119">
        <v>180.49</v>
      </c>
      <c r="M119">
        <v>58</v>
      </c>
      <c r="N119" t="s">
        <v>55</v>
      </c>
      <c r="O119">
        <v>47</v>
      </c>
      <c r="P119">
        <v>716</v>
      </c>
      <c r="Q119" s="27" t="str">
        <f>IF(D119=Pivot!$AS$4,R118, "")</f>
        <v/>
      </c>
      <c r="R119" t="s">
        <v>57</v>
      </c>
      <c r="S119" s="5">
        <v>6.56</v>
      </c>
      <c r="T119">
        <v>82.88</v>
      </c>
      <c r="U119">
        <v>174.47</v>
      </c>
      <c r="V119" s="27">
        <f t="shared" si="4"/>
        <v>431.64</v>
      </c>
      <c r="W119">
        <f t="shared" si="5"/>
        <v>354.96000000000004</v>
      </c>
      <c r="X119" s="33" t="str">
        <f t="shared" si="6"/>
        <v>Mid Quality</v>
      </c>
      <c r="Y119" s="27" t="str">
        <f t="shared" si="7"/>
        <v>12</v>
      </c>
    </row>
    <row r="120" spans="1:25" x14ac:dyDescent="0.25">
      <c r="A120" s="1">
        <v>45320</v>
      </c>
      <c r="B120" t="s">
        <v>75</v>
      </c>
      <c r="C120">
        <v>3</v>
      </c>
      <c r="D120" t="s">
        <v>79</v>
      </c>
      <c r="E120" t="s">
        <v>30</v>
      </c>
      <c r="F120" t="s">
        <v>81</v>
      </c>
      <c r="G120" t="s">
        <v>52</v>
      </c>
      <c r="H120" t="s">
        <v>25</v>
      </c>
      <c r="I120">
        <v>2</v>
      </c>
      <c r="J120">
        <v>18.32</v>
      </c>
      <c r="K120">
        <v>4</v>
      </c>
      <c r="L120">
        <v>333.01</v>
      </c>
      <c r="M120">
        <v>14</v>
      </c>
      <c r="N120" t="s">
        <v>41</v>
      </c>
      <c r="O120">
        <v>9</v>
      </c>
      <c r="P120">
        <v>248</v>
      </c>
      <c r="Q120" s="27" t="str">
        <f>IF(D120=Pivot!$AS$4,R119, "")</f>
        <v/>
      </c>
      <c r="R120" t="s">
        <v>57</v>
      </c>
      <c r="S120" s="5">
        <v>3.63</v>
      </c>
      <c r="T120">
        <v>90.74</v>
      </c>
      <c r="U120">
        <v>77.7</v>
      </c>
      <c r="V120" s="27">
        <f t="shared" si="4"/>
        <v>146.56</v>
      </c>
      <c r="W120">
        <f t="shared" si="5"/>
        <v>410.71</v>
      </c>
      <c r="X120" s="33" t="str">
        <f t="shared" si="6"/>
        <v>Low Quality</v>
      </c>
      <c r="Y120" s="27" t="str">
        <f t="shared" si="7"/>
        <v>20</v>
      </c>
    </row>
    <row r="121" spans="1:25" x14ac:dyDescent="0.25">
      <c r="A121" s="1">
        <v>45377</v>
      </c>
      <c r="B121" t="s">
        <v>20</v>
      </c>
      <c r="C121">
        <v>3</v>
      </c>
      <c r="D121" t="s">
        <v>71</v>
      </c>
      <c r="E121" t="s">
        <v>30</v>
      </c>
      <c r="F121" t="s">
        <v>44</v>
      </c>
      <c r="G121" t="s">
        <v>60</v>
      </c>
      <c r="H121" t="s">
        <v>61</v>
      </c>
      <c r="I121">
        <v>1</v>
      </c>
      <c r="J121">
        <v>11.53</v>
      </c>
      <c r="K121">
        <v>5</v>
      </c>
      <c r="L121">
        <v>103.07</v>
      </c>
      <c r="M121">
        <v>28</v>
      </c>
      <c r="N121" t="s">
        <v>26</v>
      </c>
      <c r="O121">
        <v>24</v>
      </c>
      <c r="P121">
        <v>371</v>
      </c>
      <c r="Q121" s="27" t="str">
        <f>IF(D121=Pivot!$AS$4,R120, "")</f>
        <v/>
      </c>
      <c r="R121" t="s">
        <v>57</v>
      </c>
      <c r="S121" s="5">
        <v>6.47</v>
      </c>
      <c r="T121">
        <v>86.06</v>
      </c>
      <c r="U121">
        <v>48.1</v>
      </c>
      <c r="V121" s="27">
        <f t="shared" si="4"/>
        <v>57.65</v>
      </c>
      <c r="W121">
        <f t="shared" si="5"/>
        <v>151.16999999999999</v>
      </c>
      <c r="X121" s="33" t="str">
        <f t="shared" si="6"/>
        <v>Mid Quality</v>
      </c>
      <c r="Y121" s="27" t="str">
        <f t="shared" si="7"/>
        <v>12</v>
      </c>
    </row>
    <row r="122" spans="1:25" x14ac:dyDescent="0.25">
      <c r="A122" s="1">
        <v>45424</v>
      </c>
      <c r="B122" t="s">
        <v>50</v>
      </c>
      <c r="C122">
        <v>3</v>
      </c>
      <c r="D122" t="s">
        <v>47</v>
      </c>
      <c r="E122" t="s">
        <v>67</v>
      </c>
      <c r="F122" t="s">
        <v>38</v>
      </c>
      <c r="G122" t="s">
        <v>24</v>
      </c>
      <c r="H122" t="s">
        <v>40</v>
      </c>
      <c r="I122">
        <v>4</v>
      </c>
      <c r="J122">
        <v>4.32</v>
      </c>
      <c r="K122">
        <v>9</v>
      </c>
      <c r="L122">
        <v>344.72</v>
      </c>
      <c r="M122">
        <v>89</v>
      </c>
      <c r="N122" t="s">
        <v>26</v>
      </c>
      <c r="O122">
        <v>21</v>
      </c>
      <c r="P122">
        <v>887</v>
      </c>
      <c r="Q122" s="27" t="str">
        <f>IF(D122=Pivot!$AS$4,R121, "")</f>
        <v/>
      </c>
      <c r="R122" t="s">
        <v>46</v>
      </c>
      <c r="S122" s="5">
        <v>2.37</v>
      </c>
      <c r="T122">
        <v>91.26</v>
      </c>
      <c r="U122">
        <v>511.33</v>
      </c>
      <c r="V122" s="27">
        <f t="shared" si="4"/>
        <v>155.52000000000001</v>
      </c>
      <c r="W122">
        <f t="shared" si="5"/>
        <v>856.05</v>
      </c>
      <c r="X122" s="33" t="str">
        <f t="shared" si="6"/>
        <v>High Quality</v>
      </c>
      <c r="Y122" s="27" t="str">
        <f t="shared" si="7"/>
        <v>6</v>
      </c>
    </row>
    <row r="123" spans="1:25" x14ac:dyDescent="0.25">
      <c r="A123" s="1">
        <v>45384</v>
      </c>
      <c r="B123" t="s">
        <v>75</v>
      </c>
      <c r="C123">
        <v>1</v>
      </c>
      <c r="D123" t="s">
        <v>85</v>
      </c>
      <c r="E123" t="s">
        <v>30</v>
      </c>
      <c r="F123" t="s">
        <v>87</v>
      </c>
      <c r="G123" t="s">
        <v>24</v>
      </c>
      <c r="H123" t="s">
        <v>40</v>
      </c>
      <c r="I123">
        <v>1</v>
      </c>
      <c r="J123">
        <v>8.1999999999999993</v>
      </c>
      <c r="K123">
        <v>1</v>
      </c>
      <c r="L123">
        <v>177.48</v>
      </c>
      <c r="M123">
        <v>64</v>
      </c>
      <c r="N123" t="s">
        <v>63</v>
      </c>
      <c r="O123">
        <v>41</v>
      </c>
      <c r="P123">
        <v>398</v>
      </c>
      <c r="Q123" s="27" t="str">
        <f>IF(D123=Pivot!$AS$4,R122, "")</f>
        <v/>
      </c>
      <c r="R123" t="s">
        <v>46</v>
      </c>
      <c r="S123" s="5">
        <v>10.3</v>
      </c>
      <c r="T123">
        <v>78.400000000000006</v>
      </c>
      <c r="U123">
        <v>189.31</v>
      </c>
      <c r="V123" s="27">
        <f t="shared" si="4"/>
        <v>8.1999999999999993</v>
      </c>
      <c r="W123">
        <f t="shared" si="5"/>
        <v>366.78999999999996</v>
      </c>
      <c r="X123" s="33" t="str">
        <f t="shared" si="6"/>
        <v>Mid Quality</v>
      </c>
      <c r="Y123" s="27" t="str">
        <f t="shared" si="7"/>
        <v>10</v>
      </c>
    </row>
    <row r="124" spans="1:25" x14ac:dyDescent="0.25">
      <c r="A124" s="1">
        <v>45556</v>
      </c>
      <c r="B124" t="s">
        <v>65</v>
      </c>
      <c r="C124">
        <v>1</v>
      </c>
      <c r="D124" t="s">
        <v>43</v>
      </c>
      <c r="E124" t="s">
        <v>51</v>
      </c>
      <c r="F124" t="s">
        <v>73</v>
      </c>
      <c r="G124" t="s">
        <v>39</v>
      </c>
      <c r="H124" t="s">
        <v>33</v>
      </c>
      <c r="I124">
        <v>3</v>
      </c>
      <c r="J124">
        <v>17.02</v>
      </c>
      <c r="K124">
        <v>4</v>
      </c>
      <c r="L124">
        <v>50.11</v>
      </c>
      <c r="M124">
        <v>61</v>
      </c>
      <c r="N124" t="s">
        <v>41</v>
      </c>
      <c r="O124">
        <v>46</v>
      </c>
      <c r="P124">
        <v>271</v>
      </c>
      <c r="Q124" s="27" t="str">
        <f>IF(D124=Pivot!$AS$4,R123, "")</f>
        <v/>
      </c>
      <c r="R124" t="s">
        <v>42</v>
      </c>
      <c r="S124" s="5">
        <v>16.97</v>
      </c>
      <c r="T124">
        <v>63.06</v>
      </c>
      <c r="U124">
        <v>50.95</v>
      </c>
      <c r="V124" s="27">
        <f t="shared" si="4"/>
        <v>204.24</v>
      </c>
      <c r="W124">
        <f t="shared" si="5"/>
        <v>101.06</v>
      </c>
      <c r="X124" s="33" t="str">
        <f t="shared" si="6"/>
        <v>Low Quality</v>
      </c>
      <c r="Y124" s="27" t="str">
        <f t="shared" si="7"/>
        <v>18</v>
      </c>
    </row>
    <row r="125" spans="1:25" x14ac:dyDescent="0.25">
      <c r="A125" s="1">
        <v>45499</v>
      </c>
      <c r="B125" t="s">
        <v>28</v>
      </c>
      <c r="C125">
        <v>1</v>
      </c>
      <c r="D125" t="s">
        <v>29</v>
      </c>
      <c r="E125" t="s">
        <v>22</v>
      </c>
      <c r="F125" t="s">
        <v>54</v>
      </c>
      <c r="G125" t="s">
        <v>60</v>
      </c>
      <c r="H125" t="s">
        <v>25</v>
      </c>
      <c r="I125">
        <v>4</v>
      </c>
      <c r="J125">
        <v>13.24</v>
      </c>
      <c r="K125">
        <v>7</v>
      </c>
      <c r="L125">
        <v>107.12</v>
      </c>
      <c r="M125">
        <v>27</v>
      </c>
      <c r="N125" t="s">
        <v>49</v>
      </c>
      <c r="O125">
        <v>16</v>
      </c>
      <c r="P125">
        <v>146</v>
      </c>
      <c r="Q125" s="27" t="str">
        <f>IF(D125=Pivot!$AS$4,R124, "")</f>
        <v/>
      </c>
      <c r="R125" t="s">
        <v>27</v>
      </c>
      <c r="S125" s="5">
        <v>10.96</v>
      </c>
      <c r="T125">
        <v>74.08</v>
      </c>
      <c r="U125">
        <v>48.2</v>
      </c>
      <c r="V125" s="27">
        <f t="shared" si="4"/>
        <v>370.72</v>
      </c>
      <c r="W125">
        <f t="shared" si="5"/>
        <v>155.32</v>
      </c>
      <c r="X125" s="33" t="str">
        <f t="shared" si="6"/>
        <v>Mid Quality</v>
      </c>
      <c r="Y125" s="27" t="str">
        <f t="shared" si="7"/>
        <v>14</v>
      </c>
    </row>
    <row r="126" spans="1:25" x14ac:dyDescent="0.25">
      <c r="A126" s="1">
        <v>45580</v>
      </c>
      <c r="B126" t="s">
        <v>35</v>
      </c>
      <c r="C126">
        <v>1</v>
      </c>
      <c r="D126" t="s">
        <v>88</v>
      </c>
      <c r="E126" t="s">
        <v>22</v>
      </c>
      <c r="F126" t="s">
        <v>70</v>
      </c>
      <c r="G126" t="s">
        <v>24</v>
      </c>
      <c r="H126" t="s">
        <v>33</v>
      </c>
      <c r="I126">
        <v>3</v>
      </c>
      <c r="J126">
        <v>13.36</v>
      </c>
      <c r="K126">
        <v>9</v>
      </c>
      <c r="L126">
        <v>470.13</v>
      </c>
      <c r="M126">
        <v>26</v>
      </c>
      <c r="N126" t="s">
        <v>63</v>
      </c>
      <c r="O126">
        <v>25</v>
      </c>
      <c r="P126">
        <v>725</v>
      </c>
      <c r="Q126" s="27" t="str">
        <f>IF(D126=Pivot!$AS$4,R125, "")</f>
        <v/>
      </c>
      <c r="R126" t="s">
        <v>46</v>
      </c>
      <c r="S126" s="5">
        <v>3.45</v>
      </c>
      <c r="T126">
        <v>90.1</v>
      </c>
      <c r="U126">
        <v>203.72</v>
      </c>
      <c r="V126" s="27">
        <f t="shared" si="4"/>
        <v>360.71999999999997</v>
      </c>
      <c r="W126">
        <f t="shared" si="5"/>
        <v>673.85</v>
      </c>
      <c r="X126" s="33" t="str">
        <f t="shared" si="6"/>
        <v>Mid Quality</v>
      </c>
      <c r="Y126" s="27" t="str">
        <f t="shared" si="7"/>
        <v>14</v>
      </c>
    </row>
    <row r="127" spans="1:25" x14ac:dyDescent="0.25">
      <c r="A127" s="1">
        <v>45301</v>
      </c>
      <c r="B127" t="s">
        <v>20</v>
      </c>
      <c r="C127">
        <v>3</v>
      </c>
      <c r="D127" t="s">
        <v>76</v>
      </c>
      <c r="E127" t="s">
        <v>37</v>
      </c>
      <c r="F127" t="s">
        <v>87</v>
      </c>
      <c r="G127" t="s">
        <v>24</v>
      </c>
      <c r="H127" t="s">
        <v>25</v>
      </c>
      <c r="I127">
        <v>2</v>
      </c>
      <c r="J127">
        <v>17.47</v>
      </c>
      <c r="K127">
        <v>6</v>
      </c>
      <c r="L127">
        <v>440.31</v>
      </c>
      <c r="M127">
        <v>72</v>
      </c>
      <c r="N127" t="s">
        <v>55</v>
      </c>
      <c r="O127">
        <v>26</v>
      </c>
      <c r="P127">
        <v>886</v>
      </c>
      <c r="Q127" s="27" t="str">
        <f>IF(D127=Pivot!$AS$4,R126, "")</f>
        <v/>
      </c>
      <c r="R127" t="s">
        <v>42</v>
      </c>
      <c r="S127" s="5">
        <v>2.93</v>
      </c>
      <c r="T127">
        <v>92.14</v>
      </c>
      <c r="U127">
        <v>528.37</v>
      </c>
      <c r="V127" s="27">
        <f t="shared" si="4"/>
        <v>209.64</v>
      </c>
      <c r="W127">
        <f t="shared" si="5"/>
        <v>968.68000000000006</v>
      </c>
      <c r="X127" s="33" t="str">
        <f t="shared" si="6"/>
        <v>Low Quality</v>
      </c>
      <c r="Y127" s="27" t="str">
        <f t="shared" si="7"/>
        <v>18</v>
      </c>
    </row>
    <row r="128" spans="1:25" x14ac:dyDescent="0.25">
      <c r="A128" s="1">
        <v>45437</v>
      </c>
      <c r="B128" t="s">
        <v>65</v>
      </c>
      <c r="C128">
        <v>3</v>
      </c>
      <c r="D128" t="s">
        <v>74</v>
      </c>
      <c r="E128" t="s">
        <v>51</v>
      </c>
      <c r="F128" t="s">
        <v>31</v>
      </c>
      <c r="G128" t="s">
        <v>60</v>
      </c>
      <c r="H128" t="s">
        <v>48</v>
      </c>
      <c r="I128">
        <v>2</v>
      </c>
      <c r="J128">
        <v>17.989999999999998</v>
      </c>
      <c r="K128">
        <v>8</v>
      </c>
      <c r="L128">
        <v>155.12</v>
      </c>
      <c r="M128">
        <v>38</v>
      </c>
      <c r="N128" t="s">
        <v>55</v>
      </c>
      <c r="O128">
        <v>49</v>
      </c>
      <c r="P128">
        <v>915</v>
      </c>
      <c r="Q128" s="27" t="str">
        <f>IF(D128=Pivot!$AS$4,R127, "")</f>
        <v/>
      </c>
      <c r="R128" t="s">
        <v>34</v>
      </c>
      <c r="S128" s="5">
        <v>5.36</v>
      </c>
      <c r="T128">
        <v>87.28</v>
      </c>
      <c r="U128">
        <v>98.24</v>
      </c>
      <c r="V128" s="27">
        <f t="shared" si="4"/>
        <v>287.83999999999997</v>
      </c>
      <c r="W128">
        <f t="shared" si="5"/>
        <v>253.36</v>
      </c>
      <c r="X128" s="33" t="str">
        <f t="shared" si="6"/>
        <v>Low Quality</v>
      </c>
      <c r="Y128" s="27" t="str">
        <f t="shared" si="7"/>
        <v>18</v>
      </c>
    </row>
    <row r="129" spans="1:25" x14ac:dyDescent="0.25">
      <c r="A129" s="1">
        <v>45335</v>
      </c>
      <c r="B129" t="s">
        <v>35</v>
      </c>
      <c r="C129">
        <v>2</v>
      </c>
      <c r="D129" t="s">
        <v>85</v>
      </c>
      <c r="E129" t="s">
        <v>30</v>
      </c>
      <c r="F129" t="s">
        <v>81</v>
      </c>
      <c r="G129" t="s">
        <v>52</v>
      </c>
      <c r="H129" t="s">
        <v>33</v>
      </c>
      <c r="I129">
        <v>5</v>
      </c>
      <c r="J129">
        <v>18.48</v>
      </c>
      <c r="K129">
        <v>9</v>
      </c>
      <c r="L129">
        <v>400.27</v>
      </c>
      <c r="M129">
        <v>74</v>
      </c>
      <c r="N129" t="s">
        <v>49</v>
      </c>
      <c r="O129">
        <v>45</v>
      </c>
      <c r="P129">
        <v>306</v>
      </c>
      <c r="Q129" s="27" t="str">
        <f>IF(D129=Pivot!$AS$4,R128, "")</f>
        <v/>
      </c>
      <c r="R129" t="s">
        <v>57</v>
      </c>
      <c r="S129" s="5">
        <v>14.71</v>
      </c>
      <c r="T129">
        <v>65.58</v>
      </c>
      <c r="U129">
        <v>493.67</v>
      </c>
      <c r="V129" s="27">
        <f t="shared" si="4"/>
        <v>831.6</v>
      </c>
      <c r="W129">
        <f t="shared" si="5"/>
        <v>893.94</v>
      </c>
      <c r="X129" s="33" t="str">
        <f t="shared" si="6"/>
        <v>Low Quality</v>
      </c>
      <c r="Y129" s="27" t="str">
        <f t="shared" si="7"/>
        <v>20</v>
      </c>
    </row>
    <row r="130" spans="1:25" x14ac:dyDescent="0.25">
      <c r="A130" s="1">
        <v>45402</v>
      </c>
      <c r="B130" t="s">
        <v>35</v>
      </c>
      <c r="C130">
        <v>2</v>
      </c>
      <c r="D130" t="s">
        <v>80</v>
      </c>
      <c r="E130" t="s">
        <v>22</v>
      </c>
      <c r="F130" t="s">
        <v>84</v>
      </c>
      <c r="G130" t="s">
        <v>60</v>
      </c>
      <c r="H130" t="s">
        <v>33</v>
      </c>
      <c r="I130">
        <v>2</v>
      </c>
      <c r="J130">
        <v>2.8</v>
      </c>
      <c r="K130">
        <v>4</v>
      </c>
      <c r="L130">
        <v>323.86</v>
      </c>
      <c r="M130">
        <v>32</v>
      </c>
      <c r="N130" t="s">
        <v>45</v>
      </c>
      <c r="O130">
        <v>9</v>
      </c>
      <c r="P130">
        <v>552</v>
      </c>
      <c r="Q130" s="27" t="str">
        <f>IF(D130=Pivot!$AS$4,R129, "")</f>
        <v>Rutin kontrol</v>
      </c>
      <c r="R130" t="s">
        <v>57</v>
      </c>
      <c r="S130" s="5">
        <v>1.63</v>
      </c>
      <c r="T130">
        <v>94.74</v>
      </c>
      <c r="U130">
        <v>172.73</v>
      </c>
      <c r="V130" s="27">
        <f t="shared" ref="V130:V193" si="8">K130*I130*J130</f>
        <v>22.4</v>
      </c>
      <c r="W130">
        <f t="shared" ref="W130:W193" si="9">U130+L130</f>
        <v>496.59000000000003</v>
      </c>
      <c r="X130" s="33" t="str">
        <f t="shared" ref="X130:X193" si="10">_xlfn.IFS(J130&lt;6,"High Quality",J130&lt;=15,"Mid Quality",J130&gt;15,"Low Quality")</f>
        <v>High Quality</v>
      </c>
      <c r="Y130" s="27" t="str">
        <f t="shared" ref="Y130:Y193" si="11">_xlfn.IFS(J130&lt;=0,"0",J130&lt;=2,"2",J130&lt;=4,"4",J130&lt;=6,"6",J130&lt;=8,"8",J130&lt;=10,"10",J130&lt;=12,"12",J130&lt;=14,"14",J130&lt;=16,"16",J130&lt;=16,"16",J130&lt;=18,"18",J130&lt;=20,"20")</f>
        <v>4</v>
      </c>
    </row>
    <row r="131" spans="1:25" x14ac:dyDescent="0.25">
      <c r="A131" s="1">
        <v>45521</v>
      </c>
      <c r="B131" t="s">
        <v>75</v>
      </c>
      <c r="C131">
        <v>1</v>
      </c>
      <c r="D131" t="s">
        <v>77</v>
      </c>
      <c r="E131" t="s">
        <v>51</v>
      </c>
      <c r="F131" t="s">
        <v>87</v>
      </c>
      <c r="G131" t="s">
        <v>60</v>
      </c>
      <c r="H131" t="s">
        <v>61</v>
      </c>
      <c r="I131">
        <v>3</v>
      </c>
      <c r="J131">
        <v>11.34</v>
      </c>
      <c r="K131">
        <v>1</v>
      </c>
      <c r="L131">
        <v>486.91</v>
      </c>
      <c r="M131">
        <v>43</v>
      </c>
      <c r="N131" t="s">
        <v>45</v>
      </c>
      <c r="O131">
        <v>15</v>
      </c>
      <c r="P131">
        <v>494</v>
      </c>
      <c r="Q131" s="27" t="str">
        <f>IF(D131=Pivot!$AS$4,R130, "")</f>
        <v/>
      </c>
      <c r="R131" t="s">
        <v>57</v>
      </c>
      <c r="S131" s="5">
        <v>3.04</v>
      </c>
      <c r="T131">
        <v>90.92</v>
      </c>
      <c r="U131">
        <v>348.95</v>
      </c>
      <c r="V131" s="27">
        <f t="shared" si="8"/>
        <v>34.019999999999996</v>
      </c>
      <c r="W131">
        <f t="shared" si="9"/>
        <v>835.86</v>
      </c>
      <c r="X131" s="33" t="str">
        <f t="shared" si="10"/>
        <v>Mid Quality</v>
      </c>
      <c r="Y131" s="27" t="str">
        <f t="shared" si="11"/>
        <v>12</v>
      </c>
    </row>
    <row r="132" spans="1:25" x14ac:dyDescent="0.25">
      <c r="A132" s="1">
        <v>45533</v>
      </c>
      <c r="B132" t="s">
        <v>35</v>
      </c>
      <c r="C132">
        <v>3</v>
      </c>
      <c r="D132" t="s">
        <v>71</v>
      </c>
      <c r="E132" t="s">
        <v>22</v>
      </c>
      <c r="F132" t="s">
        <v>90</v>
      </c>
      <c r="G132" t="s">
        <v>52</v>
      </c>
      <c r="H132" t="s">
        <v>33</v>
      </c>
      <c r="I132">
        <v>2</v>
      </c>
      <c r="J132">
        <v>15.07</v>
      </c>
      <c r="K132">
        <v>8</v>
      </c>
      <c r="L132">
        <v>218.12</v>
      </c>
      <c r="M132">
        <v>46</v>
      </c>
      <c r="N132" t="s">
        <v>55</v>
      </c>
      <c r="O132">
        <v>39</v>
      </c>
      <c r="P132">
        <v>853</v>
      </c>
      <c r="Q132" s="27" t="str">
        <f>IF(D132=Pivot!$AS$4,R131, "")</f>
        <v/>
      </c>
      <c r="R132" t="s">
        <v>42</v>
      </c>
      <c r="S132" s="5">
        <v>4.57</v>
      </c>
      <c r="T132">
        <v>88.86</v>
      </c>
      <c r="U132">
        <v>167.23</v>
      </c>
      <c r="V132" s="27">
        <f t="shared" si="8"/>
        <v>241.12</v>
      </c>
      <c r="W132">
        <f t="shared" si="9"/>
        <v>385.35</v>
      </c>
      <c r="X132" s="33" t="str">
        <f t="shared" si="10"/>
        <v>Low Quality</v>
      </c>
      <c r="Y132" s="27" t="str">
        <f t="shared" si="11"/>
        <v>16</v>
      </c>
    </row>
    <row r="133" spans="1:25" x14ac:dyDescent="0.25">
      <c r="A133" s="1">
        <v>45538</v>
      </c>
      <c r="B133" t="s">
        <v>28</v>
      </c>
      <c r="C133">
        <v>3</v>
      </c>
      <c r="D133" t="s">
        <v>74</v>
      </c>
      <c r="E133" t="s">
        <v>30</v>
      </c>
      <c r="F133" t="s">
        <v>62</v>
      </c>
      <c r="G133" t="s">
        <v>60</v>
      </c>
      <c r="H133" t="s">
        <v>25</v>
      </c>
      <c r="I133">
        <v>4</v>
      </c>
      <c r="J133">
        <v>15.38</v>
      </c>
      <c r="K133">
        <v>2</v>
      </c>
      <c r="L133">
        <v>356.66</v>
      </c>
      <c r="M133">
        <v>27</v>
      </c>
      <c r="N133" t="s">
        <v>49</v>
      </c>
      <c r="O133">
        <v>33</v>
      </c>
      <c r="P133">
        <v>400</v>
      </c>
      <c r="Q133" s="27" t="str">
        <f>IF(D133=Pivot!$AS$4,R132, "")</f>
        <v/>
      </c>
      <c r="R133" t="s">
        <v>57</v>
      </c>
      <c r="S133" s="5">
        <v>8.25</v>
      </c>
      <c r="T133">
        <v>79.5</v>
      </c>
      <c r="U133">
        <v>160.5</v>
      </c>
      <c r="V133" s="27">
        <f t="shared" si="8"/>
        <v>123.04</v>
      </c>
      <c r="W133">
        <f t="shared" si="9"/>
        <v>517.16000000000008</v>
      </c>
      <c r="X133" s="33" t="str">
        <f t="shared" si="10"/>
        <v>Low Quality</v>
      </c>
      <c r="Y133" s="27" t="str">
        <f t="shared" si="11"/>
        <v>16</v>
      </c>
    </row>
    <row r="134" spans="1:25" x14ac:dyDescent="0.25">
      <c r="A134" s="1">
        <v>45379</v>
      </c>
      <c r="B134" t="s">
        <v>65</v>
      </c>
      <c r="C134">
        <v>3</v>
      </c>
      <c r="D134" t="s">
        <v>74</v>
      </c>
      <c r="E134" t="s">
        <v>22</v>
      </c>
      <c r="F134" t="s">
        <v>69</v>
      </c>
      <c r="G134" t="s">
        <v>24</v>
      </c>
      <c r="H134" t="s">
        <v>61</v>
      </c>
      <c r="I134">
        <v>2</v>
      </c>
      <c r="J134">
        <v>12.53</v>
      </c>
      <c r="K134">
        <v>1</v>
      </c>
      <c r="L134">
        <v>78.59</v>
      </c>
      <c r="M134">
        <v>74</v>
      </c>
      <c r="N134" t="s">
        <v>45</v>
      </c>
      <c r="O134">
        <v>1</v>
      </c>
      <c r="P134">
        <v>807</v>
      </c>
      <c r="Q134" s="27" t="str">
        <f>IF(D134=Pivot!$AS$4,R133, "")</f>
        <v/>
      </c>
      <c r="R134" t="s">
        <v>46</v>
      </c>
      <c r="S134" s="5">
        <v>0.12</v>
      </c>
      <c r="T134">
        <v>97.76</v>
      </c>
      <c r="U134">
        <v>96.93</v>
      </c>
      <c r="V134" s="27">
        <f t="shared" si="8"/>
        <v>25.06</v>
      </c>
      <c r="W134">
        <f t="shared" si="9"/>
        <v>175.52</v>
      </c>
      <c r="X134" s="33" t="str">
        <f t="shared" si="10"/>
        <v>Mid Quality</v>
      </c>
      <c r="Y134" s="27" t="str">
        <f t="shared" si="11"/>
        <v>14</v>
      </c>
    </row>
    <row r="135" spans="1:25" x14ac:dyDescent="0.25">
      <c r="A135" s="1">
        <v>45404</v>
      </c>
      <c r="B135" t="s">
        <v>35</v>
      </c>
      <c r="C135">
        <v>2</v>
      </c>
      <c r="D135" t="s">
        <v>80</v>
      </c>
      <c r="E135" t="s">
        <v>37</v>
      </c>
      <c r="F135" t="s">
        <v>56</v>
      </c>
      <c r="G135" t="s">
        <v>60</v>
      </c>
      <c r="H135" t="s">
        <v>33</v>
      </c>
      <c r="I135">
        <v>5</v>
      </c>
      <c r="J135">
        <v>4.17</v>
      </c>
      <c r="K135">
        <v>7</v>
      </c>
      <c r="L135">
        <v>228.31</v>
      </c>
      <c r="M135">
        <v>84</v>
      </c>
      <c r="N135" t="s">
        <v>41</v>
      </c>
      <c r="O135">
        <v>5</v>
      </c>
      <c r="P135">
        <v>775</v>
      </c>
      <c r="Q135" s="27" t="str">
        <f>IF(D135=Pivot!$AS$4,R134, "")</f>
        <v>Eğitim önerildi</v>
      </c>
      <c r="R135" t="s">
        <v>34</v>
      </c>
      <c r="S135" s="5">
        <v>0.65</v>
      </c>
      <c r="T135">
        <v>93.7</v>
      </c>
      <c r="U135">
        <v>319.63</v>
      </c>
      <c r="V135" s="27">
        <f t="shared" si="8"/>
        <v>145.94999999999999</v>
      </c>
      <c r="W135">
        <f t="shared" si="9"/>
        <v>547.94000000000005</v>
      </c>
      <c r="X135" s="33" t="str">
        <f t="shared" si="10"/>
        <v>High Quality</v>
      </c>
      <c r="Y135" s="27" t="str">
        <f t="shared" si="11"/>
        <v>6</v>
      </c>
    </row>
    <row r="136" spans="1:25" x14ac:dyDescent="0.25">
      <c r="A136" s="1">
        <v>45502</v>
      </c>
      <c r="B136" t="s">
        <v>75</v>
      </c>
      <c r="C136">
        <v>2</v>
      </c>
      <c r="D136" t="s">
        <v>83</v>
      </c>
      <c r="E136" t="s">
        <v>37</v>
      </c>
      <c r="F136" t="s">
        <v>84</v>
      </c>
      <c r="G136" t="s">
        <v>52</v>
      </c>
      <c r="H136" t="s">
        <v>33</v>
      </c>
      <c r="I136">
        <v>2</v>
      </c>
      <c r="J136">
        <v>16.149999999999999</v>
      </c>
      <c r="K136">
        <v>9</v>
      </c>
      <c r="L136">
        <v>483.72</v>
      </c>
      <c r="M136">
        <v>6</v>
      </c>
      <c r="N136" t="s">
        <v>55</v>
      </c>
      <c r="O136">
        <v>9</v>
      </c>
      <c r="P136">
        <v>275</v>
      </c>
      <c r="Q136" s="27" t="str">
        <f>IF(D136=Pivot!$AS$4,R135, "")</f>
        <v/>
      </c>
      <c r="R136" t="s">
        <v>57</v>
      </c>
      <c r="S136" s="5">
        <v>3.27</v>
      </c>
      <c r="T136">
        <v>91.46</v>
      </c>
      <c r="U136">
        <v>48.37</v>
      </c>
      <c r="V136" s="27">
        <f t="shared" si="8"/>
        <v>290.7</v>
      </c>
      <c r="W136">
        <f t="shared" si="9"/>
        <v>532.09</v>
      </c>
      <c r="X136" s="33" t="str">
        <f t="shared" si="10"/>
        <v>Low Quality</v>
      </c>
      <c r="Y136" s="27" t="str">
        <f t="shared" si="11"/>
        <v>18</v>
      </c>
    </row>
    <row r="137" spans="1:25" x14ac:dyDescent="0.25">
      <c r="A137" s="1">
        <v>45365</v>
      </c>
      <c r="B137" t="s">
        <v>28</v>
      </c>
      <c r="C137">
        <v>3</v>
      </c>
      <c r="D137" t="s">
        <v>58</v>
      </c>
      <c r="E137" t="s">
        <v>22</v>
      </c>
      <c r="F137" t="s">
        <v>59</v>
      </c>
      <c r="G137" t="s">
        <v>32</v>
      </c>
      <c r="H137" t="s">
        <v>48</v>
      </c>
      <c r="I137">
        <v>3</v>
      </c>
      <c r="J137">
        <v>14.68</v>
      </c>
      <c r="K137">
        <v>9</v>
      </c>
      <c r="L137">
        <v>292.54000000000002</v>
      </c>
      <c r="M137">
        <v>28</v>
      </c>
      <c r="N137" t="s">
        <v>26</v>
      </c>
      <c r="O137">
        <v>44</v>
      </c>
      <c r="P137">
        <v>954</v>
      </c>
      <c r="Q137" s="27" t="str">
        <f>IF(D137=Pivot!$AS$4,R136, "")</f>
        <v/>
      </c>
      <c r="R137" t="s">
        <v>42</v>
      </c>
      <c r="S137" s="5">
        <v>4.6100000000000003</v>
      </c>
      <c r="T137">
        <v>87.78</v>
      </c>
      <c r="U137">
        <v>136.52000000000001</v>
      </c>
      <c r="V137" s="27">
        <f t="shared" si="8"/>
        <v>396.36</v>
      </c>
      <c r="W137">
        <f t="shared" si="9"/>
        <v>429.06000000000006</v>
      </c>
      <c r="X137" s="33" t="str">
        <f t="shared" si="10"/>
        <v>Mid Quality</v>
      </c>
      <c r="Y137" s="27" t="str">
        <f t="shared" si="11"/>
        <v>16</v>
      </c>
    </row>
    <row r="138" spans="1:25" x14ac:dyDescent="0.25">
      <c r="A138" s="1">
        <v>45590</v>
      </c>
      <c r="B138" t="s">
        <v>50</v>
      </c>
      <c r="C138">
        <v>3</v>
      </c>
      <c r="D138" t="s">
        <v>29</v>
      </c>
      <c r="E138" t="s">
        <v>51</v>
      </c>
      <c r="F138" t="s">
        <v>81</v>
      </c>
      <c r="G138" t="s">
        <v>60</v>
      </c>
      <c r="H138" t="s">
        <v>33</v>
      </c>
      <c r="I138">
        <v>3</v>
      </c>
      <c r="J138">
        <v>2.64</v>
      </c>
      <c r="K138">
        <v>3</v>
      </c>
      <c r="L138">
        <v>179.55</v>
      </c>
      <c r="M138">
        <v>21</v>
      </c>
      <c r="N138" t="s">
        <v>41</v>
      </c>
      <c r="O138">
        <v>6</v>
      </c>
      <c r="P138">
        <v>882</v>
      </c>
      <c r="Q138" s="27" t="str">
        <f>IF(D138=Pivot!$AS$4,R137, "")</f>
        <v/>
      </c>
      <c r="R138" t="s">
        <v>34</v>
      </c>
      <c r="S138" s="5">
        <v>0.68</v>
      </c>
      <c r="T138">
        <v>95.64</v>
      </c>
      <c r="U138">
        <v>62.84</v>
      </c>
      <c r="V138" s="27">
        <f t="shared" si="8"/>
        <v>23.76</v>
      </c>
      <c r="W138">
        <f t="shared" si="9"/>
        <v>242.39000000000001</v>
      </c>
      <c r="X138" s="33" t="str">
        <f t="shared" si="10"/>
        <v>High Quality</v>
      </c>
      <c r="Y138" s="27" t="str">
        <f t="shared" si="11"/>
        <v>4</v>
      </c>
    </row>
    <row r="139" spans="1:25" x14ac:dyDescent="0.25">
      <c r="A139" s="1">
        <v>45385</v>
      </c>
      <c r="B139" t="s">
        <v>65</v>
      </c>
      <c r="C139">
        <v>3</v>
      </c>
      <c r="D139" t="s">
        <v>47</v>
      </c>
      <c r="E139" t="s">
        <v>51</v>
      </c>
      <c r="F139" t="s">
        <v>38</v>
      </c>
      <c r="G139" t="s">
        <v>39</v>
      </c>
      <c r="H139" t="s">
        <v>40</v>
      </c>
      <c r="I139">
        <v>2</v>
      </c>
      <c r="J139">
        <v>9.81</v>
      </c>
      <c r="K139">
        <v>6</v>
      </c>
      <c r="L139">
        <v>104.12</v>
      </c>
      <c r="M139">
        <v>69</v>
      </c>
      <c r="N139" t="s">
        <v>49</v>
      </c>
      <c r="O139">
        <v>28</v>
      </c>
      <c r="P139">
        <v>209</v>
      </c>
      <c r="Q139" s="27" t="str">
        <f>IF(D139=Pivot!$AS$4,R138, "")</f>
        <v/>
      </c>
      <c r="R139" t="s">
        <v>57</v>
      </c>
      <c r="S139" s="5">
        <v>13.4</v>
      </c>
      <c r="T139">
        <v>71.2</v>
      </c>
      <c r="U139">
        <v>119.74</v>
      </c>
      <c r="V139" s="27">
        <f t="shared" si="8"/>
        <v>117.72</v>
      </c>
      <c r="W139">
        <f t="shared" si="9"/>
        <v>223.86</v>
      </c>
      <c r="X139" s="33" t="str">
        <f t="shared" si="10"/>
        <v>Mid Quality</v>
      </c>
      <c r="Y139" s="27" t="str">
        <f t="shared" si="11"/>
        <v>10</v>
      </c>
    </row>
    <row r="140" spans="1:25" x14ac:dyDescent="0.25">
      <c r="A140" s="1">
        <v>45553</v>
      </c>
      <c r="B140" t="s">
        <v>35</v>
      </c>
      <c r="C140">
        <v>2</v>
      </c>
      <c r="D140" t="s">
        <v>21</v>
      </c>
      <c r="E140" t="s">
        <v>51</v>
      </c>
      <c r="F140" t="s">
        <v>54</v>
      </c>
      <c r="G140" t="s">
        <v>24</v>
      </c>
      <c r="H140" t="s">
        <v>61</v>
      </c>
      <c r="I140">
        <v>3</v>
      </c>
      <c r="J140">
        <v>4.3099999999999996</v>
      </c>
      <c r="K140">
        <v>7</v>
      </c>
      <c r="L140">
        <v>366.59</v>
      </c>
      <c r="M140">
        <v>74</v>
      </c>
      <c r="N140" t="s">
        <v>26</v>
      </c>
      <c r="O140">
        <v>45</v>
      </c>
      <c r="P140">
        <v>783</v>
      </c>
      <c r="Q140" s="27" t="str">
        <f>IF(D140=Pivot!$AS$4,R139, "")</f>
        <v/>
      </c>
      <c r="R140" t="s">
        <v>27</v>
      </c>
      <c r="S140" s="5">
        <v>5.75</v>
      </c>
      <c r="T140">
        <v>85.5</v>
      </c>
      <c r="U140">
        <v>452.13</v>
      </c>
      <c r="V140" s="27">
        <f t="shared" si="8"/>
        <v>90.509999999999991</v>
      </c>
      <c r="W140">
        <f t="shared" si="9"/>
        <v>818.72</v>
      </c>
      <c r="X140" s="33" t="str">
        <f t="shared" si="10"/>
        <v>High Quality</v>
      </c>
      <c r="Y140" s="27" t="str">
        <f t="shared" si="11"/>
        <v>6</v>
      </c>
    </row>
    <row r="141" spans="1:25" x14ac:dyDescent="0.25">
      <c r="A141" s="1">
        <v>45427</v>
      </c>
      <c r="B141" t="s">
        <v>75</v>
      </c>
      <c r="C141">
        <v>3</v>
      </c>
      <c r="D141" t="s">
        <v>85</v>
      </c>
      <c r="E141" t="s">
        <v>22</v>
      </c>
      <c r="F141" t="s">
        <v>78</v>
      </c>
      <c r="G141" t="s">
        <v>24</v>
      </c>
      <c r="H141" t="s">
        <v>40</v>
      </c>
      <c r="I141">
        <v>3</v>
      </c>
      <c r="J141">
        <v>7.41</v>
      </c>
      <c r="K141">
        <v>9</v>
      </c>
      <c r="L141">
        <v>340.19</v>
      </c>
      <c r="M141">
        <v>73</v>
      </c>
      <c r="N141" t="s">
        <v>41</v>
      </c>
      <c r="O141">
        <v>26</v>
      </c>
      <c r="P141">
        <v>963</v>
      </c>
      <c r="Q141" s="27" t="str">
        <f>IF(D141=Pivot!$AS$4,R140, "")</f>
        <v/>
      </c>
      <c r="R141" t="s">
        <v>57</v>
      </c>
      <c r="S141" s="5">
        <v>2.7</v>
      </c>
      <c r="T141">
        <v>91.6</v>
      </c>
      <c r="U141">
        <v>413.9</v>
      </c>
      <c r="V141" s="27">
        <f t="shared" si="8"/>
        <v>200.07</v>
      </c>
      <c r="W141">
        <f t="shared" si="9"/>
        <v>754.08999999999992</v>
      </c>
      <c r="X141" s="33" t="str">
        <f t="shared" si="10"/>
        <v>Mid Quality</v>
      </c>
      <c r="Y141" s="27" t="str">
        <f t="shared" si="11"/>
        <v>8</v>
      </c>
    </row>
    <row r="142" spans="1:25" x14ac:dyDescent="0.25">
      <c r="A142" s="1">
        <v>45377</v>
      </c>
      <c r="B142" t="s">
        <v>50</v>
      </c>
      <c r="C142">
        <v>3</v>
      </c>
      <c r="D142" t="s">
        <v>43</v>
      </c>
      <c r="E142" t="s">
        <v>51</v>
      </c>
      <c r="F142" t="s">
        <v>89</v>
      </c>
      <c r="G142" t="s">
        <v>39</v>
      </c>
      <c r="H142" t="s">
        <v>61</v>
      </c>
      <c r="I142">
        <v>5</v>
      </c>
      <c r="J142">
        <v>1.34</v>
      </c>
      <c r="K142">
        <v>2</v>
      </c>
      <c r="L142">
        <v>218.27</v>
      </c>
      <c r="M142">
        <v>64</v>
      </c>
      <c r="N142" t="s">
        <v>45</v>
      </c>
      <c r="O142">
        <v>28</v>
      </c>
      <c r="P142">
        <v>301</v>
      </c>
      <c r="Q142" s="27" t="str">
        <f>IF(D142=Pivot!$AS$4,R141, "")</f>
        <v/>
      </c>
      <c r="R142" t="s">
        <v>46</v>
      </c>
      <c r="S142" s="5">
        <v>9.3000000000000007</v>
      </c>
      <c r="T142">
        <v>76.400000000000006</v>
      </c>
      <c r="U142">
        <v>232.82</v>
      </c>
      <c r="V142" s="27">
        <f t="shared" si="8"/>
        <v>13.4</v>
      </c>
      <c r="W142">
        <f t="shared" si="9"/>
        <v>451.09000000000003</v>
      </c>
      <c r="X142" s="33" t="str">
        <f t="shared" si="10"/>
        <v>High Quality</v>
      </c>
      <c r="Y142" s="27" t="str">
        <f t="shared" si="11"/>
        <v>2</v>
      </c>
    </row>
    <row r="143" spans="1:25" x14ac:dyDescent="0.25">
      <c r="A143" s="1">
        <v>45467</v>
      </c>
      <c r="B143" t="s">
        <v>50</v>
      </c>
      <c r="C143">
        <v>1</v>
      </c>
      <c r="D143" t="s">
        <v>36</v>
      </c>
      <c r="E143" t="s">
        <v>30</v>
      </c>
      <c r="F143" t="s">
        <v>31</v>
      </c>
      <c r="G143" t="s">
        <v>39</v>
      </c>
      <c r="H143" t="s">
        <v>48</v>
      </c>
      <c r="I143">
        <v>4</v>
      </c>
      <c r="J143">
        <v>8.61</v>
      </c>
      <c r="K143">
        <v>8</v>
      </c>
      <c r="L143">
        <v>477.92</v>
      </c>
      <c r="M143">
        <v>54</v>
      </c>
      <c r="N143" t="s">
        <v>45</v>
      </c>
      <c r="O143">
        <v>40</v>
      </c>
      <c r="P143">
        <v>267</v>
      </c>
      <c r="Q143" s="27" t="str">
        <f>IF(D143=Pivot!$AS$4,R142, "")</f>
        <v/>
      </c>
      <c r="R143" t="s">
        <v>34</v>
      </c>
      <c r="S143" s="5">
        <v>14.98</v>
      </c>
      <c r="T143">
        <v>66.040000000000006</v>
      </c>
      <c r="U143">
        <v>430.13</v>
      </c>
      <c r="V143" s="27">
        <f t="shared" si="8"/>
        <v>275.52</v>
      </c>
      <c r="W143">
        <f t="shared" si="9"/>
        <v>908.05</v>
      </c>
      <c r="X143" s="33" t="str">
        <f t="shared" si="10"/>
        <v>Mid Quality</v>
      </c>
      <c r="Y143" s="27" t="str">
        <f t="shared" si="11"/>
        <v>10</v>
      </c>
    </row>
    <row r="144" spans="1:25" x14ac:dyDescent="0.25">
      <c r="A144" s="1">
        <v>45524</v>
      </c>
      <c r="B144" t="s">
        <v>20</v>
      </c>
      <c r="C144">
        <v>1</v>
      </c>
      <c r="D144" t="s">
        <v>88</v>
      </c>
      <c r="E144" t="s">
        <v>37</v>
      </c>
      <c r="F144" t="s">
        <v>86</v>
      </c>
      <c r="G144" t="s">
        <v>60</v>
      </c>
      <c r="H144" t="s">
        <v>33</v>
      </c>
      <c r="I144">
        <v>5</v>
      </c>
      <c r="J144">
        <v>11.45</v>
      </c>
      <c r="K144">
        <v>7</v>
      </c>
      <c r="L144">
        <v>59.99</v>
      </c>
      <c r="M144">
        <v>16</v>
      </c>
      <c r="N144" t="s">
        <v>26</v>
      </c>
      <c r="O144">
        <v>15</v>
      </c>
      <c r="P144">
        <v>713</v>
      </c>
      <c r="Q144" s="27" t="str">
        <f>IF(D144=Pivot!$AS$4,R143, "")</f>
        <v/>
      </c>
      <c r="R144" t="s">
        <v>46</v>
      </c>
      <c r="S144" s="5">
        <v>2.1</v>
      </c>
      <c r="T144">
        <v>90.8</v>
      </c>
      <c r="U144">
        <v>16</v>
      </c>
      <c r="V144" s="27">
        <f t="shared" si="8"/>
        <v>400.75</v>
      </c>
      <c r="W144">
        <f t="shared" si="9"/>
        <v>75.990000000000009</v>
      </c>
      <c r="X144" s="33" t="str">
        <f t="shared" si="10"/>
        <v>Mid Quality</v>
      </c>
      <c r="Y144" s="27" t="str">
        <f t="shared" si="11"/>
        <v>12</v>
      </c>
    </row>
    <row r="145" spans="1:25" x14ac:dyDescent="0.25">
      <c r="A145" s="1">
        <v>45327</v>
      </c>
      <c r="B145" t="s">
        <v>28</v>
      </c>
      <c r="C145">
        <v>2</v>
      </c>
      <c r="D145" t="s">
        <v>43</v>
      </c>
      <c r="E145" t="s">
        <v>30</v>
      </c>
      <c r="F145" t="s">
        <v>87</v>
      </c>
      <c r="G145" t="s">
        <v>39</v>
      </c>
      <c r="H145" t="s">
        <v>33</v>
      </c>
      <c r="I145">
        <v>1</v>
      </c>
      <c r="J145">
        <v>12.77</v>
      </c>
      <c r="K145">
        <v>4</v>
      </c>
      <c r="L145">
        <v>186.68</v>
      </c>
      <c r="M145">
        <v>51</v>
      </c>
      <c r="N145" t="s">
        <v>63</v>
      </c>
      <c r="O145">
        <v>6</v>
      </c>
      <c r="P145">
        <v>185</v>
      </c>
      <c r="Q145" s="27" t="str">
        <f>IF(D145=Pivot!$AS$4,R144, "")</f>
        <v/>
      </c>
      <c r="R145" t="s">
        <v>27</v>
      </c>
      <c r="S145" s="5">
        <v>3.24</v>
      </c>
      <c r="T145">
        <v>92.52</v>
      </c>
      <c r="U145">
        <v>158.68</v>
      </c>
      <c r="V145" s="27">
        <f t="shared" si="8"/>
        <v>51.08</v>
      </c>
      <c r="W145">
        <f t="shared" si="9"/>
        <v>345.36</v>
      </c>
      <c r="X145" s="33" t="str">
        <f t="shared" si="10"/>
        <v>Mid Quality</v>
      </c>
      <c r="Y145" s="27" t="str">
        <f t="shared" si="11"/>
        <v>14</v>
      </c>
    </row>
    <row r="146" spans="1:25" x14ac:dyDescent="0.25">
      <c r="A146" s="1">
        <v>45409</v>
      </c>
      <c r="B146" t="s">
        <v>35</v>
      </c>
      <c r="C146">
        <v>3</v>
      </c>
      <c r="D146" t="s">
        <v>82</v>
      </c>
      <c r="E146" t="s">
        <v>51</v>
      </c>
      <c r="F146" t="s">
        <v>81</v>
      </c>
      <c r="G146" t="s">
        <v>32</v>
      </c>
      <c r="H146" t="s">
        <v>33</v>
      </c>
      <c r="I146">
        <v>5</v>
      </c>
      <c r="J146">
        <v>13.61</v>
      </c>
      <c r="K146">
        <v>2</v>
      </c>
      <c r="L146">
        <v>464.48</v>
      </c>
      <c r="M146">
        <v>71</v>
      </c>
      <c r="N146" t="s">
        <v>55</v>
      </c>
      <c r="O146">
        <v>27</v>
      </c>
      <c r="P146">
        <v>753</v>
      </c>
      <c r="Q146" s="27" t="str">
        <f>IF(D146=Pivot!$AS$4,R145, "")</f>
        <v/>
      </c>
      <c r="R146" t="s">
        <v>27</v>
      </c>
      <c r="S146" s="5">
        <v>3.59</v>
      </c>
      <c r="T146">
        <v>87.82</v>
      </c>
      <c r="U146">
        <v>549.63</v>
      </c>
      <c r="V146" s="27">
        <f t="shared" si="8"/>
        <v>136.1</v>
      </c>
      <c r="W146">
        <f t="shared" si="9"/>
        <v>1014.11</v>
      </c>
      <c r="X146" s="33" t="str">
        <f t="shared" si="10"/>
        <v>Mid Quality</v>
      </c>
      <c r="Y146" s="27" t="str">
        <f t="shared" si="11"/>
        <v>14</v>
      </c>
    </row>
    <row r="147" spans="1:25" x14ac:dyDescent="0.25">
      <c r="A147" s="1">
        <v>45485</v>
      </c>
      <c r="B147" t="s">
        <v>75</v>
      </c>
      <c r="C147">
        <v>3</v>
      </c>
      <c r="D147" t="s">
        <v>79</v>
      </c>
      <c r="E147" t="s">
        <v>30</v>
      </c>
      <c r="F147" t="s">
        <v>81</v>
      </c>
      <c r="G147" t="s">
        <v>52</v>
      </c>
      <c r="H147" t="s">
        <v>61</v>
      </c>
      <c r="I147">
        <v>2</v>
      </c>
      <c r="J147">
        <v>16.89</v>
      </c>
      <c r="K147">
        <v>8</v>
      </c>
      <c r="L147">
        <v>194.42</v>
      </c>
      <c r="M147">
        <v>69</v>
      </c>
      <c r="N147" t="s">
        <v>26</v>
      </c>
      <c r="O147">
        <v>38</v>
      </c>
      <c r="P147">
        <v>948</v>
      </c>
      <c r="Q147" s="27" t="str">
        <f>IF(D147=Pivot!$AS$4,R146, "")</f>
        <v/>
      </c>
      <c r="R147" t="s">
        <v>46</v>
      </c>
      <c r="S147" s="5">
        <v>4.01</v>
      </c>
      <c r="T147">
        <v>89.98</v>
      </c>
      <c r="U147">
        <v>223.58</v>
      </c>
      <c r="V147" s="27">
        <f t="shared" si="8"/>
        <v>270.24</v>
      </c>
      <c r="W147">
        <f t="shared" si="9"/>
        <v>418</v>
      </c>
      <c r="X147" s="33" t="str">
        <f t="shared" si="10"/>
        <v>Low Quality</v>
      </c>
      <c r="Y147" s="27" t="str">
        <f t="shared" si="11"/>
        <v>18</v>
      </c>
    </row>
    <row r="148" spans="1:25" x14ac:dyDescent="0.25">
      <c r="A148" s="1">
        <v>45489</v>
      </c>
      <c r="B148" t="s">
        <v>20</v>
      </c>
      <c r="C148">
        <v>1</v>
      </c>
      <c r="D148" t="s">
        <v>36</v>
      </c>
      <c r="E148" t="s">
        <v>51</v>
      </c>
      <c r="F148" t="s">
        <v>86</v>
      </c>
      <c r="G148" t="s">
        <v>39</v>
      </c>
      <c r="H148" t="s">
        <v>33</v>
      </c>
      <c r="I148">
        <v>4</v>
      </c>
      <c r="J148">
        <v>5.09</v>
      </c>
      <c r="K148">
        <v>5</v>
      </c>
      <c r="L148">
        <v>163.51</v>
      </c>
      <c r="M148">
        <v>31</v>
      </c>
      <c r="N148" t="s">
        <v>49</v>
      </c>
      <c r="O148">
        <v>4</v>
      </c>
      <c r="P148">
        <v>824</v>
      </c>
      <c r="Q148" s="27" t="str">
        <f>IF(D148=Pivot!$AS$4,R147, "")</f>
        <v/>
      </c>
      <c r="R148" t="s">
        <v>34</v>
      </c>
      <c r="S148" s="5">
        <v>0.49</v>
      </c>
      <c r="T148">
        <v>95.02</v>
      </c>
      <c r="U148">
        <v>84.48</v>
      </c>
      <c r="V148" s="27">
        <f t="shared" si="8"/>
        <v>101.8</v>
      </c>
      <c r="W148">
        <f t="shared" si="9"/>
        <v>247.99</v>
      </c>
      <c r="X148" s="33" t="str">
        <f t="shared" si="10"/>
        <v>High Quality</v>
      </c>
      <c r="Y148" s="27" t="str">
        <f t="shared" si="11"/>
        <v>6</v>
      </c>
    </row>
    <row r="149" spans="1:25" x14ac:dyDescent="0.25">
      <c r="A149" s="1">
        <v>45359</v>
      </c>
      <c r="B149" t="s">
        <v>28</v>
      </c>
      <c r="C149">
        <v>2</v>
      </c>
      <c r="D149" t="s">
        <v>43</v>
      </c>
      <c r="E149" t="s">
        <v>22</v>
      </c>
      <c r="F149" t="s">
        <v>69</v>
      </c>
      <c r="G149" t="s">
        <v>39</v>
      </c>
      <c r="H149" t="s">
        <v>40</v>
      </c>
      <c r="I149">
        <v>2</v>
      </c>
      <c r="J149">
        <v>3.29</v>
      </c>
      <c r="K149">
        <v>6</v>
      </c>
      <c r="L149">
        <v>290.39999999999998</v>
      </c>
      <c r="M149">
        <v>52</v>
      </c>
      <c r="N149" t="s">
        <v>55</v>
      </c>
      <c r="O149">
        <v>11</v>
      </c>
      <c r="P149">
        <v>150</v>
      </c>
      <c r="Q149" s="27" t="str">
        <f>IF(D149=Pivot!$AS$4,R148, "")</f>
        <v/>
      </c>
      <c r="R149" t="s">
        <v>27</v>
      </c>
      <c r="S149" s="5">
        <v>7.33</v>
      </c>
      <c r="T149">
        <v>83.34</v>
      </c>
      <c r="U149">
        <v>251.68</v>
      </c>
      <c r="V149" s="27">
        <f t="shared" si="8"/>
        <v>39.480000000000004</v>
      </c>
      <c r="W149">
        <f t="shared" si="9"/>
        <v>542.07999999999993</v>
      </c>
      <c r="X149" s="33" t="str">
        <f t="shared" si="10"/>
        <v>High Quality</v>
      </c>
      <c r="Y149" s="27" t="str">
        <f t="shared" si="11"/>
        <v>4</v>
      </c>
    </row>
    <row r="150" spans="1:25" x14ac:dyDescent="0.25">
      <c r="A150" s="1">
        <v>45347</v>
      </c>
      <c r="B150" t="s">
        <v>20</v>
      </c>
      <c r="C150">
        <v>1</v>
      </c>
      <c r="D150" t="s">
        <v>47</v>
      </c>
      <c r="E150" t="s">
        <v>30</v>
      </c>
      <c r="F150" t="s">
        <v>87</v>
      </c>
      <c r="G150" t="s">
        <v>32</v>
      </c>
      <c r="H150" t="s">
        <v>33</v>
      </c>
      <c r="I150">
        <v>1</v>
      </c>
      <c r="J150">
        <v>17.18</v>
      </c>
      <c r="K150">
        <v>7</v>
      </c>
      <c r="L150">
        <v>420.71</v>
      </c>
      <c r="M150">
        <v>66</v>
      </c>
      <c r="N150" t="s">
        <v>41</v>
      </c>
      <c r="O150">
        <v>21</v>
      </c>
      <c r="P150">
        <v>211</v>
      </c>
      <c r="Q150" s="27" t="str">
        <f>IF(D150=Pivot!$AS$4,R149, "")</f>
        <v/>
      </c>
      <c r="R150" t="s">
        <v>27</v>
      </c>
      <c r="S150" s="5">
        <v>9.9499999999999993</v>
      </c>
      <c r="T150">
        <v>79.099999999999994</v>
      </c>
      <c r="U150">
        <v>462.78</v>
      </c>
      <c r="V150" s="27">
        <f t="shared" si="8"/>
        <v>120.25999999999999</v>
      </c>
      <c r="W150">
        <f t="shared" si="9"/>
        <v>883.49</v>
      </c>
      <c r="X150" s="33" t="str">
        <f t="shared" si="10"/>
        <v>Low Quality</v>
      </c>
      <c r="Y150" s="27" t="str">
        <f t="shared" si="11"/>
        <v>18</v>
      </c>
    </row>
    <row r="151" spans="1:25" x14ac:dyDescent="0.25">
      <c r="A151" s="1">
        <v>45300</v>
      </c>
      <c r="B151" t="s">
        <v>65</v>
      </c>
      <c r="C151">
        <v>1</v>
      </c>
      <c r="D151" t="s">
        <v>71</v>
      </c>
      <c r="E151" t="s">
        <v>22</v>
      </c>
      <c r="F151" t="s">
        <v>54</v>
      </c>
      <c r="G151" t="s">
        <v>24</v>
      </c>
      <c r="H151" t="s">
        <v>48</v>
      </c>
      <c r="I151">
        <v>4</v>
      </c>
      <c r="J151">
        <v>3.98</v>
      </c>
      <c r="K151">
        <v>1</v>
      </c>
      <c r="L151">
        <v>96.42</v>
      </c>
      <c r="M151">
        <v>48</v>
      </c>
      <c r="N151" t="s">
        <v>49</v>
      </c>
      <c r="O151">
        <v>30</v>
      </c>
      <c r="P151">
        <v>562</v>
      </c>
      <c r="Q151" s="27" t="str">
        <f>IF(D151=Pivot!$AS$4,R150, "")</f>
        <v/>
      </c>
      <c r="R151" t="s">
        <v>57</v>
      </c>
      <c r="S151" s="5">
        <v>5.34</v>
      </c>
      <c r="T151">
        <v>85.32</v>
      </c>
      <c r="U151">
        <v>77.14</v>
      </c>
      <c r="V151" s="27">
        <f t="shared" si="8"/>
        <v>15.92</v>
      </c>
      <c r="W151">
        <f t="shared" si="9"/>
        <v>173.56</v>
      </c>
      <c r="X151" s="33" t="str">
        <f t="shared" si="10"/>
        <v>High Quality</v>
      </c>
      <c r="Y151" s="27" t="str">
        <f t="shared" si="11"/>
        <v>4</v>
      </c>
    </row>
    <row r="152" spans="1:25" x14ac:dyDescent="0.25">
      <c r="A152" s="1">
        <v>45395</v>
      </c>
      <c r="B152" t="s">
        <v>28</v>
      </c>
      <c r="C152">
        <v>1</v>
      </c>
      <c r="D152" t="s">
        <v>85</v>
      </c>
      <c r="E152" t="s">
        <v>22</v>
      </c>
      <c r="F152" t="s">
        <v>44</v>
      </c>
      <c r="G152" t="s">
        <v>24</v>
      </c>
      <c r="H152" t="s">
        <v>40</v>
      </c>
      <c r="I152">
        <v>3</v>
      </c>
      <c r="J152">
        <v>19.52</v>
      </c>
      <c r="K152">
        <v>8</v>
      </c>
      <c r="L152">
        <v>474.36</v>
      </c>
      <c r="M152">
        <v>23</v>
      </c>
      <c r="N152" t="s">
        <v>49</v>
      </c>
      <c r="O152">
        <v>18</v>
      </c>
      <c r="P152">
        <v>541</v>
      </c>
      <c r="Q152" s="27" t="str">
        <f>IF(D152=Pivot!$AS$4,R151, "")</f>
        <v/>
      </c>
      <c r="R152" t="s">
        <v>42</v>
      </c>
      <c r="S152" s="5">
        <v>3.33</v>
      </c>
      <c r="T152">
        <v>90.34</v>
      </c>
      <c r="U152">
        <v>181.84</v>
      </c>
      <c r="V152" s="27">
        <f t="shared" si="8"/>
        <v>468.48</v>
      </c>
      <c r="W152">
        <f t="shared" si="9"/>
        <v>656.2</v>
      </c>
      <c r="X152" s="33" t="str">
        <f t="shared" si="10"/>
        <v>Low Quality</v>
      </c>
      <c r="Y152" s="27" t="str">
        <f t="shared" si="11"/>
        <v>20</v>
      </c>
    </row>
    <row r="153" spans="1:25" x14ac:dyDescent="0.25">
      <c r="A153" s="1">
        <v>45559</v>
      </c>
      <c r="B153" t="s">
        <v>28</v>
      </c>
      <c r="C153">
        <v>1</v>
      </c>
      <c r="D153" t="s">
        <v>53</v>
      </c>
      <c r="E153" t="s">
        <v>67</v>
      </c>
      <c r="F153" t="s">
        <v>68</v>
      </c>
      <c r="G153" t="s">
        <v>60</v>
      </c>
      <c r="H153" t="s">
        <v>33</v>
      </c>
      <c r="I153">
        <v>5</v>
      </c>
      <c r="J153">
        <v>17.010000000000002</v>
      </c>
      <c r="K153">
        <v>4</v>
      </c>
      <c r="L153">
        <v>407.78</v>
      </c>
      <c r="M153">
        <v>63</v>
      </c>
      <c r="N153" t="s">
        <v>45</v>
      </c>
      <c r="O153">
        <v>35</v>
      </c>
      <c r="P153">
        <v>370</v>
      </c>
      <c r="Q153" s="27" t="str">
        <f>IF(D153=Pivot!$AS$4,R152, "")</f>
        <v/>
      </c>
      <c r="R153" t="s">
        <v>27</v>
      </c>
      <c r="S153" s="5">
        <v>9.4600000000000009</v>
      </c>
      <c r="T153">
        <v>76.08</v>
      </c>
      <c r="U153">
        <v>428.17</v>
      </c>
      <c r="V153" s="27">
        <f t="shared" si="8"/>
        <v>340.20000000000005</v>
      </c>
      <c r="W153">
        <f t="shared" si="9"/>
        <v>835.95</v>
      </c>
      <c r="X153" s="33" t="str">
        <f t="shared" si="10"/>
        <v>Low Quality</v>
      </c>
      <c r="Y153" s="27" t="str">
        <f t="shared" si="11"/>
        <v>18</v>
      </c>
    </row>
    <row r="154" spans="1:25" x14ac:dyDescent="0.25">
      <c r="A154" s="1">
        <v>45550</v>
      </c>
      <c r="B154" t="s">
        <v>35</v>
      </c>
      <c r="C154">
        <v>3</v>
      </c>
      <c r="D154" t="s">
        <v>85</v>
      </c>
      <c r="E154" t="s">
        <v>51</v>
      </c>
      <c r="F154" t="s">
        <v>84</v>
      </c>
      <c r="G154" t="s">
        <v>32</v>
      </c>
      <c r="H154" t="s">
        <v>33</v>
      </c>
      <c r="I154">
        <v>2</v>
      </c>
      <c r="J154">
        <v>10.52</v>
      </c>
      <c r="K154">
        <v>9</v>
      </c>
      <c r="L154">
        <v>131.56</v>
      </c>
      <c r="M154">
        <v>12</v>
      </c>
      <c r="N154" t="s">
        <v>41</v>
      </c>
      <c r="O154">
        <v>3</v>
      </c>
      <c r="P154">
        <v>676</v>
      </c>
      <c r="Q154" s="27" t="str">
        <f>IF(D154=Pivot!$AS$4,R153, "")</f>
        <v/>
      </c>
      <c r="R154" t="s">
        <v>34</v>
      </c>
      <c r="S154" s="5">
        <v>0.44</v>
      </c>
      <c r="T154">
        <v>97.12</v>
      </c>
      <c r="U154">
        <v>26.31</v>
      </c>
      <c r="V154" s="27">
        <f t="shared" si="8"/>
        <v>189.35999999999999</v>
      </c>
      <c r="W154">
        <f t="shared" si="9"/>
        <v>157.87</v>
      </c>
      <c r="X154" s="33" t="str">
        <f t="shared" si="10"/>
        <v>Mid Quality</v>
      </c>
      <c r="Y154" s="27" t="str">
        <f t="shared" si="11"/>
        <v>12</v>
      </c>
    </row>
    <row r="155" spans="1:25" x14ac:dyDescent="0.25">
      <c r="A155" s="1">
        <v>45506</v>
      </c>
      <c r="B155" t="s">
        <v>28</v>
      </c>
      <c r="C155">
        <v>3</v>
      </c>
      <c r="D155" t="s">
        <v>91</v>
      </c>
      <c r="E155" t="s">
        <v>37</v>
      </c>
      <c r="F155" t="s">
        <v>90</v>
      </c>
      <c r="G155" t="s">
        <v>52</v>
      </c>
      <c r="H155" t="s">
        <v>25</v>
      </c>
      <c r="I155">
        <v>1</v>
      </c>
      <c r="J155">
        <v>19.649999999999999</v>
      </c>
      <c r="K155">
        <v>1</v>
      </c>
      <c r="L155">
        <v>370.4</v>
      </c>
      <c r="M155">
        <v>59</v>
      </c>
      <c r="N155" t="s">
        <v>45</v>
      </c>
      <c r="O155">
        <v>12</v>
      </c>
      <c r="P155">
        <v>443</v>
      </c>
      <c r="Q155" s="27" t="str">
        <f>IF(D155=Pivot!$AS$4,R154, "")</f>
        <v/>
      </c>
      <c r="R155" t="s">
        <v>34</v>
      </c>
      <c r="S155" s="5">
        <v>2.71</v>
      </c>
      <c r="T155">
        <v>93.58</v>
      </c>
      <c r="U155">
        <v>364.23</v>
      </c>
      <c r="V155" s="27">
        <f t="shared" si="8"/>
        <v>19.649999999999999</v>
      </c>
      <c r="W155">
        <f t="shared" si="9"/>
        <v>734.63</v>
      </c>
      <c r="X155" s="33" t="str">
        <f t="shared" si="10"/>
        <v>Low Quality</v>
      </c>
      <c r="Y155" s="27" t="str">
        <f t="shared" si="11"/>
        <v>20</v>
      </c>
    </row>
    <row r="156" spans="1:25" x14ac:dyDescent="0.25">
      <c r="A156" s="1">
        <v>45368</v>
      </c>
      <c r="B156" t="s">
        <v>20</v>
      </c>
      <c r="C156">
        <v>1</v>
      </c>
      <c r="D156" t="s">
        <v>43</v>
      </c>
      <c r="E156" t="s">
        <v>51</v>
      </c>
      <c r="F156" t="s">
        <v>38</v>
      </c>
      <c r="G156" t="s">
        <v>52</v>
      </c>
      <c r="H156" t="s">
        <v>61</v>
      </c>
      <c r="I156">
        <v>3</v>
      </c>
      <c r="J156">
        <v>2.85</v>
      </c>
      <c r="K156">
        <v>2</v>
      </c>
      <c r="L156">
        <v>223.23</v>
      </c>
      <c r="M156">
        <v>51</v>
      </c>
      <c r="N156" t="s">
        <v>45</v>
      </c>
      <c r="O156">
        <v>27</v>
      </c>
      <c r="P156">
        <v>282</v>
      </c>
      <c r="Q156" s="27" t="str">
        <f>IF(D156=Pivot!$AS$4,R155, "")</f>
        <v/>
      </c>
      <c r="R156" t="s">
        <v>57</v>
      </c>
      <c r="S156" s="5">
        <v>9.57</v>
      </c>
      <c r="T156">
        <v>77.86</v>
      </c>
      <c r="U156">
        <v>189.75</v>
      </c>
      <c r="V156" s="27">
        <f t="shared" si="8"/>
        <v>17.100000000000001</v>
      </c>
      <c r="W156">
        <f t="shared" si="9"/>
        <v>412.98</v>
      </c>
      <c r="X156" s="33" t="str">
        <f t="shared" si="10"/>
        <v>High Quality</v>
      </c>
      <c r="Y156" s="27" t="str">
        <f t="shared" si="11"/>
        <v>4</v>
      </c>
    </row>
    <row r="157" spans="1:25" x14ac:dyDescent="0.25">
      <c r="A157" s="1">
        <v>45341</v>
      </c>
      <c r="B157" t="s">
        <v>28</v>
      </c>
      <c r="C157">
        <v>2</v>
      </c>
      <c r="D157" t="s">
        <v>21</v>
      </c>
      <c r="E157" t="s">
        <v>37</v>
      </c>
      <c r="F157" t="s">
        <v>84</v>
      </c>
      <c r="G157" t="s">
        <v>32</v>
      </c>
      <c r="H157" t="s">
        <v>40</v>
      </c>
      <c r="I157">
        <v>5</v>
      </c>
      <c r="J157">
        <v>6.76</v>
      </c>
      <c r="K157">
        <v>6</v>
      </c>
      <c r="L157">
        <v>231.03</v>
      </c>
      <c r="M157">
        <v>6</v>
      </c>
      <c r="N157" t="s">
        <v>63</v>
      </c>
      <c r="O157">
        <v>30</v>
      </c>
      <c r="P157">
        <v>602</v>
      </c>
      <c r="Q157" s="27" t="str">
        <f>IF(D157=Pivot!$AS$4,R156, "")</f>
        <v/>
      </c>
      <c r="R157" t="s">
        <v>34</v>
      </c>
      <c r="S157" s="5">
        <v>4.9800000000000004</v>
      </c>
      <c r="T157">
        <v>85.04</v>
      </c>
      <c r="U157">
        <v>23.1</v>
      </c>
      <c r="V157" s="27">
        <f t="shared" si="8"/>
        <v>202.79999999999998</v>
      </c>
      <c r="W157">
        <f t="shared" si="9"/>
        <v>254.13</v>
      </c>
      <c r="X157" s="33" t="str">
        <f t="shared" si="10"/>
        <v>Mid Quality</v>
      </c>
      <c r="Y157" s="27" t="str">
        <f t="shared" si="11"/>
        <v>8</v>
      </c>
    </row>
    <row r="158" spans="1:25" x14ac:dyDescent="0.25">
      <c r="A158" s="1">
        <v>45382</v>
      </c>
      <c r="B158" t="s">
        <v>35</v>
      </c>
      <c r="C158">
        <v>2</v>
      </c>
      <c r="D158" t="s">
        <v>66</v>
      </c>
      <c r="E158" t="s">
        <v>51</v>
      </c>
      <c r="F158" t="s">
        <v>68</v>
      </c>
      <c r="G158" t="s">
        <v>52</v>
      </c>
      <c r="H158" t="s">
        <v>25</v>
      </c>
      <c r="I158">
        <v>3</v>
      </c>
      <c r="J158">
        <v>13.13</v>
      </c>
      <c r="K158">
        <v>1</v>
      </c>
      <c r="L158">
        <v>402.48</v>
      </c>
      <c r="M158">
        <v>43</v>
      </c>
      <c r="N158" t="s">
        <v>45</v>
      </c>
      <c r="O158">
        <v>21</v>
      </c>
      <c r="P158">
        <v>943</v>
      </c>
      <c r="Q158" s="27" t="str">
        <f>IF(D158=Pivot!$AS$4,R157, "")</f>
        <v/>
      </c>
      <c r="R158" t="s">
        <v>57</v>
      </c>
      <c r="S158" s="5">
        <v>2.23</v>
      </c>
      <c r="T158">
        <v>92.54</v>
      </c>
      <c r="U158">
        <v>288.44</v>
      </c>
      <c r="V158" s="27">
        <f t="shared" si="8"/>
        <v>39.39</v>
      </c>
      <c r="W158">
        <f t="shared" si="9"/>
        <v>690.92000000000007</v>
      </c>
      <c r="X158" s="33" t="str">
        <f t="shared" si="10"/>
        <v>Mid Quality</v>
      </c>
      <c r="Y158" s="27" t="str">
        <f t="shared" si="11"/>
        <v>14</v>
      </c>
    </row>
    <row r="159" spans="1:25" x14ac:dyDescent="0.25">
      <c r="A159" s="1">
        <v>45535</v>
      </c>
      <c r="B159" t="s">
        <v>35</v>
      </c>
      <c r="C159">
        <v>2</v>
      </c>
      <c r="D159" t="s">
        <v>43</v>
      </c>
      <c r="E159" t="s">
        <v>22</v>
      </c>
      <c r="F159" t="s">
        <v>73</v>
      </c>
      <c r="G159" t="s">
        <v>24</v>
      </c>
      <c r="H159" t="s">
        <v>48</v>
      </c>
      <c r="I159">
        <v>5</v>
      </c>
      <c r="J159">
        <v>7.65</v>
      </c>
      <c r="K159">
        <v>4</v>
      </c>
      <c r="L159">
        <v>483.25</v>
      </c>
      <c r="M159">
        <v>49</v>
      </c>
      <c r="N159" t="s">
        <v>55</v>
      </c>
      <c r="O159">
        <v>38</v>
      </c>
      <c r="P159">
        <v>109</v>
      </c>
      <c r="Q159" s="27" t="str">
        <f>IF(D159=Pivot!$AS$4,R158, "")</f>
        <v/>
      </c>
      <c r="R159" t="s">
        <v>27</v>
      </c>
      <c r="S159" s="5">
        <v>34.86</v>
      </c>
      <c r="T159">
        <v>25.28</v>
      </c>
      <c r="U159">
        <v>394.65</v>
      </c>
      <c r="V159" s="27">
        <f t="shared" si="8"/>
        <v>153</v>
      </c>
      <c r="W159">
        <f t="shared" si="9"/>
        <v>877.9</v>
      </c>
      <c r="X159" s="33" t="str">
        <f t="shared" si="10"/>
        <v>Mid Quality</v>
      </c>
      <c r="Y159" s="27" t="str">
        <f t="shared" si="11"/>
        <v>8</v>
      </c>
    </row>
    <row r="160" spans="1:25" x14ac:dyDescent="0.25">
      <c r="A160" s="1">
        <v>45311</v>
      </c>
      <c r="B160" t="s">
        <v>65</v>
      </c>
      <c r="C160">
        <v>2</v>
      </c>
      <c r="D160" t="s">
        <v>80</v>
      </c>
      <c r="E160" t="s">
        <v>30</v>
      </c>
      <c r="F160" t="s">
        <v>44</v>
      </c>
      <c r="G160" t="s">
        <v>52</v>
      </c>
      <c r="H160" t="s">
        <v>61</v>
      </c>
      <c r="I160">
        <v>4</v>
      </c>
      <c r="J160">
        <v>18.64</v>
      </c>
      <c r="K160">
        <v>8</v>
      </c>
      <c r="L160">
        <v>107</v>
      </c>
      <c r="M160">
        <v>36</v>
      </c>
      <c r="N160" t="s">
        <v>49</v>
      </c>
      <c r="O160">
        <v>21</v>
      </c>
      <c r="P160">
        <v>593</v>
      </c>
      <c r="Q160" s="27" t="str">
        <f>IF(D160=Pivot!$AS$4,R159, "")</f>
        <v>Kontrol tekrarlandı</v>
      </c>
      <c r="R160" t="s">
        <v>27</v>
      </c>
      <c r="S160" s="5">
        <v>3.54</v>
      </c>
      <c r="T160">
        <v>88.92</v>
      </c>
      <c r="U160">
        <v>64.2</v>
      </c>
      <c r="V160" s="27">
        <f t="shared" si="8"/>
        <v>596.48</v>
      </c>
      <c r="W160">
        <f t="shared" si="9"/>
        <v>171.2</v>
      </c>
      <c r="X160" s="33" t="str">
        <f t="shared" si="10"/>
        <v>Low Quality</v>
      </c>
      <c r="Y160" s="27" t="str">
        <f t="shared" si="11"/>
        <v>20</v>
      </c>
    </row>
    <row r="161" spans="1:25" x14ac:dyDescent="0.25">
      <c r="A161" s="1">
        <v>45564</v>
      </c>
      <c r="B161" t="s">
        <v>20</v>
      </c>
      <c r="C161">
        <v>1</v>
      </c>
      <c r="D161" t="s">
        <v>66</v>
      </c>
      <c r="E161" t="s">
        <v>30</v>
      </c>
      <c r="F161" t="s">
        <v>38</v>
      </c>
      <c r="G161" t="s">
        <v>52</v>
      </c>
      <c r="H161" t="s">
        <v>40</v>
      </c>
      <c r="I161">
        <v>3</v>
      </c>
      <c r="J161">
        <v>2.25</v>
      </c>
      <c r="K161">
        <v>5</v>
      </c>
      <c r="L161">
        <v>239.28</v>
      </c>
      <c r="M161">
        <v>69</v>
      </c>
      <c r="N161" t="s">
        <v>45</v>
      </c>
      <c r="O161">
        <v>38</v>
      </c>
      <c r="P161">
        <v>333</v>
      </c>
      <c r="Q161" s="27" t="str">
        <f>IF(D161=Pivot!$AS$4,R160, "")</f>
        <v/>
      </c>
      <c r="R161" t="s">
        <v>27</v>
      </c>
      <c r="S161" s="5">
        <v>11.41</v>
      </c>
      <c r="T161">
        <v>74.180000000000007</v>
      </c>
      <c r="U161">
        <v>275.17</v>
      </c>
      <c r="V161" s="27">
        <f t="shared" si="8"/>
        <v>33.75</v>
      </c>
      <c r="W161">
        <f t="shared" si="9"/>
        <v>514.45000000000005</v>
      </c>
      <c r="X161" s="33" t="str">
        <f t="shared" si="10"/>
        <v>High Quality</v>
      </c>
      <c r="Y161" s="27" t="str">
        <f t="shared" si="11"/>
        <v>4</v>
      </c>
    </row>
    <row r="162" spans="1:25" x14ac:dyDescent="0.25">
      <c r="A162" s="1">
        <v>45549</v>
      </c>
      <c r="B162" t="s">
        <v>50</v>
      </c>
      <c r="C162">
        <v>3</v>
      </c>
      <c r="D162" t="s">
        <v>71</v>
      </c>
      <c r="E162" t="s">
        <v>67</v>
      </c>
      <c r="F162" t="s">
        <v>89</v>
      </c>
      <c r="G162" t="s">
        <v>32</v>
      </c>
      <c r="H162" t="s">
        <v>33</v>
      </c>
      <c r="I162">
        <v>3</v>
      </c>
      <c r="J162">
        <v>11.44</v>
      </c>
      <c r="K162">
        <v>9</v>
      </c>
      <c r="L162">
        <v>266.42</v>
      </c>
      <c r="M162">
        <v>42</v>
      </c>
      <c r="N162" t="s">
        <v>26</v>
      </c>
      <c r="O162">
        <v>40</v>
      </c>
      <c r="P162">
        <v>397</v>
      </c>
      <c r="Q162" s="27" t="str">
        <f>IF(D162=Pivot!$AS$4,R161, "")</f>
        <v/>
      </c>
      <c r="R162" t="s">
        <v>27</v>
      </c>
      <c r="S162" s="5">
        <v>10.08</v>
      </c>
      <c r="T162">
        <v>76.84</v>
      </c>
      <c r="U162">
        <v>186.49</v>
      </c>
      <c r="V162" s="27">
        <f t="shared" si="8"/>
        <v>308.88</v>
      </c>
      <c r="W162">
        <f t="shared" si="9"/>
        <v>452.91</v>
      </c>
      <c r="X162" s="33" t="str">
        <f t="shared" si="10"/>
        <v>Mid Quality</v>
      </c>
      <c r="Y162" s="27" t="str">
        <f t="shared" si="11"/>
        <v>12</v>
      </c>
    </row>
    <row r="163" spans="1:25" x14ac:dyDescent="0.25">
      <c r="A163" s="1">
        <v>45352</v>
      </c>
      <c r="B163" t="s">
        <v>50</v>
      </c>
      <c r="C163">
        <v>2</v>
      </c>
      <c r="D163" t="s">
        <v>74</v>
      </c>
      <c r="E163" t="s">
        <v>37</v>
      </c>
      <c r="F163" t="s">
        <v>38</v>
      </c>
      <c r="G163" t="s">
        <v>32</v>
      </c>
      <c r="H163" t="s">
        <v>40</v>
      </c>
      <c r="I163">
        <v>3</v>
      </c>
      <c r="J163">
        <v>12.23</v>
      </c>
      <c r="K163">
        <v>6</v>
      </c>
      <c r="L163">
        <v>219.34</v>
      </c>
      <c r="M163">
        <v>81</v>
      </c>
      <c r="N163" t="s">
        <v>55</v>
      </c>
      <c r="O163">
        <v>15</v>
      </c>
      <c r="P163">
        <v>343</v>
      </c>
      <c r="Q163" s="27" t="str">
        <f>IF(D163=Pivot!$AS$4,R162, "")</f>
        <v/>
      </c>
      <c r="R163" t="s">
        <v>42</v>
      </c>
      <c r="S163" s="5">
        <v>4.37</v>
      </c>
      <c r="T163">
        <v>88.26</v>
      </c>
      <c r="U163">
        <v>296.11</v>
      </c>
      <c r="V163" s="27">
        <f t="shared" si="8"/>
        <v>220.14000000000001</v>
      </c>
      <c r="W163">
        <f t="shared" si="9"/>
        <v>515.45000000000005</v>
      </c>
      <c r="X163" s="33" t="str">
        <f t="shared" si="10"/>
        <v>Mid Quality</v>
      </c>
      <c r="Y163" s="27" t="str">
        <f t="shared" si="11"/>
        <v>14</v>
      </c>
    </row>
    <row r="164" spans="1:25" x14ac:dyDescent="0.25">
      <c r="A164" s="1">
        <v>45339</v>
      </c>
      <c r="B164" t="s">
        <v>28</v>
      </c>
      <c r="C164">
        <v>1</v>
      </c>
      <c r="D164" t="s">
        <v>79</v>
      </c>
      <c r="E164" t="s">
        <v>37</v>
      </c>
      <c r="F164" t="s">
        <v>44</v>
      </c>
      <c r="G164" t="s">
        <v>52</v>
      </c>
      <c r="H164" t="s">
        <v>33</v>
      </c>
      <c r="I164">
        <v>4</v>
      </c>
      <c r="J164">
        <v>13.4</v>
      </c>
      <c r="K164">
        <v>1</v>
      </c>
      <c r="L164">
        <v>213.44</v>
      </c>
      <c r="M164">
        <v>15</v>
      </c>
      <c r="N164" t="s">
        <v>41</v>
      </c>
      <c r="O164">
        <v>18</v>
      </c>
      <c r="P164">
        <v>608</v>
      </c>
      <c r="Q164" s="27" t="str">
        <f>IF(D164=Pivot!$AS$4,R163, "")</f>
        <v/>
      </c>
      <c r="R164" t="s">
        <v>42</v>
      </c>
      <c r="S164" s="5">
        <v>2.96</v>
      </c>
      <c r="T164">
        <v>90.08</v>
      </c>
      <c r="U164">
        <v>53.36</v>
      </c>
      <c r="V164" s="27">
        <f t="shared" si="8"/>
        <v>53.6</v>
      </c>
      <c r="W164">
        <f t="shared" si="9"/>
        <v>266.8</v>
      </c>
      <c r="X164" s="33" t="str">
        <f t="shared" si="10"/>
        <v>Mid Quality</v>
      </c>
      <c r="Y164" s="27" t="str">
        <f t="shared" si="11"/>
        <v>14</v>
      </c>
    </row>
    <row r="165" spans="1:25" x14ac:dyDescent="0.25">
      <c r="A165" s="1">
        <v>45538</v>
      </c>
      <c r="B165" t="s">
        <v>65</v>
      </c>
      <c r="C165">
        <v>2</v>
      </c>
      <c r="D165" t="s">
        <v>79</v>
      </c>
      <c r="E165" t="s">
        <v>37</v>
      </c>
      <c r="F165" t="s">
        <v>86</v>
      </c>
      <c r="G165" t="s">
        <v>39</v>
      </c>
      <c r="H165" t="s">
        <v>61</v>
      </c>
      <c r="I165">
        <v>1</v>
      </c>
      <c r="J165">
        <v>5.86</v>
      </c>
      <c r="K165">
        <v>6</v>
      </c>
      <c r="L165">
        <v>73.52</v>
      </c>
      <c r="M165">
        <v>14</v>
      </c>
      <c r="N165" t="s">
        <v>49</v>
      </c>
      <c r="O165">
        <v>29</v>
      </c>
      <c r="P165">
        <v>450</v>
      </c>
      <c r="Q165" s="27" t="str">
        <f>IF(D165=Pivot!$AS$4,R164, "")</f>
        <v/>
      </c>
      <c r="R165" t="s">
        <v>27</v>
      </c>
      <c r="S165" s="5">
        <v>6.44</v>
      </c>
      <c r="T165">
        <v>86.12</v>
      </c>
      <c r="U165">
        <v>17.149999999999999</v>
      </c>
      <c r="V165" s="27">
        <f t="shared" si="8"/>
        <v>35.160000000000004</v>
      </c>
      <c r="W165">
        <f t="shared" si="9"/>
        <v>90.669999999999987</v>
      </c>
      <c r="X165" s="33" t="str">
        <f t="shared" si="10"/>
        <v>High Quality</v>
      </c>
      <c r="Y165" s="27" t="str">
        <f t="shared" si="11"/>
        <v>6</v>
      </c>
    </row>
    <row r="166" spans="1:25" x14ac:dyDescent="0.25">
      <c r="A166" s="1">
        <v>45358</v>
      </c>
      <c r="B166" t="s">
        <v>75</v>
      </c>
      <c r="C166">
        <v>2</v>
      </c>
      <c r="D166" t="s">
        <v>88</v>
      </c>
      <c r="E166" t="s">
        <v>22</v>
      </c>
      <c r="F166" t="s">
        <v>87</v>
      </c>
      <c r="G166" t="s">
        <v>32</v>
      </c>
      <c r="H166" t="s">
        <v>33</v>
      </c>
      <c r="I166">
        <v>5</v>
      </c>
      <c r="J166">
        <v>7.93</v>
      </c>
      <c r="K166">
        <v>6</v>
      </c>
      <c r="L166">
        <v>358.49</v>
      </c>
      <c r="M166">
        <v>63</v>
      </c>
      <c r="N166" t="s">
        <v>26</v>
      </c>
      <c r="O166">
        <v>48</v>
      </c>
      <c r="P166">
        <v>366</v>
      </c>
      <c r="Q166" s="27" t="str">
        <f>IF(D166=Pivot!$AS$4,R165, "")</f>
        <v/>
      </c>
      <c r="R166" t="s">
        <v>34</v>
      </c>
      <c r="S166" s="5">
        <v>13.11</v>
      </c>
      <c r="T166">
        <v>68.78</v>
      </c>
      <c r="U166">
        <v>376.41</v>
      </c>
      <c r="V166" s="27">
        <f t="shared" si="8"/>
        <v>237.89999999999998</v>
      </c>
      <c r="W166">
        <f t="shared" si="9"/>
        <v>734.90000000000009</v>
      </c>
      <c r="X166" s="33" t="str">
        <f t="shared" si="10"/>
        <v>Mid Quality</v>
      </c>
      <c r="Y166" s="27" t="str">
        <f t="shared" si="11"/>
        <v>8</v>
      </c>
    </row>
    <row r="167" spans="1:25" x14ac:dyDescent="0.25">
      <c r="A167" s="1">
        <v>45568</v>
      </c>
      <c r="B167" t="s">
        <v>28</v>
      </c>
      <c r="C167">
        <v>1</v>
      </c>
      <c r="D167" t="s">
        <v>80</v>
      </c>
      <c r="E167" t="s">
        <v>37</v>
      </c>
      <c r="F167" t="s">
        <v>72</v>
      </c>
      <c r="G167" t="s">
        <v>60</v>
      </c>
      <c r="H167" t="s">
        <v>48</v>
      </c>
      <c r="I167">
        <v>3</v>
      </c>
      <c r="J167">
        <v>17.03</v>
      </c>
      <c r="K167">
        <v>6</v>
      </c>
      <c r="L167">
        <v>246.3</v>
      </c>
      <c r="M167">
        <v>59</v>
      </c>
      <c r="N167" t="s">
        <v>26</v>
      </c>
      <c r="O167">
        <v>38</v>
      </c>
      <c r="P167">
        <v>729</v>
      </c>
      <c r="Q167" s="27" t="str">
        <f>IF(D167=Pivot!$AS$4,R166, "")</f>
        <v>Kritik hata</v>
      </c>
      <c r="R167" t="s">
        <v>57</v>
      </c>
      <c r="S167" s="5">
        <v>5.21</v>
      </c>
      <c r="T167">
        <v>86.58</v>
      </c>
      <c r="U167">
        <v>242.2</v>
      </c>
      <c r="V167" s="27">
        <f t="shared" si="8"/>
        <v>306.54000000000002</v>
      </c>
      <c r="W167">
        <f t="shared" si="9"/>
        <v>488.5</v>
      </c>
      <c r="X167" s="33" t="str">
        <f t="shared" si="10"/>
        <v>Low Quality</v>
      </c>
      <c r="Y167" s="27" t="str">
        <f t="shared" si="11"/>
        <v>18</v>
      </c>
    </row>
    <row r="168" spans="1:25" x14ac:dyDescent="0.25">
      <c r="A168" s="1">
        <v>45292</v>
      </c>
      <c r="B168" t="s">
        <v>65</v>
      </c>
      <c r="C168">
        <v>3</v>
      </c>
      <c r="D168" t="s">
        <v>36</v>
      </c>
      <c r="E168" t="s">
        <v>30</v>
      </c>
      <c r="F168" t="s">
        <v>81</v>
      </c>
      <c r="G168" t="s">
        <v>60</v>
      </c>
      <c r="H168" t="s">
        <v>33</v>
      </c>
      <c r="I168">
        <v>4</v>
      </c>
      <c r="J168">
        <v>4.7</v>
      </c>
      <c r="K168">
        <v>8</v>
      </c>
      <c r="L168">
        <v>137.66</v>
      </c>
      <c r="M168">
        <v>24</v>
      </c>
      <c r="N168" t="s">
        <v>41</v>
      </c>
      <c r="O168">
        <v>21</v>
      </c>
      <c r="P168">
        <v>755</v>
      </c>
      <c r="Q168" s="27" t="str">
        <f>IF(D168=Pivot!$AS$4,R167, "")</f>
        <v/>
      </c>
      <c r="R168" t="s">
        <v>46</v>
      </c>
      <c r="S168" s="5">
        <v>2.78</v>
      </c>
      <c r="T168">
        <v>90.44</v>
      </c>
      <c r="U168">
        <v>55.06</v>
      </c>
      <c r="V168" s="27">
        <f t="shared" si="8"/>
        <v>150.4</v>
      </c>
      <c r="W168">
        <f t="shared" si="9"/>
        <v>192.72</v>
      </c>
      <c r="X168" s="33" t="str">
        <f t="shared" si="10"/>
        <v>High Quality</v>
      </c>
      <c r="Y168" s="27" t="str">
        <f t="shared" si="11"/>
        <v>6</v>
      </c>
    </row>
    <row r="169" spans="1:25" x14ac:dyDescent="0.25">
      <c r="A169" s="1">
        <v>45512</v>
      </c>
      <c r="B169" t="s">
        <v>20</v>
      </c>
      <c r="C169">
        <v>3</v>
      </c>
      <c r="D169" t="s">
        <v>21</v>
      </c>
      <c r="E169" t="s">
        <v>22</v>
      </c>
      <c r="F169" t="s">
        <v>38</v>
      </c>
      <c r="G169" t="s">
        <v>24</v>
      </c>
      <c r="H169" t="s">
        <v>48</v>
      </c>
      <c r="I169">
        <v>1</v>
      </c>
      <c r="J169">
        <v>16.71</v>
      </c>
      <c r="K169">
        <v>6</v>
      </c>
      <c r="L169">
        <v>417.22</v>
      </c>
      <c r="M169">
        <v>85</v>
      </c>
      <c r="N169" t="s">
        <v>26</v>
      </c>
      <c r="O169">
        <v>17</v>
      </c>
      <c r="P169">
        <v>992</v>
      </c>
      <c r="Q169" s="27" t="str">
        <f>IF(D169=Pivot!$AS$4,R168, "")</f>
        <v/>
      </c>
      <c r="R169" t="s">
        <v>57</v>
      </c>
      <c r="S169" s="5">
        <v>1.71</v>
      </c>
      <c r="T169">
        <v>95.58</v>
      </c>
      <c r="U169">
        <v>591.05999999999995</v>
      </c>
      <c r="V169" s="27">
        <f t="shared" si="8"/>
        <v>100.26</v>
      </c>
      <c r="W169">
        <f t="shared" si="9"/>
        <v>1008.28</v>
      </c>
      <c r="X169" s="33" t="str">
        <f t="shared" si="10"/>
        <v>Low Quality</v>
      </c>
      <c r="Y169" s="27" t="str">
        <f t="shared" si="11"/>
        <v>18</v>
      </c>
    </row>
    <row r="170" spans="1:25" x14ac:dyDescent="0.25">
      <c r="A170" s="1">
        <v>45559</v>
      </c>
      <c r="B170" t="s">
        <v>20</v>
      </c>
      <c r="C170">
        <v>1</v>
      </c>
      <c r="D170" t="s">
        <v>43</v>
      </c>
      <c r="E170" t="s">
        <v>51</v>
      </c>
      <c r="F170" t="s">
        <v>59</v>
      </c>
      <c r="G170" t="s">
        <v>52</v>
      </c>
      <c r="H170" t="s">
        <v>61</v>
      </c>
      <c r="I170">
        <v>5</v>
      </c>
      <c r="J170">
        <v>11.69</v>
      </c>
      <c r="K170">
        <v>5</v>
      </c>
      <c r="L170">
        <v>411.15</v>
      </c>
      <c r="M170">
        <v>21</v>
      </c>
      <c r="N170" t="s">
        <v>55</v>
      </c>
      <c r="O170">
        <v>41</v>
      </c>
      <c r="P170">
        <v>300</v>
      </c>
      <c r="Q170" s="27" t="str">
        <f>IF(D170=Pivot!$AS$4,R169, "")</f>
        <v/>
      </c>
      <c r="R170" t="s">
        <v>46</v>
      </c>
      <c r="S170" s="5">
        <v>13.67</v>
      </c>
      <c r="T170">
        <v>67.66</v>
      </c>
      <c r="U170">
        <v>143.9</v>
      </c>
      <c r="V170" s="27">
        <f t="shared" si="8"/>
        <v>292.25</v>
      </c>
      <c r="W170">
        <f t="shared" si="9"/>
        <v>555.04999999999995</v>
      </c>
      <c r="X170" s="33" t="str">
        <f t="shared" si="10"/>
        <v>Mid Quality</v>
      </c>
      <c r="Y170" s="27" t="str">
        <f t="shared" si="11"/>
        <v>12</v>
      </c>
    </row>
    <row r="171" spans="1:25" x14ac:dyDescent="0.25">
      <c r="A171" s="1">
        <v>45507</v>
      </c>
      <c r="B171" t="s">
        <v>20</v>
      </c>
      <c r="C171">
        <v>3</v>
      </c>
      <c r="D171" t="s">
        <v>43</v>
      </c>
      <c r="E171" t="s">
        <v>37</v>
      </c>
      <c r="F171" t="s">
        <v>23</v>
      </c>
      <c r="G171" t="s">
        <v>39</v>
      </c>
      <c r="H171" t="s">
        <v>61</v>
      </c>
      <c r="I171">
        <v>4</v>
      </c>
      <c r="J171">
        <v>15.48</v>
      </c>
      <c r="K171">
        <v>2</v>
      </c>
      <c r="L171">
        <v>268.88</v>
      </c>
      <c r="M171">
        <v>72</v>
      </c>
      <c r="N171" t="s">
        <v>41</v>
      </c>
      <c r="O171">
        <v>18</v>
      </c>
      <c r="P171">
        <v>338</v>
      </c>
      <c r="Q171" s="27" t="str">
        <f>IF(D171=Pivot!$AS$4,R170, "")</f>
        <v/>
      </c>
      <c r="R171" t="s">
        <v>46</v>
      </c>
      <c r="S171" s="5">
        <v>5.33</v>
      </c>
      <c r="T171">
        <v>85.34</v>
      </c>
      <c r="U171">
        <v>322.66000000000003</v>
      </c>
      <c r="V171" s="27">
        <f t="shared" si="8"/>
        <v>123.84</v>
      </c>
      <c r="W171">
        <f t="shared" si="9"/>
        <v>591.54</v>
      </c>
      <c r="X171" s="33" t="str">
        <f t="shared" si="10"/>
        <v>Low Quality</v>
      </c>
      <c r="Y171" s="27" t="str">
        <f t="shared" si="11"/>
        <v>16</v>
      </c>
    </row>
    <row r="172" spans="1:25" x14ac:dyDescent="0.25">
      <c r="A172" s="1">
        <v>45481</v>
      </c>
      <c r="B172" t="s">
        <v>20</v>
      </c>
      <c r="C172">
        <v>1</v>
      </c>
      <c r="D172" t="s">
        <v>83</v>
      </c>
      <c r="E172" t="s">
        <v>37</v>
      </c>
      <c r="F172" t="s">
        <v>78</v>
      </c>
      <c r="G172" t="s">
        <v>24</v>
      </c>
      <c r="H172" t="s">
        <v>40</v>
      </c>
      <c r="I172">
        <v>5</v>
      </c>
      <c r="J172">
        <v>14.56</v>
      </c>
      <c r="K172">
        <v>4</v>
      </c>
      <c r="L172">
        <v>184.3</v>
      </c>
      <c r="M172">
        <v>9</v>
      </c>
      <c r="N172" t="s">
        <v>26</v>
      </c>
      <c r="O172">
        <v>37</v>
      </c>
      <c r="P172">
        <v>433</v>
      </c>
      <c r="Q172" s="27" t="str">
        <f>IF(D172=Pivot!$AS$4,R171, "")</f>
        <v/>
      </c>
      <c r="R172" t="s">
        <v>27</v>
      </c>
      <c r="S172" s="5">
        <v>8.5500000000000007</v>
      </c>
      <c r="T172">
        <v>77.900000000000006</v>
      </c>
      <c r="U172">
        <v>27.64</v>
      </c>
      <c r="V172" s="27">
        <f t="shared" si="8"/>
        <v>291.2</v>
      </c>
      <c r="W172">
        <f t="shared" si="9"/>
        <v>211.94</v>
      </c>
      <c r="X172" s="33" t="str">
        <f t="shared" si="10"/>
        <v>Mid Quality</v>
      </c>
      <c r="Y172" s="27" t="str">
        <f t="shared" si="11"/>
        <v>16</v>
      </c>
    </row>
    <row r="173" spans="1:25" x14ac:dyDescent="0.25">
      <c r="A173" s="1">
        <v>45314</v>
      </c>
      <c r="B173" t="s">
        <v>20</v>
      </c>
      <c r="C173">
        <v>1</v>
      </c>
      <c r="D173" t="s">
        <v>66</v>
      </c>
      <c r="E173" t="s">
        <v>51</v>
      </c>
      <c r="F173" t="s">
        <v>56</v>
      </c>
      <c r="G173" t="s">
        <v>52</v>
      </c>
      <c r="H173" t="s">
        <v>48</v>
      </c>
      <c r="I173">
        <v>3</v>
      </c>
      <c r="J173">
        <v>4.9400000000000004</v>
      </c>
      <c r="K173">
        <v>5</v>
      </c>
      <c r="L173">
        <v>337.14</v>
      </c>
      <c r="M173">
        <v>64</v>
      </c>
      <c r="N173" t="s">
        <v>41</v>
      </c>
      <c r="O173">
        <v>38</v>
      </c>
      <c r="P173">
        <v>514</v>
      </c>
      <c r="Q173" s="27" t="str">
        <f>IF(D173=Pivot!$AS$4,R172, "")</f>
        <v/>
      </c>
      <c r="R173" t="s">
        <v>46</v>
      </c>
      <c r="S173" s="5">
        <v>7.39</v>
      </c>
      <c r="T173">
        <v>82.22</v>
      </c>
      <c r="U173">
        <v>359.62</v>
      </c>
      <c r="V173" s="27">
        <f t="shared" si="8"/>
        <v>74.100000000000009</v>
      </c>
      <c r="W173">
        <f t="shared" si="9"/>
        <v>696.76</v>
      </c>
      <c r="X173" s="33" t="str">
        <f t="shared" si="10"/>
        <v>High Quality</v>
      </c>
      <c r="Y173" s="27" t="str">
        <f t="shared" si="11"/>
        <v>6</v>
      </c>
    </row>
    <row r="174" spans="1:25" x14ac:dyDescent="0.25">
      <c r="A174" s="1">
        <v>45563</v>
      </c>
      <c r="B174" t="s">
        <v>65</v>
      </c>
      <c r="C174">
        <v>1</v>
      </c>
      <c r="D174" t="s">
        <v>79</v>
      </c>
      <c r="E174" t="s">
        <v>37</v>
      </c>
      <c r="F174" t="s">
        <v>44</v>
      </c>
      <c r="G174" t="s">
        <v>32</v>
      </c>
      <c r="H174" t="s">
        <v>48</v>
      </c>
      <c r="I174">
        <v>1</v>
      </c>
      <c r="J174">
        <v>11.81</v>
      </c>
      <c r="K174">
        <v>4</v>
      </c>
      <c r="L174">
        <v>179.67</v>
      </c>
      <c r="M174">
        <v>27</v>
      </c>
      <c r="N174" t="s">
        <v>41</v>
      </c>
      <c r="O174">
        <v>12</v>
      </c>
      <c r="P174">
        <v>583</v>
      </c>
      <c r="Q174" s="27" t="str">
        <f>IF(D174=Pivot!$AS$4,R173, "")</f>
        <v/>
      </c>
      <c r="R174" t="s">
        <v>27</v>
      </c>
      <c r="S174" s="5">
        <v>2.06</v>
      </c>
      <c r="T174">
        <v>94.88</v>
      </c>
      <c r="U174">
        <v>80.849999999999994</v>
      </c>
      <c r="V174" s="27">
        <f t="shared" si="8"/>
        <v>47.24</v>
      </c>
      <c r="W174">
        <f t="shared" si="9"/>
        <v>260.52</v>
      </c>
      <c r="X174" s="33" t="str">
        <f t="shared" si="10"/>
        <v>Mid Quality</v>
      </c>
      <c r="Y174" s="27" t="str">
        <f t="shared" si="11"/>
        <v>12</v>
      </c>
    </row>
    <row r="175" spans="1:25" x14ac:dyDescent="0.25">
      <c r="A175" s="1">
        <v>45511</v>
      </c>
      <c r="B175" t="s">
        <v>65</v>
      </c>
      <c r="C175">
        <v>3</v>
      </c>
      <c r="D175" t="s">
        <v>66</v>
      </c>
      <c r="E175" t="s">
        <v>51</v>
      </c>
      <c r="F175" t="s">
        <v>70</v>
      </c>
      <c r="G175" t="s">
        <v>60</v>
      </c>
      <c r="H175" t="s">
        <v>25</v>
      </c>
      <c r="I175">
        <v>4</v>
      </c>
      <c r="J175">
        <v>17.489999999999998</v>
      </c>
      <c r="K175">
        <v>2</v>
      </c>
      <c r="L175">
        <v>156.19999999999999</v>
      </c>
      <c r="M175">
        <v>50</v>
      </c>
      <c r="N175" t="s">
        <v>45</v>
      </c>
      <c r="O175">
        <v>11</v>
      </c>
      <c r="P175">
        <v>536</v>
      </c>
      <c r="Q175" s="27" t="str">
        <f>IF(D175=Pivot!$AS$4,R174, "")</f>
        <v/>
      </c>
      <c r="R175" t="s">
        <v>42</v>
      </c>
      <c r="S175" s="5">
        <v>2.0499999999999998</v>
      </c>
      <c r="T175">
        <v>91.9</v>
      </c>
      <c r="U175">
        <v>130.16999999999999</v>
      </c>
      <c r="V175" s="27">
        <f t="shared" si="8"/>
        <v>139.91999999999999</v>
      </c>
      <c r="W175">
        <f t="shared" si="9"/>
        <v>286.37</v>
      </c>
      <c r="X175" s="33" t="str">
        <f t="shared" si="10"/>
        <v>Low Quality</v>
      </c>
      <c r="Y175" s="27" t="str">
        <f t="shared" si="11"/>
        <v>18</v>
      </c>
    </row>
    <row r="176" spans="1:25" x14ac:dyDescent="0.25">
      <c r="A176" s="1">
        <v>45409</v>
      </c>
      <c r="B176" t="s">
        <v>35</v>
      </c>
      <c r="C176">
        <v>1</v>
      </c>
      <c r="D176" t="s">
        <v>83</v>
      </c>
      <c r="E176" t="s">
        <v>22</v>
      </c>
      <c r="F176" t="s">
        <v>69</v>
      </c>
      <c r="G176" t="s">
        <v>39</v>
      </c>
      <c r="H176" t="s">
        <v>25</v>
      </c>
      <c r="I176">
        <v>1</v>
      </c>
      <c r="J176">
        <v>9.2100000000000009</v>
      </c>
      <c r="K176">
        <v>7</v>
      </c>
      <c r="L176">
        <v>378.73</v>
      </c>
      <c r="M176">
        <v>56</v>
      </c>
      <c r="N176" t="s">
        <v>45</v>
      </c>
      <c r="O176">
        <v>48</v>
      </c>
      <c r="P176">
        <v>345</v>
      </c>
      <c r="Q176" s="27" t="str">
        <f>IF(D176=Pivot!$AS$4,R175, "")</f>
        <v/>
      </c>
      <c r="R176" t="s">
        <v>34</v>
      </c>
      <c r="S176" s="5">
        <v>13.91</v>
      </c>
      <c r="T176">
        <v>71.180000000000007</v>
      </c>
      <c r="U176">
        <v>353.48</v>
      </c>
      <c r="V176" s="27">
        <f t="shared" si="8"/>
        <v>64.47</v>
      </c>
      <c r="W176">
        <f t="shared" si="9"/>
        <v>732.21</v>
      </c>
      <c r="X176" s="33" t="str">
        <f t="shared" si="10"/>
        <v>Mid Quality</v>
      </c>
      <c r="Y176" s="27" t="str">
        <f t="shared" si="11"/>
        <v>10</v>
      </c>
    </row>
    <row r="177" spans="1:25" x14ac:dyDescent="0.25">
      <c r="A177" s="1">
        <v>45538</v>
      </c>
      <c r="B177" t="s">
        <v>50</v>
      </c>
      <c r="C177">
        <v>2</v>
      </c>
      <c r="D177" t="s">
        <v>47</v>
      </c>
      <c r="E177" t="s">
        <v>30</v>
      </c>
      <c r="F177" t="s">
        <v>78</v>
      </c>
      <c r="G177" t="s">
        <v>60</v>
      </c>
      <c r="H177" t="s">
        <v>25</v>
      </c>
      <c r="I177">
        <v>3</v>
      </c>
      <c r="J177">
        <v>19.37</v>
      </c>
      <c r="K177">
        <v>2</v>
      </c>
      <c r="L177">
        <v>68.150000000000006</v>
      </c>
      <c r="M177">
        <v>14</v>
      </c>
      <c r="N177" t="s">
        <v>45</v>
      </c>
      <c r="O177">
        <v>49</v>
      </c>
      <c r="P177">
        <v>957</v>
      </c>
      <c r="Q177" s="27" t="str">
        <f>IF(D177=Pivot!$AS$4,R176, "")</f>
        <v/>
      </c>
      <c r="R177" t="s">
        <v>46</v>
      </c>
      <c r="S177" s="5">
        <v>5.12</v>
      </c>
      <c r="T177">
        <v>86.76</v>
      </c>
      <c r="U177">
        <v>15.9</v>
      </c>
      <c r="V177" s="27">
        <f t="shared" si="8"/>
        <v>116.22</v>
      </c>
      <c r="W177">
        <f t="shared" si="9"/>
        <v>84.050000000000011</v>
      </c>
      <c r="X177" s="33" t="str">
        <f t="shared" si="10"/>
        <v>Low Quality</v>
      </c>
      <c r="Y177" s="27" t="str">
        <f t="shared" si="11"/>
        <v>20</v>
      </c>
    </row>
    <row r="178" spans="1:25" x14ac:dyDescent="0.25">
      <c r="A178" s="1">
        <v>45487</v>
      </c>
      <c r="B178" t="s">
        <v>20</v>
      </c>
      <c r="C178">
        <v>3</v>
      </c>
      <c r="D178" t="s">
        <v>66</v>
      </c>
      <c r="E178" t="s">
        <v>51</v>
      </c>
      <c r="F178" t="s">
        <v>23</v>
      </c>
      <c r="G178" t="s">
        <v>32</v>
      </c>
      <c r="H178" t="s">
        <v>33</v>
      </c>
      <c r="I178">
        <v>1</v>
      </c>
      <c r="J178">
        <v>9.59</v>
      </c>
      <c r="K178">
        <v>1</v>
      </c>
      <c r="L178">
        <v>92.65</v>
      </c>
      <c r="M178">
        <v>50</v>
      </c>
      <c r="N178" t="s">
        <v>26</v>
      </c>
      <c r="O178">
        <v>20</v>
      </c>
      <c r="P178">
        <v>107</v>
      </c>
      <c r="Q178" s="27" t="str">
        <f>IF(D178=Pivot!$AS$4,R177, "")</f>
        <v/>
      </c>
      <c r="R178" t="s">
        <v>34</v>
      </c>
      <c r="S178" s="5">
        <v>18.690000000000001</v>
      </c>
      <c r="T178">
        <v>61.62</v>
      </c>
      <c r="U178">
        <v>77.209999999999994</v>
      </c>
      <c r="V178" s="27">
        <f t="shared" si="8"/>
        <v>9.59</v>
      </c>
      <c r="W178">
        <f t="shared" si="9"/>
        <v>169.86</v>
      </c>
      <c r="X178" s="33" t="str">
        <f t="shared" si="10"/>
        <v>Mid Quality</v>
      </c>
      <c r="Y178" s="27" t="str">
        <f t="shared" si="11"/>
        <v>10</v>
      </c>
    </row>
    <row r="179" spans="1:25" x14ac:dyDescent="0.25">
      <c r="A179" s="1">
        <v>45471</v>
      </c>
      <c r="B179" t="s">
        <v>75</v>
      </c>
      <c r="C179">
        <v>3</v>
      </c>
      <c r="D179" t="s">
        <v>29</v>
      </c>
      <c r="E179" t="s">
        <v>67</v>
      </c>
      <c r="F179" t="s">
        <v>89</v>
      </c>
      <c r="G179" t="s">
        <v>52</v>
      </c>
      <c r="H179" t="s">
        <v>25</v>
      </c>
      <c r="I179">
        <v>1</v>
      </c>
      <c r="J179">
        <v>3.71</v>
      </c>
      <c r="K179">
        <v>5</v>
      </c>
      <c r="L179">
        <v>53.05</v>
      </c>
      <c r="M179">
        <v>32</v>
      </c>
      <c r="N179" t="s">
        <v>49</v>
      </c>
      <c r="O179">
        <v>9</v>
      </c>
      <c r="P179">
        <v>251</v>
      </c>
      <c r="Q179" s="27" t="str">
        <f>IF(D179=Pivot!$AS$4,R178, "")</f>
        <v/>
      </c>
      <c r="R179" t="s">
        <v>27</v>
      </c>
      <c r="S179" s="5">
        <v>3.59</v>
      </c>
      <c r="T179">
        <v>91.82</v>
      </c>
      <c r="U179">
        <v>28.29</v>
      </c>
      <c r="V179" s="27">
        <f t="shared" si="8"/>
        <v>18.55</v>
      </c>
      <c r="W179">
        <f t="shared" si="9"/>
        <v>81.34</v>
      </c>
      <c r="X179" s="33" t="str">
        <f t="shared" si="10"/>
        <v>High Quality</v>
      </c>
      <c r="Y179" s="27" t="str">
        <f t="shared" si="11"/>
        <v>4</v>
      </c>
    </row>
    <row r="180" spans="1:25" x14ac:dyDescent="0.25">
      <c r="A180" s="1">
        <v>45586</v>
      </c>
      <c r="B180" t="s">
        <v>65</v>
      </c>
      <c r="C180">
        <v>3</v>
      </c>
      <c r="D180" t="s">
        <v>64</v>
      </c>
      <c r="E180" t="s">
        <v>51</v>
      </c>
      <c r="F180" t="s">
        <v>81</v>
      </c>
      <c r="G180" t="s">
        <v>32</v>
      </c>
      <c r="H180" t="s">
        <v>48</v>
      </c>
      <c r="I180">
        <v>2</v>
      </c>
      <c r="J180">
        <v>8.4</v>
      </c>
      <c r="K180">
        <v>1</v>
      </c>
      <c r="L180">
        <v>118.82</v>
      </c>
      <c r="M180">
        <v>47</v>
      </c>
      <c r="N180" t="s">
        <v>55</v>
      </c>
      <c r="O180">
        <v>1</v>
      </c>
      <c r="P180">
        <v>491</v>
      </c>
      <c r="Q180" s="27" t="str">
        <f>IF(D180=Pivot!$AS$4,R179, "")</f>
        <v/>
      </c>
      <c r="R180" t="s">
        <v>46</v>
      </c>
      <c r="S180" s="5">
        <v>0.2</v>
      </c>
      <c r="T180">
        <v>97.6</v>
      </c>
      <c r="U180">
        <v>93.08</v>
      </c>
      <c r="V180" s="27">
        <f t="shared" si="8"/>
        <v>16.8</v>
      </c>
      <c r="W180">
        <f t="shared" si="9"/>
        <v>211.89999999999998</v>
      </c>
      <c r="X180" s="33" t="str">
        <f t="shared" si="10"/>
        <v>Mid Quality</v>
      </c>
      <c r="Y180" s="27" t="str">
        <f t="shared" si="11"/>
        <v>10</v>
      </c>
    </row>
    <row r="181" spans="1:25" x14ac:dyDescent="0.25">
      <c r="A181" s="1">
        <v>45342</v>
      </c>
      <c r="B181" t="s">
        <v>75</v>
      </c>
      <c r="C181">
        <v>3</v>
      </c>
      <c r="D181" t="s">
        <v>80</v>
      </c>
      <c r="E181" t="s">
        <v>37</v>
      </c>
      <c r="F181" t="s">
        <v>69</v>
      </c>
      <c r="G181" t="s">
        <v>32</v>
      </c>
      <c r="H181" t="s">
        <v>33</v>
      </c>
      <c r="I181">
        <v>1</v>
      </c>
      <c r="J181">
        <v>19.079999999999998</v>
      </c>
      <c r="K181">
        <v>1</v>
      </c>
      <c r="L181">
        <v>81.05</v>
      </c>
      <c r="M181">
        <v>30</v>
      </c>
      <c r="N181" t="s">
        <v>26</v>
      </c>
      <c r="O181">
        <v>3</v>
      </c>
      <c r="P181">
        <v>310</v>
      </c>
      <c r="Q181" s="27" t="str">
        <f>IF(D181=Pivot!$AS$4,R180, "")</f>
        <v>Eğitim önerildi</v>
      </c>
      <c r="R181" t="s">
        <v>57</v>
      </c>
      <c r="S181" s="5">
        <v>0.97</v>
      </c>
      <c r="T181">
        <v>97.06</v>
      </c>
      <c r="U181">
        <v>40.520000000000003</v>
      </c>
      <c r="V181" s="27">
        <f t="shared" si="8"/>
        <v>19.079999999999998</v>
      </c>
      <c r="W181">
        <f t="shared" si="9"/>
        <v>121.57</v>
      </c>
      <c r="X181" s="33" t="str">
        <f t="shared" si="10"/>
        <v>Low Quality</v>
      </c>
      <c r="Y181" s="27" t="str">
        <f t="shared" si="11"/>
        <v>20</v>
      </c>
    </row>
    <row r="182" spans="1:25" x14ac:dyDescent="0.25">
      <c r="A182" s="1">
        <v>45509</v>
      </c>
      <c r="B182" t="s">
        <v>75</v>
      </c>
      <c r="C182">
        <v>2</v>
      </c>
      <c r="D182" t="s">
        <v>80</v>
      </c>
      <c r="E182" t="s">
        <v>22</v>
      </c>
      <c r="F182" t="s">
        <v>86</v>
      </c>
      <c r="G182" t="s">
        <v>60</v>
      </c>
      <c r="H182" t="s">
        <v>61</v>
      </c>
      <c r="I182">
        <v>5</v>
      </c>
      <c r="J182">
        <v>7.07</v>
      </c>
      <c r="K182">
        <v>1</v>
      </c>
      <c r="L182">
        <v>498.11</v>
      </c>
      <c r="M182">
        <v>59</v>
      </c>
      <c r="N182" t="s">
        <v>45</v>
      </c>
      <c r="O182">
        <v>21</v>
      </c>
      <c r="P182">
        <v>466</v>
      </c>
      <c r="Q182" s="27" t="str">
        <f>IF(D182=Pivot!$AS$4,R181, "")</f>
        <v>Rutin kontrol</v>
      </c>
      <c r="R182" t="s">
        <v>42</v>
      </c>
      <c r="S182" s="5">
        <v>4.51</v>
      </c>
      <c r="T182">
        <v>85.98</v>
      </c>
      <c r="U182">
        <v>489.81</v>
      </c>
      <c r="V182" s="27">
        <f t="shared" si="8"/>
        <v>35.35</v>
      </c>
      <c r="W182">
        <f t="shared" si="9"/>
        <v>987.92000000000007</v>
      </c>
      <c r="X182" s="33" t="str">
        <f t="shared" si="10"/>
        <v>Mid Quality</v>
      </c>
      <c r="Y182" s="27" t="str">
        <f t="shared" si="11"/>
        <v>8</v>
      </c>
    </row>
    <row r="183" spans="1:25" x14ac:dyDescent="0.25">
      <c r="A183" s="1">
        <v>45360</v>
      </c>
      <c r="B183" t="s">
        <v>75</v>
      </c>
      <c r="C183">
        <v>3</v>
      </c>
      <c r="D183" t="s">
        <v>58</v>
      </c>
      <c r="E183" t="s">
        <v>22</v>
      </c>
      <c r="F183" t="s">
        <v>62</v>
      </c>
      <c r="G183" t="s">
        <v>39</v>
      </c>
      <c r="H183" t="s">
        <v>40</v>
      </c>
      <c r="I183">
        <v>4</v>
      </c>
      <c r="J183">
        <v>17.489999999999998</v>
      </c>
      <c r="K183">
        <v>6</v>
      </c>
      <c r="L183">
        <v>179.96</v>
      </c>
      <c r="M183">
        <v>52</v>
      </c>
      <c r="N183" t="s">
        <v>41</v>
      </c>
      <c r="O183">
        <v>23</v>
      </c>
      <c r="P183">
        <v>769</v>
      </c>
      <c r="Q183" s="27" t="str">
        <f>IF(D183=Pivot!$AS$4,R182, "")</f>
        <v/>
      </c>
      <c r="R183" t="s">
        <v>42</v>
      </c>
      <c r="S183" s="5">
        <v>2.99</v>
      </c>
      <c r="T183">
        <v>90.02</v>
      </c>
      <c r="U183">
        <v>155.97</v>
      </c>
      <c r="V183" s="27">
        <f t="shared" si="8"/>
        <v>419.76</v>
      </c>
      <c r="W183">
        <f t="shared" si="9"/>
        <v>335.93</v>
      </c>
      <c r="X183" s="33" t="str">
        <f t="shared" si="10"/>
        <v>Low Quality</v>
      </c>
      <c r="Y183" s="27" t="str">
        <f t="shared" si="11"/>
        <v>18</v>
      </c>
    </row>
    <row r="184" spans="1:25" x14ac:dyDescent="0.25">
      <c r="A184" s="1">
        <v>45422</v>
      </c>
      <c r="B184" t="s">
        <v>35</v>
      </c>
      <c r="C184">
        <v>3</v>
      </c>
      <c r="D184" t="s">
        <v>91</v>
      </c>
      <c r="E184" t="s">
        <v>51</v>
      </c>
      <c r="F184" t="s">
        <v>72</v>
      </c>
      <c r="G184" t="s">
        <v>32</v>
      </c>
      <c r="H184" t="s">
        <v>25</v>
      </c>
      <c r="I184">
        <v>2</v>
      </c>
      <c r="J184">
        <v>17.739999999999998</v>
      </c>
      <c r="K184">
        <v>9</v>
      </c>
      <c r="L184">
        <v>117.17</v>
      </c>
      <c r="M184">
        <v>33</v>
      </c>
      <c r="N184" t="s">
        <v>26</v>
      </c>
      <c r="O184">
        <v>9</v>
      </c>
      <c r="P184">
        <v>669</v>
      </c>
      <c r="Q184" s="27" t="str">
        <f>IF(D184=Pivot!$AS$4,R183, "")</f>
        <v/>
      </c>
      <c r="R184" t="s">
        <v>46</v>
      </c>
      <c r="S184" s="5">
        <v>1.35</v>
      </c>
      <c r="T184">
        <v>95.3</v>
      </c>
      <c r="U184">
        <v>64.44</v>
      </c>
      <c r="V184" s="27">
        <f t="shared" si="8"/>
        <v>319.32</v>
      </c>
      <c r="W184">
        <f t="shared" si="9"/>
        <v>181.61</v>
      </c>
      <c r="X184" s="33" t="str">
        <f t="shared" si="10"/>
        <v>Low Quality</v>
      </c>
      <c r="Y184" s="27" t="str">
        <f t="shared" si="11"/>
        <v>18</v>
      </c>
    </row>
    <row r="185" spans="1:25" x14ac:dyDescent="0.25">
      <c r="A185" s="1">
        <v>45536</v>
      </c>
      <c r="B185" t="s">
        <v>65</v>
      </c>
      <c r="C185">
        <v>1</v>
      </c>
      <c r="D185" t="s">
        <v>29</v>
      </c>
      <c r="E185" t="s">
        <v>30</v>
      </c>
      <c r="F185" t="s">
        <v>54</v>
      </c>
      <c r="G185" t="s">
        <v>60</v>
      </c>
      <c r="H185" t="s">
        <v>61</v>
      </c>
      <c r="I185">
        <v>4</v>
      </c>
      <c r="J185">
        <v>7.65</v>
      </c>
      <c r="K185">
        <v>1</v>
      </c>
      <c r="L185">
        <v>158.44999999999999</v>
      </c>
      <c r="M185">
        <v>31</v>
      </c>
      <c r="N185" t="s">
        <v>41</v>
      </c>
      <c r="O185">
        <v>19</v>
      </c>
      <c r="P185">
        <v>185</v>
      </c>
      <c r="Q185" s="27" t="str">
        <f>IF(D185=Pivot!$AS$4,R184, "")</f>
        <v/>
      </c>
      <c r="R185" t="s">
        <v>42</v>
      </c>
      <c r="S185" s="5">
        <v>10.27</v>
      </c>
      <c r="T185">
        <v>75.459999999999994</v>
      </c>
      <c r="U185">
        <v>81.87</v>
      </c>
      <c r="V185" s="27">
        <f t="shared" si="8"/>
        <v>30.6</v>
      </c>
      <c r="W185">
        <f t="shared" si="9"/>
        <v>240.32</v>
      </c>
      <c r="X185" s="33" t="str">
        <f t="shared" si="10"/>
        <v>Mid Quality</v>
      </c>
      <c r="Y185" s="27" t="str">
        <f t="shared" si="11"/>
        <v>8</v>
      </c>
    </row>
    <row r="186" spans="1:25" x14ac:dyDescent="0.25">
      <c r="A186" s="1">
        <v>45411</v>
      </c>
      <c r="B186" t="s">
        <v>75</v>
      </c>
      <c r="C186">
        <v>3</v>
      </c>
      <c r="D186" t="s">
        <v>91</v>
      </c>
      <c r="E186" t="s">
        <v>67</v>
      </c>
      <c r="F186" t="s">
        <v>62</v>
      </c>
      <c r="G186" t="s">
        <v>39</v>
      </c>
      <c r="H186" t="s">
        <v>48</v>
      </c>
      <c r="I186">
        <v>4</v>
      </c>
      <c r="J186">
        <v>2.58</v>
      </c>
      <c r="K186">
        <v>5</v>
      </c>
      <c r="L186">
        <v>471.26</v>
      </c>
      <c r="M186">
        <v>22</v>
      </c>
      <c r="N186" t="s">
        <v>41</v>
      </c>
      <c r="O186">
        <v>45</v>
      </c>
      <c r="P186">
        <v>154</v>
      </c>
      <c r="Q186" s="27" t="str">
        <f>IF(D186=Pivot!$AS$4,R185, "")</f>
        <v/>
      </c>
      <c r="R186" t="s">
        <v>57</v>
      </c>
      <c r="S186" s="5">
        <v>29.22</v>
      </c>
      <c r="T186">
        <v>37.56</v>
      </c>
      <c r="U186">
        <v>172.8</v>
      </c>
      <c r="V186" s="27">
        <f t="shared" si="8"/>
        <v>51.6</v>
      </c>
      <c r="W186">
        <f t="shared" si="9"/>
        <v>644.05999999999995</v>
      </c>
      <c r="X186" s="33" t="str">
        <f t="shared" si="10"/>
        <v>High Quality</v>
      </c>
      <c r="Y186" s="27" t="str">
        <f t="shared" si="11"/>
        <v>4</v>
      </c>
    </row>
    <row r="187" spans="1:25" x14ac:dyDescent="0.25">
      <c r="A187" s="1">
        <v>45334</v>
      </c>
      <c r="B187" t="s">
        <v>20</v>
      </c>
      <c r="C187">
        <v>2</v>
      </c>
      <c r="D187" t="s">
        <v>74</v>
      </c>
      <c r="E187" t="s">
        <v>22</v>
      </c>
      <c r="F187" t="s">
        <v>68</v>
      </c>
      <c r="G187" t="s">
        <v>52</v>
      </c>
      <c r="H187" t="s">
        <v>40</v>
      </c>
      <c r="I187">
        <v>3</v>
      </c>
      <c r="J187">
        <v>14.77</v>
      </c>
      <c r="K187">
        <v>9</v>
      </c>
      <c r="L187">
        <v>284.07</v>
      </c>
      <c r="M187">
        <v>64</v>
      </c>
      <c r="N187" t="s">
        <v>41</v>
      </c>
      <c r="O187">
        <v>46</v>
      </c>
      <c r="P187">
        <v>812</v>
      </c>
      <c r="Q187" s="27" t="str">
        <f>IF(D187=Pivot!$AS$4,R186, "")</f>
        <v/>
      </c>
      <c r="R187" t="s">
        <v>34</v>
      </c>
      <c r="S187" s="5">
        <v>5.67</v>
      </c>
      <c r="T187">
        <v>85.66</v>
      </c>
      <c r="U187">
        <v>303.01</v>
      </c>
      <c r="V187" s="27">
        <f t="shared" si="8"/>
        <v>398.78999999999996</v>
      </c>
      <c r="W187">
        <f t="shared" si="9"/>
        <v>587.07999999999993</v>
      </c>
      <c r="X187" s="33" t="str">
        <f t="shared" si="10"/>
        <v>Mid Quality</v>
      </c>
      <c r="Y187" s="27" t="str">
        <f t="shared" si="11"/>
        <v>16</v>
      </c>
    </row>
    <row r="188" spans="1:25" x14ac:dyDescent="0.25">
      <c r="A188" s="1">
        <v>45437</v>
      </c>
      <c r="B188" t="s">
        <v>28</v>
      </c>
      <c r="C188">
        <v>2</v>
      </c>
      <c r="D188" t="s">
        <v>76</v>
      </c>
      <c r="E188" t="s">
        <v>37</v>
      </c>
      <c r="F188" t="s">
        <v>59</v>
      </c>
      <c r="G188" t="s">
        <v>52</v>
      </c>
      <c r="H188" t="s">
        <v>61</v>
      </c>
      <c r="I188">
        <v>3</v>
      </c>
      <c r="J188">
        <v>6.92</v>
      </c>
      <c r="K188">
        <v>9</v>
      </c>
      <c r="L188">
        <v>214.17</v>
      </c>
      <c r="M188">
        <v>78</v>
      </c>
      <c r="N188" t="s">
        <v>63</v>
      </c>
      <c r="O188">
        <v>19</v>
      </c>
      <c r="P188">
        <v>733</v>
      </c>
      <c r="Q188" s="27" t="str">
        <f>IF(D188=Pivot!$AS$4,R187, "")</f>
        <v/>
      </c>
      <c r="R188" t="s">
        <v>57</v>
      </c>
      <c r="S188" s="5">
        <v>2.59</v>
      </c>
      <c r="T188">
        <v>91.82</v>
      </c>
      <c r="U188">
        <v>278.42</v>
      </c>
      <c r="V188" s="27">
        <f t="shared" si="8"/>
        <v>186.84</v>
      </c>
      <c r="W188">
        <f t="shared" si="9"/>
        <v>492.59000000000003</v>
      </c>
      <c r="X188" s="33" t="str">
        <f t="shared" si="10"/>
        <v>Mid Quality</v>
      </c>
      <c r="Y188" s="27" t="str">
        <f t="shared" si="11"/>
        <v>8</v>
      </c>
    </row>
    <row r="189" spans="1:25" x14ac:dyDescent="0.25">
      <c r="A189" s="1">
        <v>45570</v>
      </c>
      <c r="B189" t="s">
        <v>75</v>
      </c>
      <c r="C189">
        <v>2</v>
      </c>
      <c r="D189" t="s">
        <v>88</v>
      </c>
      <c r="E189" t="s">
        <v>37</v>
      </c>
      <c r="F189" t="s">
        <v>73</v>
      </c>
      <c r="G189" t="s">
        <v>24</v>
      </c>
      <c r="H189" t="s">
        <v>40</v>
      </c>
      <c r="I189">
        <v>2</v>
      </c>
      <c r="J189">
        <v>15.88</v>
      </c>
      <c r="K189">
        <v>1</v>
      </c>
      <c r="L189">
        <v>443.03</v>
      </c>
      <c r="M189">
        <v>73</v>
      </c>
      <c r="N189" t="s">
        <v>49</v>
      </c>
      <c r="O189">
        <v>23</v>
      </c>
      <c r="P189">
        <v>545</v>
      </c>
      <c r="Q189" s="27" t="str">
        <f>IF(D189=Pivot!$AS$4,R188, "")</f>
        <v/>
      </c>
      <c r="R189" t="s">
        <v>42</v>
      </c>
      <c r="S189" s="5">
        <v>4.22</v>
      </c>
      <c r="T189">
        <v>89.56</v>
      </c>
      <c r="U189">
        <v>539.02</v>
      </c>
      <c r="V189" s="27">
        <f t="shared" si="8"/>
        <v>31.76</v>
      </c>
      <c r="W189">
        <f t="shared" si="9"/>
        <v>982.05</v>
      </c>
      <c r="X189" s="33" t="str">
        <f t="shared" si="10"/>
        <v>Low Quality</v>
      </c>
      <c r="Y189" s="27" t="str">
        <f t="shared" si="11"/>
        <v>16</v>
      </c>
    </row>
    <row r="190" spans="1:25" x14ac:dyDescent="0.25">
      <c r="A190" s="1">
        <v>45501</v>
      </c>
      <c r="B190" t="s">
        <v>35</v>
      </c>
      <c r="C190">
        <v>2</v>
      </c>
      <c r="D190" t="s">
        <v>43</v>
      </c>
      <c r="E190" t="s">
        <v>30</v>
      </c>
      <c r="F190" t="s">
        <v>38</v>
      </c>
      <c r="G190" t="s">
        <v>60</v>
      </c>
      <c r="H190" t="s">
        <v>25</v>
      </c>
      <c r="I190">
        <v>3</v>
      </c>
      <c r="J190">
        <v>9.41</v>
      </c>
      <c r="K190">
        <v>8</v>
      </c>
      <c r="L190">
        <v>227.75</v>
      </c>
      <c r="M190">
        <v>78</v>
      </c>
      <c r="N190" t="s">
        <v>55</v>
      </c>
      <c r="O190">
        <v>27</v>
      </c>
      <c r="P190">
        <v>719</v>
      </c>
      <c r="Q190" s="27" t="str">
        <f>IF(D190=Pivot!$AS$4,R189, "")</f>
        <v/>
      </c>
      <c r="R190" t="s">
        <v>34</v>
      </c>
      <c r="S190" s="5">
        <v>3.76</v>
      </c>
      <c r="T190">
        <v>89.48</v>
      </c>
      <c r="U190">
        <v>296.08</v>
      </c>
      <c r="V190" s="27">
        <f t="shared" si="8"/>
        <v>225.84</v>
      </c>
      <c r="W190">
        <f t="shared" si="9"/>
        <v>523.82999999999993</v>
      </c>
      <c r="X190" s="33" t="str">
        <f t="shared" si="10"/>
        <v>Mid Quality</v>
      </c>
      <c r="Y190" s="27" t="str">
        <f t="shared" si="11"/>
        <v>10</v>
      </c>
    </row>
    <row r="191" spans="1:25" x14ac:dyDescent="0.25">
      <c r="A191" s="1">
        <v>45423</v>
      </c>
      <c r="B191" t="s">
        <v>65</v>
      </c>
      <c r="C191">
        <v>3</v>
      </c>
      <c r="D191" t="s">
        <v>71</v>
      </c>
      <c r="E191" t="s">
        <v>22</v>
      </c>
      <c r="F191" t="s">
        <v>72</v>
      </c>
      <c r="G191" t="s">
        <v>39</v>
      </c>
      <c r="H191" t="s">
        <v>48</v>
      </c>
      <c r="I191">
        <v>3</v>
      </c>
      <c r="J191">
        <v>10.220000000000001</v>
      </c>
      <c r="K191">
        <v>1</v>
      </c>
      <c r="L191">
        <v>200.75</v>
      </c>
      <c r="M191">
        <v>25</v>
      </c>
      <c r="N191" t="s">
        <v>55</v>
      </c>
      <c r="O191">
        <v>27</v>
      </c>
      <c r="P191">
        <v>403</v>
      </c>
      <c r="Q191" s="27" t="str">
        <f>IF(D191=Pivot!$AS$4,R190, "")</f>
        <v/>
      </c>
      <c r="R191" t="s">
        <v>57</v>
      </c>
      <c r="S191" s="5">
        <v>6.7</v>
      </c>
      <c r="T191">
        <v>83.6</v>
      </c>
      <c r="U191">
        <v>83.65</v>
      </c>
      <c r="V191" s="27">
        <f t="shared" si="8"/>
        <v>30.660000000000004</v>
      </c>
      <c r="W191">
        <f t="shared" si="9"/>
        <v>284.39999999999998</v>
      </c>
      <c r="X191" s="33" t="str">
        <f t="shared" si="10"/>
        <v>Mid Quality</v>
      </c>
      <c r="Y191" s="27" t="str">
        <f t="shared" si="11"/>
        <v>12</v>
      </c>
    </row>
    <row r="192" spans="1:25" x14ac:dyDescent="0.25">
      <c r="A192" s="1">
        <v>45388</v>
      </c>
      <c r="B192" t="s">
        <v>35</v>
      </c>
      <c r="C192">
        <v>3</v>
      </c>
      <c r="D192" t="s">
        <v>76</v>
      </c>
      <c r="E192" t="s">
        <v>51</v>
      </c>
      <c r="F192" t="s">
        <v>38</v>
      </c>
      <c r="G192" t="s">
        <v>32</v>
      </c>
      <c r="H192" t="s">
        <v>40</v>
      </c>
      <c r="I192">
        <v>3</v>
      </c>
      <c r="J192">
        <v>15.78</v>
      </c>
      <c r="K192">
        <v>8</v>
      </c>
      <c r="L192">
        <v>143.28</v>
      </c>
      <c r="M192">
        <v>28</v>
      </c>
      <c r="N192" t="s">
        <v>45</v>
      </c>
      <c r="O192">
        <v>39</v>
      </c>
      <c r="P192">
        <v>231</v>
      </c>
      <c r="Q192" s="27" t="str">
        <f>IF(D192=Pivot!$AS$4,R191, "")</f>
        <v/>
      </c>
      <c r="R192" t="s">
        <v>27</v>
      </c>
      <c r="S192" s="5">
        <v>16.88</v>
      </c>
      <c r="T192">
        <v>63.24</v>
      </c>
      <c r="U192">
        <v>66.86</v>
      </c>
      <c r="V192" s="27">
        <f t="shared" si="8"/>
        <v>378.71999999999997</v>
      </c>
      <c r="W192">
        <f t="shared" si="9"/>
        <v>210.14</v>
      </c>
      <c r="X192" s="33" t="str">
        <f t="shared" si="10"/>
        <v>Low Quality</v>
      </c>
      <c r="Y192" s="27" t="str">
        <f t="shared" si="11"/>
        <v>16</v>
      </c>
    </row>
    <row r="193" spans="1:25" x14ac:dyDescent="0.25">
      <c r="A193" s="1">
        <v>45294</v>
      </c>
      <c r="B193" t="s">
        <v>75</v>
      </c>
      <c r="C193">
        <v>2</v>
      </c>
      <c r="D193" t="s">
        <v>80</v>
      </c>
      <c r="E193" t="s">
        <v>37</v>
      </c>
      <c r="F193" t="s">
        <v>86</v>
      </c>
      <c r="G193" t="s">
        <v>52</v>
      </c>
      <c r="H193" t="s">
        <v>61</v>
      </c>
      <c r="I193">
        <v>4</v>
      </c>
      <c r="J193">
        <v>8.26</v>
      </c>
      <c r="K193">
        <v>1</v>
      </c>
      <c r="L193">
        <v>220.01</v>
      </c>
      <c r="M193">
        <v>7</v>
      </c>
      <c r="N193" t="s">
        <v>63</v>
      </c>
      <c r="O193">
        <v>36</v>
      </c>
      <c r="P193">
        <v>520</v>
      </c>
      <c r="Q193" s="27" t="str">
        <f>IF(D193=Pivot!$AS$4,R192, "")</f>
        <v>Kontrol tekrarlandı</v>
      </c>
      <c r="R193" t="s">
        <v>27</v>
      </c>
      <c r="S193" s="5">
        <v>6.92</v>
      </c>
      <c r="T193">
        <v>82.16</v>
      </c>
      <c r="U193">
        <v>25.67</v>
      </c>
      <c r="V193" s="27">
        <f t="shared" si="8"/>
        <v>33.04</v>
      </c>
      <c r="W193">
        <f t="shared" si="9"/>
        <v>245.68</v>
      </c>
      <c r="X193" s="33" t="str">
        <f t="shared" si="10"/>
        <v>Mid Quality</v>
      </c>
      <c r="Y193" s="27" t="str">
        <f t="shared" si="11"/>
        <v>10</v>
      </c>
    </row>
    <row r="194" spans="1:25" x14ac:dyDescent="0.25">
      <c r="A194" s="1">
        <v>45295</v>
      </c>
      <c r="B194" t="s">
        <v>65</v>
      </c>
      <c r="C194">
        <v>2</v>
      </c>
      <c r="D194" t="s">
        <v>76</v>
      </c>
      <c r="E194" t="s">
        <v>30</v>
      </c>
      <c r="F194" t="s">
        <v>69</v>
      </c>
      <c r="G194" t="s">
        <v>39</v>
      </c>
      <c r="H194" t="s">
        <v>25</v>
      </c>
      <c r="I194">
        <v>2</v>
      </c>
      <c r="J194">
        <v>9.42</v>
      </c>
      <c r="K194">
        <v>5</v>
      </c>
      <c r="L194">
        <v>192.51</v>
      </c>
      <c r="M194">
        <v>66</v>
      </c>
      <c r="N194" t="s">
        <v>26</v>
      </c>
      <c r="O194">
        <v>12</v>
      </c>
      <c r="P194">
        <v>484</v>
      </c>
      <c r="Q194" s="27" t="str">
        <f>IF(D194=Pivot!$AS$4,R193, "")</f>
        <v/>
      </c>
      <c r="R194" t="s">
        <v>34</v>
      </c>
      <c r="S194" s="5">
        <v>2.48</v>
      </c>
      <c r="T194">
        <v>93.04</v>
      </c>
      <c r="U194">
        <v>211.76</v>
      </c>
      <c r="V194" s="27">
        <f t="shared" ref="V194:V257" si="12">K194*I194*J194</f>
        <v>94.2</v>
      </c>
      <c r="W194">
        <f t="shared" ref="W194:W257" si="13">U194+L194</f>
        <v>404.27</v>
      </c>
      <c r="X194" s="33" t="str">
        <f t="shared" ref="X194:X257" si="14">_xlfn.IFS(J194&lt;6,"High Quality",J194&lt;=15,"Mid Quality",J194&gt;15,"Low Quality")</f>
        <v>Mid Quality</v>
      </c>
      <c r="Y194" s="27" t="str">
        <f t="shared" ref="Y194:Y257" si="15">_xlfn.IFS(J194&lt;=0,"0",J194&lt;=2,"2",J194&lt;=4,"4",J194&lt;=6,"6",J194&lt;=8,"8",J194&lt;=10,"10",J194&lt;=12,"12",J194&lt;=14,"14",J194&lt;=16,"16",J194&lt;=16,"16",J194&lt;=18,"18",J194&lt;=20,"20")</f>
        <v>10</v>
      </c>
    </row>
    <row r="195" spans="1:25" x14ac:dyDescent="0.25">
      <c r="A195" s="1">
        <v>45587</v>
      </c>
      <c r="B195" t="s">
        <v>28</v>
      </c>
      <c r="C195">
        <v>3</v>
      </c>
      <c r="D195" t="s">
        <v>91</v>
      </c>
      <c r="E195" t="s">
        <v>22</v>
      </c>
      <c r="F195" t="s">
        <v>72</v>
      </c>
      <c r="G195" t="s">
        <v>60</v>
      </c>
      <c r="H195" t="s">
        <v>25</v>
      </c>
      <c r="I195">
        <v>4</v>
      </c>
      <c r="J195">
        <v>8.15</v>
      </c>
      <c r="K195">
        <v>8</v>
      </c>
      <c r="L195">
        <v>354.79</v>
      </c>
      <c r="M195">
        <v>6</v>
      </c>
      <c r="N195" t="s">
        <v>26</v>
      </c>
      <c r="O195">
        <v>27</v>
      </c>
      <c r="P195">
        <v>297</v>
      </c>
      <c r="Q195" s="27" t="str">
        <f>IF(D195=Pivot!$AS$4,R194, "")</f>
        <v/>
      </c>
      <c r="R195" t="s">
        <v>34</v>
      </c>
      <c r="S195" s="5">
        <v>9.09</v>
      </c>
      <c r="T195">
        <v>77.819999999999993</v>
      </c>
      <c r="U195">
        <v>35.479999999999997</v>
      </c>
      <c r="V195" s="27">
        <f t="shared" si="12"/>
        <v>260.8</v>
      </c>
      <c r="W195">
        <f t="shared" si="13"/>
        <v>390.27000000000004</v>
      </c>
      <c r="X195" s="33" t="str">
        <f t="shared" si="14"/>
        <v>Mid Quality</v>
      </c>
      <c r="Y195" s="27" t="str">
        <f t="shared" si="15"/>
        <v>10</v>
      </c>
    </row>
    <row r="196" spans="1:25" x14ac:dyDescent="0.25">
      <c r="A196" s="1">
        <v>45559</v>
      </c>
      <c r="B196" t="s">
        <v>75</v>
      </c>
      <c r="C196">
        <v>2</v>
      </c>
      <c r="D196" t="s">
        <v>53</v>
      </c>
      <c r="E196" t="s">
        <v>22</v>
      </c>
      <c r="F196" t="s">
        <v>68</v>
      </c>
      <c r="G196" t="s">
        <v>24</v>
      </c>
      <c r="H196" t="s">
        <v>61</v>
      </c>
      <c r="I196">
        <v>5</v>
      </c>
      <c r="J196">
        <v>7.98</v>
      </c>
      <c r="K196">
        <v>6</v>
      </c>
      <c r="L196">
        <v>180.31</v>
      </c>
      <c r="M196">
        <v>70</v>
      </c>
      <c r="N196" t="s">
        <v>55</v>
      </c>
      <c r="O196">
        <v>46</v>
      </c>
      <c r="P196">
        <v>146</v>
      </c>
      <c r="Q196" s="27" t="str">
        <f>IF(D196=Pivot!$AS$4,R195, "")</f>
        <v/>
      </c>
      <c r="R196" t="s">
        <v>34</v>
      </c>
      <c r="S196" s="5">
        <v>31.51</v>
      </c>
      <c r="T196">
        <v>31.98</v>
      </c>
      <c r="U196">
        <v>210.36</v>
      </c>
      <c r="V196" s="27">
        <f t="shared" si="12"/>
        <v>239.4</v>
      </c>
      <c r="W196">
        <f t="shared" si="13"/>
        <v>390.67</v>
      </c>
      <c r="X196" s="33" t="str">
        <f t="shared" si="14"/>
        <v>Mid Quality</v>
      </c>
      <c r="Y196" s="27" t="str">
        <f t="shared" si="15"/>
        <v>8</v>
      </c>
    </row>
    <row r="197" spans="1:25" x14ac:dyDescent="0.25">
      <c r="A197" s="1">
        <v>45352</v>
      </c>
      <c r="B197" t="s">
        <v>35</v>
      </c>
      <c r="C197">
        <v>1</v>
      </c>
      <c r="D197" t="s">
        <v>76</v>
      </c>
      <c r="E197" t="s">
        <v>22</v>
      </c>
      <c r="F197" t="s">
        <v>68</v>
      </c>
      <c r="G197" t="s">
        <v>52</v>
      </c>
      <c r="H197" t="s">
        <v>61</v>
      </c>
      <c r="I197">
        <v>4</v>
      </c>
      <c r="J197">
        <v>10.99</v>
      </c>
      <c r="K197">
        <v>9</v>
      </c>
      <c r="L197">
        <v>309.74</v>
      </c>
      <c r="M197">
        <v>46</v>
      </c>
      <c r="N197" t="s">
        <v>49</v>
      </c>
      <c r="O197">
        <v>34</v>
      </c>
      <c r="P197">
        <v>839</v>
      </c>
      <c r="Q197" s="27" t="str">
        <f>IF(D197=Pivot!$AS$4,R196, "")</f>
        <v/>
      </c>
      <c r="R197" t="s">
        <v>27</v>
      </c>
      <c r="S197" s="5">
        <v>4.05</v>
      </c>
      <c r="T197">
        <v>87.9</v>
      </c>
      <c r="U197">
        <v>237.47</v>
      </c>
      <c r="V197" s="27">
        <f t="shared" si="12"/>
        <v>395.64</v>
      </c>
      <c r="W197">
        <f t="shared" si="13"/>
        <v>547.21</v>
      </c>
      <c r="X197" s="33" t="str">
        <f t="shared" si="14"/>
        <v>Mid Quality</v>
      </c>
      <c r="Y197" s="27" t="str">
        <f t="shared" si="15"/>
        <v>12</v>
      </c>
    </row>
    <row r="198" spans="1:25" x14ac:dyDescent="0.25">
      <c r="A198" s="1">
        <v>45558</v>
      </c>
      <c r="B198" t="s">
        <v>50</v>
      </c>
      <c r="C198">
        <v>2</v>
      </c>
      <c r="D198" t="s">
        <v>53</v>
      </c>
      <c r="E198" t="s">
        <v>22</v>
      </c>
      <c r="F198" t="s">
        <v>84</v>
      </c>
      <c r="G198" t="s">
        <v>39</v>
      </c>
      <c r="H198" t="s">
        <v>40</v>
      </c>
      <c r="I198">
        <v>5</v>
      </c>
      <c r="J198">
        <v>16.37</v>
      </c>
      <c r="K198">
        <v>1</v>
      </c>
      <c r="L198">
        <v>79.650000000000006</v>
      </c>
      <c r="M198">
        <v>38</v>
      </c>
      <c r="N198" t="s">
        <v>41</v>
      </c>
      <c r="O198">
        <v>33</v>
      </c>
      <c r="P198">
        <v>856</v>
      </c>
      <c r="Q198" s="27" t="str">
        <f>IF(D198=Pivot!$AS$4,R197, "")</f>
        <v/>
      </c>
      <c r="R198" t="s">
        <v>57</v>
      </c>
      <c r="S198" s="5">
        <v>3.86</v>
      </c>
      <c r="T198">
        <v>87.28</v>
      </c>
      <c r="U198">
        <v>50.44</v>
      </c>
      <c r="V198" s="27">
        <f t="shared" si="12"/>
        <v>81.850000000000009</v>
      </c>
      <c r="W198">
        <f t="shared" si="13"/>
        <v>130.09</v>
      </c>
      <c r="X198" s="33" t="str">
        <f t="shared" si="14"/>
        <v>Low Quality</v>
      </c>
      <c r="Y198" s="27" t="str">
        <f t="shared" si="15"/>
        <v>18</v>
      </c>
    </row>
    <row r="199" spans="1:25" x14ac:dyDescent="0.25">
      <c r="A199" s="1">
        <v>45295</v>
      </c>
      <c r="B199" t="s">
        <v>20</v>
      </c>
      <c r="C199">
        <v>2</v>
      </c>
      <c r="D199" t="s">
        <v>76</v>
      </c>
      <c r="E199" t="s">
        <v>22</v>
      </c>
      <c r="F199" t="s">
        <v>78</v>
      </c>
      <c r="G199" t="s">
        <v>39</v>
      </c>
      <c r="H199" t="s">
        <v>33</v>
      </c>
      <c r="I199">
        <v>1</v>
      </c>
      <c r="J199">
        <v>7.87</v>
      </c>
      <c r="K199">
        <v>9</v>
      </c>
      <c r="L199">
        <v>136.08000000000001</v>
      </c>
      <c r="M199">
        <v>46</v>
      </c>
      <c r="N199" t="s">
        <v>45</v>
      </c>
      <c r="O199">
        <v>28</v>
      </c>
      <c r="P199">
        <v>302</v>
      </c>
      <c r="Q199" s="27" t="str">
        <f>IF(D199=Pivot!$AS$4,R198, "")</f>
        <v/>
      </c>
      <c r="R199" t="s">
        <v>34</v>
      </c>
      <c r="S199" s="5">
        <v>9.27</v>
      </c>
      <c r="T199">
        <v>80.459999999999994</v>
      </c>
      <c r="U199">
        <v>104.33</v>
      </c>
      <c r="V199" s="27">
        <f t="shared" si="12"/>
        <v>70.83</v>
      </c>
      <c r="W199">
        <f t="shared" si="13"/>
        <v>240.41000000000003</v>
      </c>
      <c r="X199" s="33" t="str">
        <f t="shared" si="14"/>
        <v>Mid Quality</v>
      </c>
      <c r="Y199" s="27" t="str">
        <f t="shared" si="15"/>
        <v>8</v>
      </c>
    </row>
    <row r="200" spans="1:25" x14ac:dyDescent="0.25">
      <c r="A200" s="1">
        <v>45484</v>
      </c>
      <c r="B200" t="s">
        <v>35</v>
      </c>
      <c r="C200">
        <v>1</v>
      </c>
      <c r="D200" t="s">
        <v>36</v>
      </c>
      <c r="E200" t="s">
        <v>37</v>
      </c>
      <c r="F200" t="s">
        <v>31</v>
      </c>
      <c r="G200" t="s">
        <v>39</v>
      </c>
      <c r="H200" t="s">
        <v>25</v>
      </c>
      <c r="I200">
        <v>1</v>
      </c>
      <c r="J200">
        <v>10.96</v>
      </c>
      <c r="K200">
        <v>1</v>
      </c>
      <c r="L200">
        <v>233.33</v>
      </c>
      <c r="M200">
        <v>24</v>
      </c>
      <c r="N200" t="s">
        <v>49</v>
      </c>
      <c r="O200">
        <v>31</v>
      </c>
      <c r="P200">
        <v>360</v>
      </c>
      <c r="Q200" s="27" t="str">
        <f>IF(D200=Pivot!$AS$4,R199, "")</f>
        <v/>
      </c>
      <c r="R200" t="s">
        <v>27</v>
      </c>
      <c r="S200" s="5">
        <v>8.61</v>
      </c>
      <c r="T200">
        <v>81.78</v>
      </c>
      <c r="U200">
        <v>93.33</v>
      </c>
      <c r="V200" s="27">
        <f t="shared" si="12"/>
        <v>10.96</v>
      </c>
      <c r="W200">
        <f t="shared" si="13"/>
        <v>326.66000000000003</v>
      </c>
      <c r="X200" s="33" t="str">
        <f t="shared" si="14"/>
        <v>Mid Quality</v>
      </c>
      <c r="Y200" s="27" t="str">
        <f t="shared" si="15"/>
        <v>12</v>
      </c>
    </row>
    <row r="201" spans="1:25" x14ac:dyDescent="0.25">
      <c r="A201" s="1">
        <v>45397</v>
      </c>
      <c r="B201" t="s">
        <v>65</v>
      </c>
      <c r="C201">
        <v>1</v>
      </c>
      <c r="D201" t="s">
        <v>64</v>
      </c>
      <c r="E201" t="s">
        <v>30</v>
      </c>
      <c r="F201" t="s">
        <v>62</v>
      </c>
      <c r="G201" t="s">
        <v>60</v>
      </c>
      <c r="H201" t="s">
        <v>40</v>
      </c>
      <c r="I201">
        <v>5</v>
      </c>
      <c r="J201">
        <v>13.74</v>
      </c>
      <c r="K201">
        <v>3</v>
      </c>
      <c r="L201">
        <v>471.63</v>
      </c>
      <c r="M201">
        <v>72</v>
      </c>
      <c r="N201" t="s">
        <v>55</v>
      </c>
      <c r="O201">
        <v>32</v>
      </c>
      <c r="P201">
        <v>789</v>
      </c>
      <c r="Q201" s="27" t="str">
        <f>IF(D201=Pivot!$AS$4,R200, "")</f>
        <v/>
      </c>
      <c r="R201" t="s">
        <v>34</v>
      </c>
      <c r="S201" s="5">
        <v>4.0599999999999996</v>
      </c>
      <c r="T201">
        <v>86.88</v>
      </c>
      <c r="U201">
        <v>565.96</v>
      </c>
      <c r="V201" s="27">
        <f t="shared" si="12"/>
        <v>206.1</v>
      </c>
      <c r="W201">
        <f t="shared" si="13"/>
        <v>1037.5900000000001</v>
      </c>
      <c r="X201" s="33" t="str">
        <f t="shared" si="14"/>
        <v>Mid Quality</v>
      </c>
      <c r="Y201" s="27" t="str">
        <f t="shared" si="15"/>
        <v>14</v>
      </c>
    </row>
    <row r="202" spans="1:25" x14ac:dyDescent="0.25">
      <c r="A202" s="1">
        <v>45453</v>
      </c>
      <c r="B202" t="s">
        <v>75</v>
      </c>
      <c r="C202">
        <v>3</v>
      </c>
      <c r="D202" t="s">
        <v>88</v>
      </c>
      <c r="E202" t="s">
        <v>22</v>
      </c>
      <c r="F202" t="s">
        <v>59</v>
      </c>
      <c r="G202" t="s">
        <v>60</v>
      </c>
      <c r="H202" t="s">
        <v>61</v>
      </c>
      <c r="I202">
        <v>5</v>
      </c>
      <c r="J202">
        <v>6.12</v>
      </c>
      <c r="K202">
        <v>1</v>
      </c>
      <c r="L202">
        <v>219.76</v>
      </c>
      <c r="M202">
        <v>49</v>
      </c>
      <c r="N202" t="s">
        <v>63</v>
      </c>
      <c r="O202">
        <v>20</v>
      </c>
      <c r="P202">
        <v>123</v>
      </c>
      <c r="Q202" s="27" t="str">
        <f>IF(D202=Pivot!$AS$4,R201, "")</f>
        <v/>
      </c>
      <c r="R202" t="s">
        <v>34</v>
      </c>
      <c r="S202" s="5">
        <v>16.260000000000002</v>
      </c>
      <c r="T202">
        <v>62.48</v>
      </c>
      <c r="U202">
        <v>179.47</v>
      </c>
      <c r="V202" s="27">
        <f t="shared" si="12"/>
        <v>30.6</v>
      </c>
      <c r="W202">
        <f t="shared" si="13"/>
        <v>399.23</v>
      </c>
      <c r="X202" s="33" t="str">
        <f t="shared" si="14"/>
        <v>Mid Quality</v>
      </c>
      <c r="Y202" s="27" t="str">
        <f t="shared" si="15"/>
        <v>8</v>
      </c>
    </row>
    <row r="203" spans="1:25" x14ac:dyDescent="0.25">
      <c r="A203" s="1">
        <v>45501</v>
      </c>
      <c r="B203" t="s">
        <v>20</v>
      </c>
      <c r="C203">
        <v>3</v>
      </c>
      <c r="D203" t="s">
        <v>71</v>
      </c>
      <c r="E203" t="s">
        <v>67</v>
      </c>
      <c r="F203" t="s">
        <v>31</v>
      </c>
      <c r="G203" t="s">
        <v>60</v>
      </c>
      <c r="H203" t="s">
        <v>40</v>
      </c>
      <c r="I203">
        <v>4</v>
      </c>
      <c r="J203">
        <v>6.27</v>
      </c>
      <c r="K203">
        <v>3</v>
      </c>
      <c r="L203">
        <v>348.83</v>
      </c>
      <c r="M203">
        <v>79</v>
      </c>
      <c r="N203" t="s">
        <v>45</v>
      </c>
      <c r="O203">
        <v>40</v>
      </c>
      <c r="P203">
        <v>786</v>
      </c>
      <c r="Q203" s="27" t="str">
        <f>IF(D203=Pivot!$AS$4,R202, "")</f>
        <v/>
      </c>
      <c r="R203" t="s">
        <v>34</v>
      </c>
      <c r="S203" s="5">
        <v>5.09</v>
      </c>
      <c r="T203">
        <v>85.82</v>
      </c>
      <c r="U203">
        <v>459.29</v>
      </c>
      <c r="V203" s="27">
        <f t="shared" si="12"/>
        <v>75.239999999999995</v>
      </c>
      <c r="W203">
        <f t="shared" si="13"/>
        <v>808.12</v>
      </c>
      <c r="X203" s="33" t="str">
        <f t="shared" si="14"/>
        <v>Mid Quality</v>
      </c>
      <c r="Y203" s="27" t="str">
        <f t="shared" si="15"/>
        <v>8</v>
      </c>
    </row>
    <row r="204" spans="1:25" x14ac:dyDescent="0.25">
      <c r="A204" s="1">
        <v>45477</v>
      </c>
      <c r="B204" t="s">
        <v>75</v>
      </c>
      <c r="C204">
        <v>1</v>
      </c>
      <c r="D204" t="s">
        <v>29</v>
      </c>
      <c r="E204" t="s">
        <v>67</v>
      </c>
      <c r="F204" t="s">
        <v>87</v>
      </c>
      <c r="G204" t="s">
        <v>32</v>
      </c>
      <c r="H204" t="s">
        <v>61</v>
      </c>
      <c r="I204">
        <v>5</v>
      </c>
      <c r="J204">
        <v>18.73</v>
      </c>
      <c r="K204">
        <v>2</v>
      </c>
      <c r="L204">
        <v>164.79</v>
      </c>
      <c r="M204">
        <v>46</v>
      </c>
      <c r="N204" t="s">
        <v>55</v>
      </c>
      <c r="O204">
        <v>35</v>
      </c>
      <c r="P204">
        <v>885</v>
      </c>
      <c r="Q204" s="27" t="str">
        <f>IF(D204=Pivot!$AS$4,R203, "")</f>
        <v/>
      </c>
      <c r="R204" t="s">
        <v>27</v>
      </c>
      <c r="S204" s="5">
        <v>3.95</v>
      </c>
      <c r="T204">
        <v>87.1</v>
      </c>
      <c r="U204">
        <v>126.34</v>
      </c>
      <c r="V204" s="27">
        <f t="shared" si="12"/>
        <v>187.3</v>
      </c>
      <c r="W204">
        <f t="shared" si="13"/>
        <v>291.13</v>
      </c>
      <c r="X204" s="33" t="str">
        <f t="shared" si="14"/>
        <v>Low Quality</v>
      </c>
      <c r="Y204" s="27" t="str">
        <f t="shared" si="15"/>
        <v>20</v>
      </c>
    </row>
    <row r="205" spans="1:25" x14ac:dyDescent="0.25">
      <c r="A205" s="1">
        <v>45346</v>
      </c>
      <c r="B205" t="s">
        <v>65</v>
      </c>
      <c r="C205">
        <v>1</v>
      </c>
      <c r="D205" t="s">
        <v>64</v>
      </c>
      <c r="E205" t="s">
        <v>30</v>
      </c>
      <c r="F205" t="s">
        <v>59</v>
      </c>
      <c r="G205" t="s">
        <v>39</v>
      </c>
      <c r="H205" t="s">
        <v>48</v>
      </c>
      <c r="I205">
        <v>2</v>
      </c>
      <c r="J205">
        <v>14.75</v>
      </c>
      <c r="K205">
        <v>2</v>
      </c>
      <c r="L205">
        <v>107.17</v>
      </c>
      <c r="M205">
        <v>51</v>
      </c>
      <c r="N205" t="s">
        <v>26</v>
      </c>
      <c r="O205">
        <v>31</v>
      </c>
      <c r="P205">
        <v>439</v>
      </c>
      <c r="Q205" s="27" t="str">
        <f>IF(D205=Pivot!$AS$4,R204, "")</f>
        <v/>
      </c>
      <c r="R205" t="s">
        <v>57</v>
      </c>
      <c r="S205" s="5">
        <v>7.06</v>
      </c>
      <c r="T205">
        <v>83.88</v>
      </c>
      <c r="U205">
        <v>91.09</v>
      </c>
      <c r="V205" s="27">
        <f t="shared" si="12"/>
        <v>59</v>
      </c>
      <c r="W205">
        <f t="shared" si="13"/>
        <v>198.26</v>
      </c>
      <c r="X205" s="33" t="str">
        <f t="shared" si="14"/>
        <v>Mid Quality</v>
      </c>
      <c r="Y205" s="27" t="str">
        <f t="shared" si="15"/>
        <v>16</v>
      </c>
    </row>
    <row r="206" spans="1:25" x14ac:dyDescent="0.25">
      <c r="A206" s="1">
        <v>45371</v>
      </c>
      <c r="B206" t="s">
        <v>75</v>
      </c>
      <c r="C206">
        <v>3</v>
      </c>
      <c r="D206" t="s">
        <v>71</v>
      </c>
      <c r="E206" t="s">
        <v>51</v>
      </c>
      <c r="F206" t="s">
        <v>62</v>
      </c>
      <c r="G206" t="s">
        <v>52</v>
      </c>
      <c r="H206" t="s">
        <v>61</v>
      </c>
      <c r="I206">
        <v>1</v>
      </c>
      <c r="J206">
        <v>11.97</v>
      </c>
      <c r="K206">
        <v>9</v>
      </c>
      <c r="L206">
        <v>76.34</v>
      </c>
      <c r="M206">
        <v>9</v>
      </c>
      <c r="N206" t="s">
        <v>45</v>
      </c>
      <c r="O206">
        <v>31</v>
      </c>
      <c r="P206">
        <v>511</v>
      </c>
      <c r="Q206" s="27" t="str">
        <f>IF(D206=Pivot!$AS$4,R205, "")</f>
        <v/>
      </c>
      <c r="R206" t="s">
        <v>27</v>
      </c>
      <c r="S206" s="5">
        <v>6.07</v>
      </c>
      <c r="T206">
        <v>86.86</v>
      </c>
      <c r="U206">
        <v>11.45</v>
      </c>
      <c r="V206" s="27">
        <f t="shared" si="12"/>
        <v>107.73</v>
      </c>
      <c r="W206">
        <f t="shared" si="13"/>
        <v>87.79</v>
      </c>
      <c r="X206" s="33" t="str">
        <f t="shared" si="14"/>
        <v>Mid Quality</v>
      </c>
      <c r="Y206" s="27" t="str">
        <f t="shared" si="15"/>
        <v>12</v>
      </c>
    </row>
    <row r="207" spans="1:25" x14ac:dyDescent="0.25">
      <c r="A207" s="1">
        <v>45510</v>
      </c>
      <c r="B207" t="s">
        <v>50</v>
      </c>
      <c r="C207">
        <v>2</v>
      </c>
      <c r="D207" t="s">
        <v>58</v>
      </c>
      <c r="E207" t="s">
        <v>51</v>
      </c>
      <c r="F207" t="s">
        <v>73</v>
      </c>
      <c r="G207" t="s">
        <v>60</v>
      </c>
      <c r="H207" t="s">
        <v>61</v>
      </c>
      <c r="I207">
        <v>1</v>
      </c>
      <c r="J207">
        <v>13.31</v>
      </c>
      <c r="K207">
        <v>8</v>
      </c>
      <c r="L207">
        <v>187.44</v>
      </c>
      <c r="M207">
        <v>53</v>
      </c>
      <c r="N207" t="s">
        <v>55</v>
      </c>
      <c r="O207">
        <v>38</v>
      </c>
      <c r="P207">
        <v>360</v>
      </c>
      <c r="Q207" s="27" t="str">
        <f>IF(D207=Pivot!$AS$4,R206, "")</f>
        <v/>
      </c>
      <c r="R207" t="s">
        <v>27</v>
      </c>
      <c r="S207" s="5">
        <v>10.56</v>
      </c>
      <c r="T207">
        <v>77.88</v>
      </c>
      <c r="U207">
        <v>165.57</v>
      </c>
      <c r="V207" s="27">
        <f t="shared" si="12"/>
        <v>106.48</v>
      </c>
      <c r="W207">
        <f t="shared" si="13"/>
        <v>353.01</v>
      </c>
      <c r="X207" s="33" t="str">
        <f t="shared" si="14"/>
        <v>Mid Quality</v>
      </c>
      <c r="Y207" s="27" t="str">
        <f t="shared" si="15"/>
        <v>14</v>
      </c>
    </row>
    <row r="208" spans="1:25" x14ac:dyDescent="0.25">
      <c r="A208" s="1">
        <v>45591</v>
      </c>
      <c r="B208" t="s">
        <v>20</v>
      </c>
      <c r="C208">
        <v>1</v>
      </c>
      <c r="D208" t="s">
        <v>71</v>
      </c>
      <c r="E208" t="s">
        <v>51</v>
      </c>
      <c r="F208" t="s">
        <v>90</v>
      </c>
      <c r="G208" t="s">
        <v>60</v>
      </c>
      <c r="H208" t="s">
        <v>61</v>
      </c>
      <c r="I208">
        <v>5</v>
      </c>
      <c r="J208">
        <v>1.56</v>
      </c>
      <c r="K208">
        <v>1</v>
      </c>
      <c r="L208">
        <v>120.95</v>
      </c>
      <c r="M208">
        <v>41</v>
      </c>
      <c r="N208" t="s">
        <v>26</v>
      </c>
      <c r="O208">
        <v>22</v>
      </c>
      <c r="P208">
        <v>385</v>
      </c>
      <c r="Q208" s="27" t="str">
        <f>IF(D208=Pivot!$AS$4,R207, "")</f>
        <v/>
      </c>
      <c r="R208" t="s">
        <v>34</v>
      </c>
      <c r="S208" s="5">
        <v>5.71</v>
      </c>
      <c r="T208">
        <v>83.58</v>
      </c>
      <c r="U208">
        <v>82.65</v>
      </c>
      <c r="V208" s="27">
        <f t="shared" si="12"/>
        <v>7.8000000000000007</v>
      </c>
      <c r="W208">
        <f t="shared" si="13"/>
        <v>203.60000000000002</v>
      </c>
      <c r="X208" s="33" t="str">
        <f t="shared" si="14"/>
        <v>High Quality</v>
      </c>
      <c r="Y208" s="27" t="str">
        <f t="shared" si="15"/>
        <v>2</v>
      </c>
    </row>
    <row r="209" spans="1:25" x14ac:dyDescent="0.25">
      <c r="A209" s="1">
        <v>45421</v>
      </c>
      <c r="B209" t="s">
        <v>20</v>
      </c>
      <c r="C209">
        <v>3</v>
      </c>
      <c r="D209" t="s">
        <v>88</v>
      </c>
      <c r="E209" t="s">
        <v>67</v>
      </c>
      <c r="F209" t="s">
        <v>78</v>
      </c>
      <c r="G209" t="s">
        <v>39</v>
      </c>
      <c r="H209" t="s">
        <v>33</v>
      </c>
      <c r="I209">
        <v>3</v>
      </c>
      <c r="J209">
        <v>12.74</v>
      </c>
      <c r="K209">
        <v>4</v>
      </c>
      <c r="L209">
        <v>128.30000000000001</v>
      </c>
      <c r="M209">
        <v>38</v>
      </c>
      <c r="N209" t="s">
        <v>26</v>
      </c>
      <c r="O209">
        <v>45</v>
      </c>
      <c r="P209">
        <v>612</v>
      </c>
      <c r="Q209" s="27" t="str">
        <f>IF(D209=Pivot!$AS$4,R208, "")</f>
        <v/>
      </c>
      <c r="R209" t="s">
        <v>46</v>
      </c>
      <c r="S209" s="5">
        <v>7.35</v>
      </c>
      <c r="T209">
        <v>82.3</v>
      </c>
      <c r="U209">
        <v>81.260000000000005</v>
      </c>
      <c r="V209" s="27">
        <f t="shared" si="12"/>
        <v>152.88</v>
      </c>
      <c r="W209">
        <f t="shared" si="13"/>
        <v>209.56</v>
      </c>
      <c r="X209" s="33" t="str">
        <f t="shared" si="14"/>
        <v>Mid Quality</v>
      </c>
      <c r="Y209" s="27" t="str">
        <f t="shared" si="15"/>
        <v>14</v>
      </c>
    </row>
    <row r="210" spans="1:25" x14ac:dyDescent="0.25">
      <c r="A210" s="1">
        <v>45425</v>
      </c>
      <c r="B210" t="s">
        <v>65</v>
      </c>
      <c r="C210">
        <v>2</v>
      </c>
      <c r="D210" t="s">
        <v>43</v>
      </c>
      <c r="E210" t="s">
        <v>51</v>
      </c>
      <c r="F210" t="s">
        <v>23</v>
      </c>
      <c r="G210" t="s">
        <v>60</v>
      </c>
      <c r="H210" t="s">
        <v>61</v>
      </c>
      <c r="I210">
        <v>3</v>
      </c>
      <c r="J210">
        <v>10.68</v>
      </c>
      <c r="K210">
        <v>1</v>
      </c>
      <c r="L210">
        <v>392.34</v>
      </c>
      <c r="M210">
        <v>77</v>
      </c>
      <c r="N210" t="s">
        <v>41</v>
      </c>
      <c r="O210">
        <v>41</v>
      </c>
      <c r="P210">
        <v>185</v>
      </c>
      <c r="Q210" s="27" t="str">
        <f>IF(D210=Pivot!$AS$4,R209, "")</f>
        <v/>
      </c>
      <c r="R210" t="s">
        <v>46</v>
      </c>
      <c r="S210" s="5">
        <v>22.16</v>
      </c>
      <c r="T210">
        <v>52.68</v>
      </c>
      <c r="U210">
        <v>503.5</v>
      </c>
      <c r="V210" s="27">
        <f t="shared" si="12"/>
        <v>32.04</v>
      </c>
      <c r="W210">
        <f t="shared" si="13"/>
        <v>895.83999999999992</v>
      </c>
      <c r="X210" s="33" t="str">
        <f t="shared" si="14"/>
        <v>Mid Quality</v>
      </c>
      <c r="Y210" s="27" t="str">
        <f t="shared" si="15"/>
        <v>12</v>
      </c>
    </row>
    <row r="211" spans="1:25" x14ac:dyDescent="0.25">
      <c r="A211" s="1">
        <v>45566</v>
      </c>
      <c r="B211" t="s">
        <v>50</v>
      </c>
      <c r="C211">
        <v>1</v>
      </c>
      <c r="D211" t="s">
        <v>53</v>
      </c>
      <c r="E211" t="s">
        <v>37</v>
      </c>
      <c r="F211" t="s">
        <v>73</v>
      </c>
      <c r="G211" t="s">
        <v>32</v>
      </c>
      <c r="H211" t="s">
        <v>25</v>
      </c>
      <c r="I211">
        <v>5</v>
      </c>
      <c r="J211">
        <v>11.37</v>
      </c>
      <c r="K211">
        <v>1</v>
      </c>
      <c r="L211">
        <v>57.13</v>
      </c>
      <c r="M211">
        <v>74</v>
      </c>
      <c r="N211" t="s">
        <v>63</v>
      </c>
      <c r="O211">
        <v>9</v>
      </c>
      <c r="P211">
        <v>949</v>
      </c>
      <c r="Q211" s="27" t="str">
        <f>IF(D211=Pivot!$AS$4,R210, "")</f>
        <v/>
      </c>
      <c r="R211" t="s">
        <v>46</v>
      </c>
      <c r="S211" s="5">
        <v>0.95</v>
      </c>
      <c r="T211">
        <v>93.1</v>
      </c>
      <c r="U211">
        <v>70.459999999999994</v>
      </c>
      <c r="V211" s="27">
        <f t="shared" si="12"/>
        <v>56.849999999999994</v>
      </c>
      <c r="W211">
        <f t="shared" si="13"/>
        <v>127.59</v>
      </c>
      <c r="X211" s="33" t="str">
        <f t="shared" si="14"/>
        <v>Mid Quality</v>
      </c>
      <c r="Y211" s="27" t="str">
        <f t="shared" si="15"/>
        <v>12</v>
      </c>
    </row>
    <row r="212" spans="1:25" x14ac:dyDescent="0.25">
      <c r="A212" s="1">
        <v>45508</v>
      </c>
      <c r="B212" t="s">
        <v>35</v>
      </c>
      <c r="C212">
        <v>2</v>
      </c>
      <c r="D212" t="s">
        <v>76</v>
      </c>
      <c r="E212" t="s">
        <v>22</v>
      </c>
      <c r="F212" t="s">
        <v>69</v>
      </c>
      <c r="G212" t="s">
        <v>32</v>
      </c>
      <c r="H212" t="s">
        <v>25</v>
      </c>
      <c r="I212">
        <v>2</v>
      </c>
      <c r="J212">
        <v>7.83</v>
      </c>
      <c r="K212">
        <v>4</v>
      </c>
      <c r="L212">
        <v>301.01</v>
      </c>
      <c r="M212">
        <v>22</v>
      </c>
      <c r="N212" t="s">
        <v>41</v>
      </c>
      <c r="O212">
        <v>9</v>
      </c>
      <c r="P212">
        <v>529</v>
      </c>
      <c r="Q212" s="27" t="str">
        <f>IF(D212=Pivot!$AS$4,R211, "")</f>
        <v/>
      </c>
      <c r="R212" t="s">
        <v>27</v>
      </c>
      <c r="S212" s="5">
        <v>1.7</v>
      </c>
      <c r="T212">
        <v>94.6</v>
      </c>
      <c r="U212">
        <v>110.37</v>
      </c>
      <c r="V212" s="27">
        <f t="shared" si="12"/>
        <v>62.64</v>
      </c>
      <c r="W212">
        <f t="shared" si="13"/>
        <v>411.38</v>
      </c>
      <c r="X212" s="33" t="str">
        <f t="shared" si="14"/>
        <v>Mid Quality</v>
      </c>
      <c r="Y212" s="27" t="str">
        <f t="shared" si="15"/>
        <v>8</v>
      </c>
    </row>
    <row r="213" spans="1:25" x14ac:dyDescent="0.25">
      <c r="A213" s="1">
        <v>45581</v>
      </c>
      <c r="B213" t="s">
        <v>75</v>
      </c>
      <c r="C213">
        <v>3</v>
      </c>
      <c r="D213" t="s">
        <v>58</v>
      </c>
      <c r="E213" t="s">
        <v>67</v>
      </c>
      <c r="F213" t="s">
        <v>72</v>
      </c>
      <c r="G213" t="s">
        <v>60</v>
      </c>
      <c r="H213" t="s">
        <v>40</v>
      </c>
      <c r="I213">
        <v>3</v>
      </c>
      <c r="J213">
        <v>2.5499999999999998</v>
      </c>
      <c r="K213">
        <v>2</v>
      </c>
      <c r="L213">
        <v>220.76</v>
      </c>
      <c r="M213">
        <v>82</v>
      </c>
      <c r="N213" t="s">
        <v>55</v>
      </c>
      <c r="O213">
        <v>15</v>
      </c>
      <c r="P213">
        <v>680</v>
      </c>
      <c r="Q213" s="27" t="str">
        <f>IF(D213=Pivot!$AS$4,R212, "")</f>
        <v/>
      </c>
      <c r="R213" t="s">
        <v>34</v>
      </c>
      <c r="S213" s="5">
        <v>2.21</v>
      </c>
      <c r="T213">
        <v>92.58</v>
      </c>
      <c r="U213">
        <v>301.70999999999998</v>
      </c>
      <c r="V213" s="27">
        <f t="shared" si="12"/>
        <v>15.299999999999999</v>
      </c>
      <c r="W213">
        <f t="shared" si="13"/>
        <v>522.47</v>
      </c>
      <c r="X213" s="33" t="str">
        <f t="shared" si="14"/>
        <v>High Quality</v>
      </c>
      <c r="Y213" s="27" t="str">
        <f t="shared" si="15"/>
        <v>4</v>
      </c>
    </row>
    <row r="214" spans="1:25" x14ac:dyDescent="0.25">
      <c r="A214" s="1">
        <v>45479</v>
      </c>
      <c r="B214" t="s">
        <v>28</v>
      </c>
      <c r="C214">
        <v>1</v>
      </c>
      <c r="D214" t="s">
        <v>53</v>
      </c>
      <c r="E214" t="s">
        <v>30</v>
      </c>
      <c r="F214" t="s">
        <v>69</v>
      </c>
      <c r="G214" t="s">
        <v>39</v>
      </c>
      <c r="H214" t="s">
        <v>33</v>
      </c>
      <c r="I214">
        <v>5</v>
      </c>
      <c r="J214">
        <v>4.67</v>
      </c>
      <c r="K214">
        <v>3</v>
      </c>
      <c r="L214">
        <v>277.95</v>
      </c>
      <c r="M214">
        <v>23</v>
      </c>
      <c r="N214" t="s">
        <v>49</v>
      </c>
      <c r="O214">
        <v>13</v>
      </c>
      <c r="P214">
        <v>130</v>
      </c>
      <c r="Q214" s="27" t="str">
        <f>IF(D214=Pivot!$AS$4,R213, "")</f>
        <v/>
      </c>
      <c r="R214" t="s">
        <v>46</v>
      </c>
      <c r="S214" s="5">
        <v>10</v>
      </c>
      <c r="T214">
        <v>75</v>
      </c>
      <c r="U214">
        <v>106.55</v>
      </c>
      <c r="V214" s="27">
        <f t="shared" si="12"/>
        <v>70.05</v>
      </c>
      <c r="W214">
        <f t="shared" si="13"/>
        <v>384.5</v>
      </c>
      <c r="X214" s="33" t="str">
        <f t="shared" si="14"/>
        <v>High Quality</v>
      </c>
      <c r="Y214" s="27" t="str">
        <f t="shared" si="15"/>
        <v>6</v>
      </c>
    </row>
    <row r="215" spans="1:25" x14ac:dyDescent="0.25">
      <c r="A215" s="1">
        <v>45433</v>
      </c>
      <c r="B215" t="s">
        <v>75</v>
      </c>
      <c r="C215">
        <v>2</v>
      </c>
      <c r="D215" t="s">
        <v>36</v>
      </c>
      <c r="E215" t="s">
        <v>30</v>
      </c>
      <c r="F215" t="s">
        <v>84</v>
      </c>
      <c r="G215" t="s">
        <v>39</v>
      </c>
      <c r="H215" t="s">
        <v>40</v>
      </c>
      <c r="I215">
        <v>2</v>
      </c>
      <c r="J215">
        <v>19.059999999999999</v>
      </c>
      <c r="K215">
        <v>9</v>
      </c>
      <c r="L215">
        <v>303.27</v>
      </c>
      <c r="M215">
        <v>82</v>
      </c>
      <c r="N215" t="s">
        <v>41</v>
      </c>
      <c r="O215">
        <v>22</v>
      </c>
      <c r="P215">
        <v>809</v>
      </c>
      <c r="Q215" s="27" t="str">
        <f>IF(D215=Pivot!$AS$4,R214, "")</f>
        <v/>
      </c>
      <c r="R215" t="s">
        <v>42</v>
      </c>
      <c r="S215" s="5">
        <v>2.72</v>
      </c>
      <c r="T215">
        <v>92.56</v>
      </c>
      <c r="U215">
        <v>414.47</v>
      </c>
      <c r="V215" s="27">
        <f t="shared" si="12"/>
        <v>343.08</v>
      </c>
      <c r="W215">
        <f t="shared" si="13"/>
        <v>717.74</v>
      </c>
      <c r="X215" s="33" t="str">
        <f t="shared" si="14"/>
        <v>Low Quality</v>
      </c>
      <c r="Y215" s="27" t="str">
        <f t="shared" si="15"/>
        <v>20</v>
      </c>
    </row>
    <row r="216" spans="1:25" x14ac:dyDescent="0.25">
      <c r="A216" s="1">
        <v>45495</v>
      </c>
      <c r="B216" t="s">
        <v>75</v>
      </c>
      <c r="C216">
        <v>1</v>
      </c>
      <c r="D216" t="s">
        <v>80</v>
      </c>
      <c r="E216" t="s">
        <v>22</v>
      </c>
      <c r="F216" t="s">
        <v>81</v>
      </c>
      <c r="G216" t="s">
        <v>39</v>
      </c>
      <c r="H216" t="s">
        <v>25</v>
      </c>
      <c r="I216">
        <v>2</v>
      </c>
      <c r="J216">
        <v>8.77</v>
      </c>
      <c r="K216">
        <v>2</v>
      </c>
      <c r="L216">
        <v>191.02</v>
      </c>
      <c r="M216">
        <v>44</v>
      </c>
      <c r="N216" t="s">
        <v>49</v>
      </c>
      <c r="O216">
        <v>16</v>
      </c>
      <c r="P216">
        <v>702</v>
      </c>
      <c r="Q216" s="27" t="str">
        <f>IF(D216=Pivot!$AS$4,R215, "")</f>
        <v>Makine ayarı değiştirildi</v>
      </c>
      <c r="R216" t="s">
        <v>42</v>
      </c>
      <c r="S216" s="5">
        <v>2.2799999999999998</v>
      </c>
      <c r="T216">
        <v>93.44</v>
      </c>
      <c r="U216">
        <v>140.08000000000001</v>
      </c>
      <c r="V216" s="27">
        <f t="shared" si="12"/>
        <v>35.08</v>
      </c>
      <c r="W216">
        <f t="shared" si="13"/>
        <v>331.1</v>
      </c>
      <c r="X216" s="33" t="str">
        <f t="shared" si="14"/>
        <v>Mid Quality</v>
      </c>
      <c r="Y216" s="27" t="str">
        <f t="shared" si="15"/>
        <v>10</v>
      </c>
    </row>
    <row r="217" spans="1:25" x14ac:dyDescent="0.25">
      <c r="A217" s="1">
        <v>45396</v>
      </c>
      <c r="B217" t="s">
        <v>35</v>
      </c>
      <c r="C217">
        <v>2</v>
      </c>
      <c r="D217" t="s">
        <v>82</v>
      </c>
      <c r="E217" t="s">
        <v>67</v>
      </c>
      <c r="F217" t="s">
        <v>69</v>
      </c>
      <c r="G217" t="s">
        <v>24</v>
      </c>
      <c r="H217" t="s">
        <v>25</v>
      </c>
      <c r="I217">
        <v>4</v>
      </c>
      <c r="J217">
        <v>9.8699999999999992</v>
      </c>
      <c r="K217">
        <v>4</v>
      </c>
      <c r="L217">
        <v>182.8</v>
      </c>
      <c r="M217">
        <v>21</v>
      </c>
      <c r="N217" t="s">
        <v>26</v>
      </c>
      <c r="O217">
        <v>32</v>
      </c>
      <c r="P217">
        <v>539</v>
      </c>
      <c r="Q217" s="27" t="str">
        <f>IF(D217=Pivot!$AS$4,R216, "")</f>
        <v/>
      </c>
      <c r="R217" t="s">
        <v>42</v>
      </c>
      <c r="S217" s="5">
        <v>5.94</v>
      </c>
      <c r="T217">
        <v>84.12</v>
      </c>
      <c r="U217">
        <v>63.98</v>
      </c>
      <c r="V217" s="27">
        <f t="shared" si="12"/>
        <v>157.91999999999999</v>
      </c>
      <c r="W217">
        <f t="shared" si="13"/>
        <v>246.78</v>
      </c>
      <c r="X217" s="33" t="str">
        <f t="shared" si="14"/>
        <v>Mid Quality</v>
      </c>
      <c r="Y217" s="27" t="str">
        <f t="shared" si="15"/>
        <v>10</v>
      </c>
    </row>
    <row r="218" spans="1:25" x14ac:dyDescent="0.25">
      <c r="A218" s="1">
        <v>45503</v>
      </c>
      <c r="B218" t="s">
        <v>75</v>
      </c>
      <c r="C218">
        <v>3</v>
      </c>
      <c r="D218" t="s">
        <v>79</v>
      </c>
      <c r="E218" t="s">
        <v>51</v>
      </c>
      <c r="F218" t="s">
        <v>31</v>
      </c>
      <c r="G218" t="s">
        <v>60</v>
      </c>
      <c r="H218" t="s">
        <v>48</v>
      </c>
      <c r="I218">
        <v>2</v>
      </c>
      <c r="J218">
        <v>2</v>
      </c>
      <c r="K218">
        <v>1</v>
      </c>
      <c r="L218">
        <v>380.03</v>
      </c>
      <c r="M218">
        <v>64</v>
      </c>
      <c r="N218" t="s">
        <v>55</v>
      </c>
      <c r="O218">
        <v>2</v>
      </c>
      <c r="P218">
        <v>448</v>
      </c>
      <c r="Q218" s="27" t="str">
        <f>IF(D218=Pivot!$AS$4,R217, "")</f>
        <v/>
      </c>
      <c r="R218" t="s">
        <v>57</v>
      </c>
      <c r="S218" s="5">
        <v>0.45</v>
      </c>
      <c r="T218">
        <v>97.1</v>
      </c>
      <c r="U218">
        <v>405.37</v>
      </c>
      <c r="V218" s="27">
        <f t="shared" si="12"/>
        <v>4</v>
      </c>
      <c r="W218">
        <f t="shared" si="13"/>
        <v>785.4</v>
      </c>
      <c r="X218" s="33" t="str">
        <f t="shared" si="14"/>
        <v>High Quality</v>
      </c>
      <c r="Y218" s="27" t="str">
        <f t="shared" si="15"/>
        <v>2</v>
      </c>
    </row>
    <row r="219" spans="1:25" x14ac:dyDescent="0.25">
      <c r="A219" s="1">
        <v>45574</v>
      </c>
      <c r="B219" t="s">
        <v>50</v>
      </c>
      <c r="C219">
        <v>3</v>
      </c>
      <c r="D219" t="s">
        <v>80</v>
      </c>
      <c r="E219" t="s">
        <v>51</v>
      </c>
      <c r="F219" t="s">
        <v>23</v>
      </c>
      <c r="G219" t="s">
        <v>39</v>
      </c>
      <c r="H219" t="s">
        <v>61</v>
      </c>
      <c r="I219">
        <v>3</v>
      </c>
      <c r="J219">
        <v>1.71</v>
      </c>
      <c r="K219">
        <v>2</v>
      </c>
      <c r="L219">
        <v>442.07</v>
      </c>
      <c r="M219">
        <v>46</v>
      </c>
      <c r="N219" t="s">
        <v>63</v>
      </c>
      <c r="O219">
        <v>26</v>
      </c>
      <c r="P219">
        <v>994</v>
      </c>
      <c r="Q219" s="27" t="str">
        <f>IF(D219=Pivot!$AS$4,R218, "")</f>
        <v>Rutin kontrol</v>
      </c>
      <c r="R219" t="s">
        <v>34</v>
      </c>
      <c r="S219" s="5">
        <v>2.62</v>
      </c>
      <c r="T219">
        <v>91.76</v>
      </c>
      <c r="U219">
        <v>338.92</v>
      </c>
      <c r="V219" s="27">
        <f t="shared" si="12"/>
        <v>10.26</v>
      </c>
      <c r="W219">
        <f t="shared" si="13"/>
        <v>780.99</v>
      </c>
      <c r="X219" s="33" t="str">
        <f t="shared" si="14"/>
        <v>High Quality</v>
      </c>
      <c r="Y219" s="27" t="str">
        <f t="shared" si="15"/>
        <v>2</v>
      </c>
    </row>
    <row r="220" spans="1:25" x14ac:dyDescent="0.25">
      <c r="A220" s="1">
        <v>45577</v>
      </c>
      <c r="B220" t="s">
        <v>50</v>
      </c>
      <c r="C220">
        <v>1</v>
      </c>
      <c r="D220" t="s">
        <v>47</v>
      </c>
      <c r="E220" t="s">
        <v>37</v>
      </c>
      <c r="F220" t="s">
        <v>59</v>
      </c>
      <c r="G220" t="s">
        <v>32</v>
      </c>
      <c r="H220" t="s">
        <v>25</v>
      </c>
      <c r="I220">
        <v>3</v>
      </c>
      <c r="J220">
        <v>14.63</v>
      </c>
      <c r="K220">
        <v>5</v>
      </c>
      <c r="L220">
        <v>136.66</v>
      </c>
      <c r="M220">
        <v>85</v>
      </c>
      <c r="N220" t="s">
        <v>49</v>
      </c>
      <c r="O220">
        <v>14</v>
      </c>
      <c r="P220">
        <v>511</v>
      </c>
      <c r="Q220" s="27" t="str">
        <f>IF(D220=Pivot!$AS$4,R219, "")</f>
        <v/>
      </c>
      <c r="R220" t="s">
        <v>27</v>
      </c>
      <c r="S220" s="5">
        <v>2.74</v>
      </c>
      <c r="T220">
        <v>91.52</v>
      </c>
      <c r="U220">
        <v>193.6</v>
      </c>
      <c r="V220" s="27">
        <f t="shared" si="12"/>
        <v>219.45000000000002</v>
      </c>
      <c r="W220">
        <f t="shared" si="13"/>
        <v>330.26</v>
      </c>
      <c r="X220" s="33" t="str">
        <f t="shared" si="14"/>
        <v>Mid Quality</v>
      </c>
      <c r="Y220" s="27" t="str">
        <f t="shared" si="15"/>
        <v>16</v>
      </c>
    </row>
    <row r="221" spans="1:25" x14ac:dyDescent="0.25">
      <c r="A221" s="1">
        <v>45539</v>
      </c>
      <c r="B221" t="s">
        <v>20</v>
      </c>
      <c r="C221">
        <v>2</v>
      </c>
      <c r="D221" t="s">
        <v>82</v>
      </c>
      <c r="E221" t="s">
        <v>37</v>
      </c>
      <c r="F221" t="s">
        <v>59</v>
      </c>
      <c r="G221" t="s">
        <v>52</v>
      </c>
      <c r="H221" t="s">
        <v>40</v>
      </c>
      <c r="I221">
        <v>5</v>
      </c>
      <c r="J221">
        <v>11.22</v>
      </c>
      <c r="K221">
        <v>1</v>
      </c>
      <c r="L221">
        <v>93.93</v>
      </c>
      <c r="M221">
        <v>76</v>
      </c>
      <c r="N221" t="s">
        <v>55</v>
      </c>
      <c r="O221">
        <v>38</v>
      </c>
      <c r="P221">
        <v>627</v>
      </c>
      <c r="Q221" s="27" t="str">
        <f>IF(D221=Pivot!$AS$4,R220, "")</f>
        <v/>
      </c>
      <c r="R221" t="s">
        <v>27</v>
      </c>
      <c r="S221" s="5">
        <v>6.06</v>
      </c>
      <c r="T221">
        <v>82.88</v>
      </c>
      <c r="U221">
        <v>118.98</v>
      </c>
      <c r="V221" s="27">
        <f t="shared" si="12"/>
        <v>56.1</v>
      </c>
      <c r="W221">
        <f t="shared" si="13"/>
        <v>212.91000000000003</v>
      </c>
      <c r="X221" s="33" t="str">
        <f t="shared" si="14"/>
        <v>Mid Quality</v>
      </c>
      <c r="Y221" s="27" t="str">
        <f t="shared" si="15"/>
        <v>12</v>
      </c>
    </row>
    <row r="222" spans="1:25" x14ac:dyDescent="0.25">
      <c r="A222" s="1">
        <v>45383</v>
      </c>
      <c r="B222" t="s">
        <v>65</v>
      </c>
      <c r="C222">
        <v>1</v>
      </c>
      <c r="D222" t="s">
        <v>79</v>
      </c>
      <c r="E222" t="s">
        <v>51</v>
      </c>
      <c r="F222" t="s">
        <v>31</v>
      </c>
      <c r="G222" t="s">
        <v>52</v>
      </c>
      <c r="H222" t="s">
        <v>40</v>
      </c>
      <c r="I222">
        <v>5</v>
      </c>
      <c r="J222">
        <v>10.67</v>
      </c>
      <c r="K222">
        <v>7</v>
      </c>
      <c r="L222">
        <v>454.01</v>
      </c>
      <c r="M222">
        <v>69</v>
      </c>
      <c r="N222" t="s">
        <v>49</v>
      </c>
      <c r="O222">
        <v>34</v>
      </c>
      <c r="P222">
        <v>409</v>
      </c>
      <c r="Q222" s="27" t="str">
        <f>IF(D222=Pivot!$AS$4,R221, "")</f>
        <v/>
      </c>
      <c r="R222" t="s">
        <v>34</v>
      </c>
      <c r="S222" s="5">
        <v>8.31</v>
      </c>
      <c r="T222">
        <v>78.38</v>
      </c>
      <c r="U222">
        <v>522.11</v>
      </c>
      <c r="V222" s="27">
        <f t="shared" si="12"/>
        <v>373.45</v>
      </c>
      <c r="W222">
        <f t="shared" si="13"/>
        <v>976.12</v>
      </c>
      <c r="X222" s="33" t="str">
        <f t="shared" si="14"/>
        <v>Mid Quality</v>
      </c>
      <c r="Y222" s="27" t="str">
        <f t="shared" si="15"/>
        <v>12</v>
      </c>
    </row>
    <row r="223" spans="1:25" x14ac:dyDescent="0.25">
      <c r="A223" s="1">
        <v>45481</v>
      </c>
      <c r="B223" t="s">
        <v>28</v>
      </c>
      <c r="C223">
        <v>1</v>
      </c>
      <c r="D223" t="s">
        <v>58</v>
      </c>
      <c r="E223" t="s">
        <v>30</v>
      </c>
      <c r="F223" t="s">
        <v>73</v>
      </c>
      <c r="G223" t="s">
        <v>39</v>
      </c>
      <c r="H223" t="s">
        <v>61</v>
      </c>
      <c r="I223">
        <v>2</v>
      </c>
      <c r="J223">
        <v>5.62</v>
      </c>
      <c r="K223">
        <v>4</v>
      </c>
      <c r="L223">
        <v>207.45</v>
      </c>
      <c r="M223">
        <v>57</v>
      </c>
      <c r="N223" t="s">
        <v>41</v>
      </c>
      <c r="O223">
        <v>8</v>
      </c>
      <c r="P223">
        <v>495</v>
      </c>
      <c r="Q223" s="27" t="str">
        <f>IF(D223=Pivot!$AS$4,R222, "")</f>
        <v/>
      </c>
      <c r="R223" t="s">
        <v>57</v>
      </c>
      <c r="S223" s="5">
        <v>1.62</v>
      </c>
      <c r="T223">
        <v>94.76</v>
      </c>
      <c r="U223">
        <v>197.08</v>
      </c>
      <c r="V223" s="27">
        <f t="shared" si="12"/>
        <v>44.96</v>
      </c>
      <c r="W223">
        <f t="shared" si="13"/>
        <v>404.53</v>
      </c>
      <c r="X223" s="33" t="str">
        <f t="shared" si="14"/>
        <v>High Quality</v>
      </c>
      <c r="Y223" s="27" t="str">
        <f t="shared" si="15"/>
        <v>6</v>
      </c>
    </row>
    <row r="224" spans="1:25" x14ac:dyDescent="0.25">
      <c r="A224" s="1">
        <v>45578</v>
      </c>
      <c r="B224" t="s">
        <v>75</v>
      </c>
      <c r="C224">
        <v>2</v>
      </c>
      <c r="D224" t="s">
        <v>80</v>
      </c>
      <c r="E224" t="s">
        <v>30</v>
      </c>
      <c r="F224" t="s">
        <v>23</v>
      </c>
      <c r="G224" t="s">
        <v>52</v>
      </c>
      <c r="H224" t="s">
        <v>61</v>
      </c>
      <c r="I224">
        <v>1</v>
      </c>
      <c r="J224">
        <v>15.15</v>
      </c>
      <c r="K224">
        <v>6</v>
      </c>
      <c r="L224">
        <v>298.08999999999997</v>
      </c>
      <c r="M224">
        <v>11</v>
      </c>
      <c r="N224" t="s">
        <v>55</v>
      </c>
      <c r="O224">
        <v>36</v>
      </c>
      <c r="P224">
        <v>887</v>
      </c>
      <c r="Q224" s="27" t="str">
        <f>IF(D224=Pivot!$AS$4,R223, "")</f>
        <v>Rutin kontrol</v>
      </c>
      <c r="R224" t="s">
        <v>34</v>
      </c>
      <c r="S224" s="5">
        <v>4.0599999999999996</v>
      </c>
      <c r="T224">
        <v>90.88</v>
      </c>
      <c r="U224">
        <v>54.65</v>
      </c>
      <c r="V224" s="27">
        <f t="shared" si="12"/>
        <v>90.9</v>
      </c>
      <c r="W224">
        <f t="shared" si="13"/>
        <v>352.73999999999995</v>
      </c>
      <c r="X224" s="33" t="str">
        <f t="shared" si="14"/>
        <v>Low Quality</v>
      </c>
      <c r="Y224" s="27" t="str">
        <f t="shared" si="15"/>
        <v>16</v>
      </c>
    </row>
    <row r="225" spans="1:25" x14ac:dyDescent="0.25">
      <c r="A225" s="1">
        <v>45576</v>
      </c>
      <c r="B225" t="s">
        <v>75</v>
      </c>
      <c r="C225">
        <v>2</v>
      </c>
      <c r="D225" t="s">
        <v>83</v>
      </c>
      <c r="E225" t="s">
        <v>37</v>
      </c>
      <c r="F225" t="s">
        <v>62</v>
      </c>
      <c r="G225" t="s">
        <v>52</v>
      </c>
      <c r="H225" t="s">
        <v>48</v>
      </c>
      <c r="I225">
        <v>4</v>
      </c>
      <c r="J225">
        <v>4.2</v>
      </c>
      <c r="K225">
        <v>8</v>
      </c>
      <c r="L225">
        <v>211.79</v>
      </c>
      <c r="M225">
        <v>9</v>
      </c>
      <c r="N225" t="s">
        <v>41</v>
      </c>
      <c r="O225">
        <v>21</v>
      </c>
      <c r="P225">
        <v>437</v>
      </c>
      <c r="Q225" s="27" t="str">
        <f>IF(D225=Pivot!$AS$4,R224, "")</f>
        <v/>
      </c>
      <c r="R225" t="s">
        <v>57</v>
      </c>
      <c r="S225" s="5">
        <v>4.8099999999999996</v>
      </c>
      <c r="T225">
        <v>86.38</v>
      </c>
      <c r="U225">
        <v>31.77</v>
      </c>
      <c r="V225" s="27">
        <f t="shared" si="12"/>
        <v>134.4</v>
      </c>
      <c r="W225">
        <f t="shared" si="13"/>
        <v>243.56</v>
      </c>
      <c r="X225" s="33" t="str">
        <f t="shared" si="14"/>
        <v>High Quality</v>
      </c>
      <c r="Y225" s="27" t="str">
        <f t="shared" si="15"/>
        <v>6</v>
      </c>
    </row>
    <row r="226" spans="1:25" x14ac:dyDescent="0.25">
      <c r="A226" s="1">
        <v>45539</v>
      </c>
      <c r="B226" t="s">
        <v>35</v>
      </c>
      <c r="C226">
        <v>2</v>
      </c>
      <c r="D226" t="s">
        <v>83</v>
      </c>
      <c r="E226" t="s">
        <v>22</v>
      </c>
      <c r="F226" t="s">
        <v>72</v>
      </c>
      <c r="G226" t="s">
        <v>24</v>
      </c>
      <c r="H226" t="s">
        <v>33</v>
      </c>
      <c r="I226">
        <v>1</v>
      </c>
      <c r="J226">
        <v>4.6100000000000003</v>
      </c>
      <c r="K226">
        <v>6</v>
      </c>
      <c r="L226">
        <v>106.61</v>
      </c>
      <c r="M226">
        <v>28</v>
      </c>
      <c r="N226" t="s">
        <v>45</v>
      </c>
      <c r="O226">
        <v>46</v>
      </c>
      <c r="P226">
        <v>773</v>
      </c>
      <c r="Q226" s="27" t="str">
        <f>IF(D226=Pivot!$AS$4,R225, "")</f>
        <v/>
      </c>
      <c r="R226" t="s">
        <v>46</v>
      </c>
      <c r="S226" s="5">
        <v>5.95</v>
      </c>
      <c r="T226">
        <v>87.1</v>
      </c>
      <c r="U226">
        <v>49.75</v>
      </c>
      <c r="V226" s="27">
        <f t="shared" si="12"/>
        <v>27.660000000000004</v>
      </c>
      <c r="W226">
        <f t="shared" si="13"/>
        <v>156.36000000000001</v>
      </c>
      <c r="X226" s="33" t="str">
        <f t="shared" si="14"/>
        <v>High Quality</v>
      </c>
      <c r="Y226" s="27" t="str">
        <f t="shared" si="15"/>
        <v>6</v>
      </c>
    </row>
    <row r="227" spans="1:25" x14ac:dyDescent="0.25">
      <c r="A227" s="1">
        <v>45421</v>
      </c>
      <c r="B227" t="s">
        <v>65</v>
      </c>
      <c r="C227">
        <v>3</v>
      </c>
      <c r="D227" t="s">
        <v>77</v>
      </c>
      <c r="E227" t="s">
        <v>51</v>
      </c>
      <c r="F227" t="s">
        <v>44</v>
      </c>
      <c r="G227" t="s">
        <v>32</v>
      </c>
      <c r="H227" t="s">
        <v>40</v>
      </c>
      <c r="I227">
        <v>2</v>
      </c>
      <c r="J227">
        <v>9.75</v>
      </c>
      <c r="K227">
        <v>2</v>
      </c>
      <c r="L227">
        <v>315.2</v>
      </c>
      <c r="M227">
        <v>32</v>
      </c>
      <c r="N227" t="s">
        <v>55</v>
      </c>
      <c r="O227">
        <v>43</v>
      </c>
      <c r="P227">
        <v>536</v>
      </c>
      <c r="Q227" s="27" t="str">
        <f>IF(D227=Pivot!$AS$4,R226, "")</f>
        <v/>
      </c>
      <c r="R227" t="s">
        <v>46</v>
      </c>
      <c r="S227" s="5">
        <v>8.02</v>
      </c>
      <c r="T227">
        <v>81.96</v>
      </c>
      <c r="U227">
        <v>168.11</v>
      </c>
      <c r="V227" s="27">
        <f t="shared" si="12"/>
        <v>39</v>
      </c>
      <c r="W227">
        <f t="shared" si="13"/>
        <v>483.31</v>
      </c>
      <c r="X227" s="33" t="str">
        <f t="shared" si="14"/>
        <v>Mid Quality</v>
      </c>
      <c r="Y227" s="27" t="str">
        <f t="shared" si="15"/>
        <v>10</v>
      </c>
    </row>
    <row r="228" spans="1:25" x14ac:dyDescent="0.25">
      <c r="A228" s="1">
        <v>45449</v>
      </c>
      <c r="B228" t="s">
        <v>50</v>
      </c>
      <c r="C228">
        <v>1</v>
      </c>
      <c r="D228" t="s">
        <v>47</v>
      </c>
      <c r="E228" t="s">
        <v>37</v>
      </c>
      <c r="F228" t="s">
        <v>87</v>
      </c>
      <c r="G228" t="s">
        <v>32</v>
      </c>
      <c r="H228" t="s">
        <v>61</v>
      </c>
      <c r="I228">
        <v>2</v>
      </c>
      <c r="J228">
        <v>6.44</v>
      </c>
      <c r="K228">
        <v>1</v>
      </c>
      <c r="L228">
        <v>286.31</v>
      </c>
      <c r="M228">
        <v>66</v>
      </c>
      <c r="N228" t="s">
        <v>49</v>
      </c>
      <c r="O228">
        <v>28</v>
      </c>
      <c r="P228">
        <v>803</v>
      </c>
      <c r="Q228" s="27" t="str">
        <f>IF(D228=Pivot!$AS$4,R227, "")</f>
        <v/>
      </c>
      <c r="R228" t="s">
        <v>57</v>
      </c>
      <c r="S228" s="5">
        <v>3.49</v>
      </c>
      <c r="T228">
        <v>91.02</v>
      </c>
      <c r="U228">
        <v>314.94</v>
      </c>
      <c r="V228" s="27">
        <f t="shared" si="12"/>
        <v>12.88</v>
      </c>
      <c r="W228">
        <f t="shared" si="13"/>
        <v>601.25</v>
      </c>
      <c r="X228" s="33" t="str">
        <f t="shared" si="14"/>
        <v>Mid Quality</v>
      </c>
      <c r="Y228" s="27" t="str">
        <f t="shared" si="15"/>
        <v>8</v>
      </c>
    </row>
    <row r="229" spans="1:25" x14ac:dyDescent="0.25">
      <c r="A229" s="1">
        <v>45587</v>
      </c>
      <c r="B229" t="s">
        <v>28</v>
      </c>
      <c r="C229">
        <v>1</v>
      </c>
      <c r="D229" t="s">
        <v>71</v>
      </c>
      <c r="E229" t="s">
        <v>37</v>
      </c>
      <c r="F229" t="s">
        <v>73</v>
      </c>
      <c r="G229" t="s">
        <v>24</v>
      </c>
      <c r="H229" t="s">
        <v>40</v>
      </c>
      <c r="I229">
        <v>1</v>
      </c>
      <c r="J229">
        <v>5.7</v>
      </c>
      <c r="K229">
        <v>8</v>
      </c>
      <c r="L229">
        <v>141.35</v>
      </c>
      <c r="M229">
        <v>21</v>
      </c>
      <c r="N229" t="s">
        <v>45</v>
      </c>
      <c r="O229">
        <v>46</v>
      </c>
      <c r="P229">
        <v>762</v>
      </c>
      <c r="Q229" s="27" t="str">
        <f>IF(D229=Pivot!$AS$4,R228, "")</f>
        <v/>
      </c>
      <c r="R229" t="s">
        <v>34</v>
      </c>
      <c r="S229" s="5">
        <v>6.04</v>
      </c>
      <c r="T229">
        <v>86.92</v>
      </c>
      <c r="U229">
        <v>49.47</v>
      </c>
      <c r="V229" s="27">
        <f t="shared" si="12"/>
        <v>45.6</v>
      </c>
      <c r="W229">
        <f t="shared" si="13"/>
        <v>190.82</v>
      </c>
      <c r="X229" s="33" t="str">
        <f t="shared" si="14"/>
        <v>High Quality</v>
      </c>
      <c r="Y229" s="27" t="str">
        <f t="shared" si="15"/>
        <v>6</v>
      </c>
    </row>
    <row r="230" spans="1:25" x14ac:dyDescent="0.25">
      <c r="A230" s="1">
        <v>45468</v>
      </c>
      <c r="B230" t="s">
        <v>20</v>
      </c>
      <c r="C230">
        <v>3</v>
      </c>
      <c r="D230" t="s">
        <v>36</v>
      </c>
      <c r="E230" t="s">
        <v>51</v>
      </c>
      <c r="F230" t="s">
        <v>72</v>
      </c>
      <c r="G230" t="s">
        <v>24</v>
      </c>
      <c r="H230" t="s">
        <v>61</v>
      </c>
      <c r="I230">
        <v>4</v>
      </c>
      <c r="J230">
        <v>13.26</v>
      </c>
      <c r="K230">
        <v>8</v>
      </c>
      <c r="L230">
        <v>253.34</v>
      </c>
      <c r="M230">
        <v>24</v>
      </c>
      <c r="N230" t="s">
        <v>41</v>
      </c>
      <c r="O230">
        <v>44</v>
      </c>
      <c r="P230">
        <v>464</v>
      </c>
      <c r="Q230" s="27" t="str">
        <f>IF(D230=Pivot!$AS$4,R229, "")</f>
        <v/>
      </c>
      <c r="R230" t="s">
        <v>46</v>
      </c>
      <c r="S230" s="5">
        <v>9.48</v>
      </c>
      <c r="T230">
        <v>77.040000000000006</v>
      </c>
      <c r="U230">
        <v>101.34</v>
      </c>
      <c r="V230" s="27">
        <f t="shared" si="12"/>
        <v>424.32</v>
      </c>
      <c r="W230">
        <f t="shared" si="13"/>
        <v>354.68</v>
      </c>
      <c r="X230" s="33" t="str">
        <f t="shared" si="14"/>
        <v>Mid Quality</v>
      </c>
      <c r="Y230" s="27" t="str">
        <f t="shared" si="15"/>
        <v>14</v>
      </c>
    </row>
    <row r="231" spans="1:25" x14ac:dyDescent="0.25">
      <c r="A231" s="1">
        <v>45495</v>
      </c>
      <c r="B231" t="s">
        <v>50</v>
      </c>
      <c r="C231">
        <v>2</v>
      </c>
      <c r="D231" t="s">
        <v>77</v>
      </c>
      <c r="E231" t="s">
        <v>51</v>
      </c>
      <c r="F231" t="s">
        <v>56</v>
      </c>
      <c r="G231" t="s">
        <v>52</v>
      </c>
      <c r="H231" t="s">
        <v>25</v>
      </c>
      <c r="I231">
        <v>1</v>
      </c>
      <c r="J231">
        <v>13.37</v>
      </c>
      <c r="K231">
        <v>9</v>
      </c>
      <c r="L231">
        <v>408.63</v>
      </c>
      <c r="M231">
        <v>7</v>
      </c>
      <c r="N231" t="s">
        <v>41</v>
      </c>
      <c r="O231">
        <v>48</v>
      </c>
      <c r="P231">
        <v>212</v>
      </c>
      <c r="Q231" s="27" t="str">
        <f>IF(D231=Pivot!$AS$4,R230, "")</f>
        <v/>
      </c>
      <c r="R231" t="s">
        <v>34</v>
      </c>
      <c r="S231" s="5">
        <v>22.64</v>
      </c>
      <c r="T231">
        <v>53.72</v>
      </c>
      <c r="U231">
        <v>47.67</v>
      </c>
      <c r="V231" s="27">
        <f t="shared" si="12"/>
        <v>120.33</v>
      </c>
      <c r="W231">
        <f t="shared" si="13"/>
        <v>456.3</v>
      </c>
      <c r="X231" s="33" t="str">
        <f t="shared" si="14"/>
        <v>Mid Quality</v>
      </c>
      <c r="Y231" s="27" t="str">
        <f t="shared" si="15"/>
        <v>14</v>
      </c>
    </row>
    <row r="232" spans="1:25" x14ac:dyDescent="0.25">
      <c r="A232" s="1">
        <v>45362</v>
      </c>
      <c r="B232" t="s">
        <v>65</v>
      </c>
      <c r="C232">
        <v>3</v>
      </c>
      <c r="D232" t="s">
        <v>66</v>
      </c>
      <c r="E232" t="s">
        <v>30</v>
      </c>
      <c r="F232" t="s">
        <v>59</v>
      </c>
      <c r="G232" t="s">
        <v>60</v>
      </c>
      <c r="H232" t="s">
        <v>40</v>
      </c>
      <c r="I232">
        <v>5</v>
      </c>
      <c r="J232">
        <v>16.670000000000002</v>
      </c>
      <c r="K232">
        <v>6</v>
      </c>
      <c r="L232">
        <v>315.69</v>
      </c>
      <c r="M232">
        <v>41</v>
      </c>
      <c r="N232" t="s">
        <v>49</v>
      </c>
      <c r="O232">
        <v>6</v>
      </c>
      <c r="P232">
        <v>884</v>
      </c>
      <c r="Q232" s="27" t="str">
        <f>IF(D232=Pivot!$AS$4,R231, "")</f>
        <v/>
      </c>
      <c r="R232" t="s">
        <v>46</v>
      </c>
      <c r="S232" s="5">
        <v>0.68</v>
      </c>
      <c r="T232">
        <v>93.64</v>
      </c>
      <c r="U232">
        <v>215.72</v>
      </c>
      <c r="V232" s="27">
        <f t="shared" si="12"/>
        <v>500.1</v>
      </c>
      <c r="W232">
        <f t="shared" si="13"/>
        <v>531.41</v>
      </c>
      <c r="X232" s="33" t="str">
        <f t="shared" si="14"/>
        <v>Low Quality</v>
      </c>
      <c r="Y232" s="27" t="str">
        <f t="shared" si="15"/>
        <v>18</v>
      </c>
    </row>
    <row r="233" spans="1:25" x14ac:dyDescent="0.25">
      <c r="A233" s="1">
        <v>45352</v>
      </c>
      <c r="B233" t="s">
        <v>20</v>
      </c>
      <c r="C233">
        <v>3</v>
      </c>
      <c r="D233" t="s">
        <v>29</v>
      </c>
      <c r="E233" t="s">
        <v>22</v>
      </c>
      <c r="F233" t="s">
        <v>56</v>
      </c>
      <c r="G233" t="s">
        <v>52</v>
      </c>
      <c r="H233" t="s">
        <v>25</v>
      </c>
      <c r="I233">
        <v>3</v>
      </c>
      <c r="J233">
        <v>8.94</v>
      </c>
      <c r="K233">
        <v>1</v>
      </c>
      <c r="L233">
        <v>93.61</v>
      </c>
      <c r="M233">
        <v>19</v>
      </c>
      <c r="N233" t="s">
        <v>45</v>
      </c>
      <c r="O233">
        <v>20</v>
      </c>
      <c r="P233">
        <v>275</v>
      </c>
      <c r="Q233" s="27" t="str">
        <f>IF(D233=Pivot!$AS$4,R232, "")</f>
        <v/>
      </c>
      <c r="R233" t="s">
        <v>34</v>
      </c>
      <c r="S233" s="5">
        <v>7.27</v>
      </c>
      <c r="T233">
        <v>82.46</v>
      </c>
      <c r="U233">
        <v>29.64</v>
      </c>
      <c r="V233" s="27">
        <f t="shared" si="12"/>
        <v>26.82</v>
      </c>
      <c r="W233">
        <f t="shared" si="13"/>
        <v>123.25</v>
      </c>
      <c r="X233" s="33" t="str">
        <f t="shared" si="14"/>
        <v>Mid Quality</v>
      </c>
      <c r="Y233" s="27" t="str">
        <f t="shared" si="15"/>
        <v>10</v>
      </c>
    </row>
    <row r="234" spans="1:25" x14ac:dyDescent="0.25">
      <c r="A234" s="1">
        <v>45409</v>
      </c>
      <c r="B234" t="s">
        <v>35</v>
      </c>
      <c r="C234">
        <v>3</v>
      </c>
      <c r="D234" t="s">
        <v>29</v>
      </c>
      <c r="E234" t="s">
        <v>22</v>
      </c>
      <c r="F234" t="s">
        <v>44</v>
      </c>
      <c r="G234" t="s">
        <v>24</v>
      </c>
      <c r="H234" t="s">
        <v>40</v>
      </c>
      <c r="I234">
        <v>5</v>
      </c>
      <c r="J234">
        <v>2.39</v>
      </c>
      <c r="K234">
        <v>9</v>
      </c>
      <c r="L234">
        <v>296.61</v>
      </c>
      <c r="M234">
        <v>55</v>
      </c>
      <c r="N234" t="s">
        <v>26</v>
      </c>
      <c r="O234">
        <v>31</v>
      </c>
      <c r="P234">
        <v>248</v>
      </c>
      <c r="Q234" s="27" t="str">
        <f>IF(D234=Pivot!$AS$4,R233, "")</f>
        <v/>
      </c>
      <c r="R234" t="s">
        <v>34</v>
      </c>
      <c r="S234" s="5">
        <v>12.5</v>
      </c>
      <c r="T234">
        <v>70</v>
      </c>
      <c r="U234">
        <v>271.89</v>
      </c>
      <c r="V234" s="27">
        <f t="shared" si="12"/>
        <v>107.55000000000001</v>
      </c>
      <c r="W234">
        <f t="shared" si="13"/>
        <v>568.5</v>
      </c>
      <c r="X234" s="33" t="str">
        <f t="shared" si="14"/>
        <v>High Quality</v>
      </c>
      <c r="Y234" s="27" t="str">
        <f t="shared" si="15"/>
        <v>4</v>
      </c>
    </row>
    <row r="235" spans="1:25" x14ac:dyDescent="0.25">
      <c r="A235" s="1">
        <v>45520</v>
      </c>
      <c r="B235" t="s">
        <v>35</v>
      </c>
      <c r="C235">
        <v>1</v>
      </c>
      <c r="D235" t="s">
        <v>21</v>
      </c>
      <c r="E235" t="s">
        <v>51</v>
      </c>
      <c r="F235" t="s">
        <v>81</v>
      </c>
      <c r="G235" t="s">
        <v>32</v>
      </c>
      <c r="H235" t="s">
        <v>33</v>
      </c>
      <c r="I235">
        <v>3</v>
      </c>
      <c r="J235">
        <v>6.2</v>
      </c>
      <c r="K235">
        <v>3</v>
      </c>
      <c r="L235">
        <v>366.23</v>
      </c>
      <c r="M235">
        <v>52</v>
      </c>
      <c r="N235" t="s">
        <v>63</v>
      </c>
      <c r="O235">
        <v>33</v>
      </c>
      <c r="P235">
        <v>277</v>
      </c>
      <c r="Q235" s="27" t="str">
        <f>IF(D235=Pivot!$AS$4,R234, "")</f>
        <v/>
      </c>
      <c r="R235" t="s">
        <v>42</v>
      </c>
      <c r="S235" s="5">
        <v>11.91</v>
      </c>
      <c r="T235">
        <v>73.180000000000007</v>
      </c>
      <c r="U235">
        <v>317.39999999999998</v>
      </c>
      <c r="V235" s="27">
        <f t="shared" si="12"/>
        <v>55.800000000000004</v>
      </c>
      <c r="W235">
        <f t="shared" si="13"/>
        <v>683.63</v>
      </c>
      <c r="X235" s="33" t="str">
        <f t="shared" si="14"/>
        <v>Mid Quality</v>
      </c>
      <c r="Y235" s="27" t="str">
        <f t="shared" si="15"/>
        <v>8</v>
      </c>
    </row>
    <row r="236" spans="1:25" x14ac:dyDescent="0.25">
      <c r="A236" s="1">
        <v>45374</v>
      </c>
      <c r="B236" t="s">
        <v>75</v>
      </c>
      <c r="C236">
        <v>3</v>
      </c>
      <c r="D236" t="s">
        <v>88</v>
      </c>
      <c r="E236" t="s">
        <v>67</v>
      </c>
      <c r="F236" t="s">
        <v>62</v>
      </c>
      <c r="G236" t="s">
        <v>52</v>
      </c>
      <c r="H236" t="s">
        <v>48</v>
      </c>
      <c r="I236">
        <v>2</v>
      </c>
      <c r="J236">
        <v>19.62</v>
      </c>
      <c r="K236">
        <v>6</v>
      </c>
      <c r="L236">
        <v>406.72</v>
      </c>
      <c r="M236">
        <v>12</v>
      </c>
      <c r="N236" t="s">
        <v>49</v>
      </c>
      <c r="O236">
        <v>44</v>
      </c>
      <c r="P236">
        <v>481</v>
      </c>
      <c r="Q236" s="27" t="str">
        <f>IF(D236=Pivot!$AS$4,R235, "")</f>
        <v/>
      </c>
      <c r="R236" t="s">
        <v>57</v>
      </c>
      <c r="S236" s="5">
        <v>9.15</v>
      </c>
      <c r="T236">
        <v>79.7</v>
      </c>
      <c r="U236">
        <v>81.34</v>
      </c>
      <c r="V236" s="27">
        <f t="shared" si="12"/>
        <v>235.44</v>
      </c>
      <c r="W236">
        <f t="shared" si="13"/>
        <v>488.06000000000006</v>
      </c>
      <c r="X236" s="33" t="str">
        <f t="shared" si="14"/>
        <v>Low Quality</v>
      </c>
      <c r="Y236" s="27" t="str">
        <f t="shared" si="15"/>
        <v>20</v>
      </c>
    </row>
    <row r="237" spans="1:25" x14ac:dyDescent="0.25">
      <c r="A237" s="1">
        <v>45343</v>
      </c>
      <c r="B237" t="s">
        <v>65</v>
      </c>
      <c r="C237">
        <v>1</v>
      </c>
      <c r="D237" t="s">
        <v>29</v>
      </c>
      <c r="E237" t="s">
        <v>37</v>
      </c>
      <c r="F237" t="s">
        <v>23</v>
      </c>
      <c r="G237" t="s">
        <v>60</v>
      </c>
      <c r="H237" t="s">
        <v>25</v>
      </c>
      <c r="I237">
        <v>4</v>
      </c>
      <c r="J237">
        <v>12.33</v>
      </c>
      <c r="K237">
        <v>9</v>
      </c>
      <c r="L237">
        <v>333.1</v>
      </c>
      <c r="M237">
        <v>17</v>
      </c>
      <c r="N237" t="s">
        <v>41</v>
      </c>
      <c r="O237">
        <v>7</v>
      </c>
      <c r="P237">
        <v>322</v>
      </c>
      <c r="Q237" s="27" t="str">
        <f>IF(D237=Pivot!$AS$4,R236, "")</f>
        <v/>
      </c>
      <c r="R237" t="s">
        <v>27</v>
      </c>
      <c r="S237" s="5">
        <v>2.17</v>
      </c>
      <c r="T237">
        <v>91.66</v>
      </c>
      <c r="U237">
        <v>94.38</v>
      </c>
      <c r="V237" s="27">
        <f t="shared" si="12"/>
        <v>443.88</v>
      </c>
      <c r="W237">
        <f t="shared" si="13"/>
        <v>427.48</v>
      </c>
      <c r="X237" s="33" t="str">
        <f t="shared" si="14"/>
        <v>Mid Quality</v>
      </c>
      <c r="Y237" s="27" t="str">
        <f t="shared" si="15"/>
        <v>14</v>
      </c>
    </row>
    <row r="238" spans="1:25" x14ac:dyDescent="0.25">
      <c r="A238" s="1">
        <v>45401</v>
      </c>
      <c r="B238" t="s">
        <v>28</v>
      </c>
      <c r="C238">
        <v>1</v>
      </c>
      <c r="D238" t="s">
        <v>76</v>
      </c>
      <c r="E238" t="s">
        <v>37</v>
      </c>
      <c r="F238" t="s">
        <v>81</v>
      </c>
      <c r="G238" t="s">
        <v>52</v>
      </c>
      <c r="H238" t="s">
        <v>61</v>
      </c>
      <c r="I238">
        <v>1</v>
      </c>
      <c r="J238">
        <v>14.49</v>
      </c>
      <c r="K238">
        <v>3</v>
      </c>
      <c r="L238">
        <v>118.7</v>
      </c>
      <c r="M238">
        <v>52</v>
      </c>
      <c r="N238" t="s">
        <v>55</v>
      </c>
      <c r="O238">
        <v>8</v>
      </c>
      <c r="P238">
        <v>358</v>
      </c>
      <c r="Q238" s="27" t="str">
        <f>IF(D238=Pivot!$AS$4,R237, "")</f>
        <v/>
      </c>
      <c r="R238" t="s">
        <v>57</v>
      </c>
      <c r="S238" s="5">
        <v>2.23</v>
      </c>
      <c r="T238">
        <v>94.54</v>
      </c>
      <c r="U238">
        <v>102.87</v>
      </c>
      <c r="V238" s="27">
        <f t="shared" si="12"/>
        <v>43.47</v>
      </c>
      <c r="W238">
        <f t="shared" si="13"/>
        <v>221.57</v>
      </c>
      <c r="X238" s="33" t="str">
        <f t="shared" si="14"/>
        <v>Mid Quality</v>
      </c>
      <c r="Y238" s="27" t="str">
        <f t="shared" si="15"/>
        <v>16</v>
      </c>
    </row>
    <row r="239" spans="1:25" x14ac:dyDescent="0.25">
      <c r="A239" s="1">
        <v>45552</v>
      </c>
      <c r="B239" t="s">
        <v>20</v>
      </c>
      <c r="C239">
        <v>1</v>
      </c>
      <c r="D239" t="s">
        <v>77</v>
      </c>
      <c r="E239" t="s">
        <v>51</v>
      </c>
      <c r="F239" t="s">
        <v>87</v>
      </c>
      <c r="G239" t="s">
        <v>39</v>
      </c>
      <c r="H239" t="s">
        <v>33</v>
      </c>
      <c r="I239">
        <v>4</v>
      </c>
      <c r="J239">
        <v>1.1399999999999999</v>
      </c>
      <c r="K239">
        <v>5</v>
      </c>
      <c r="L239">
        <v>369.58</v>
      </c>
      <c r="M239">
        <v>7</v>
      </c>
      <c r="N239" t="s">
        <v>45</v>
      </c>
      <c r="O239">
        <v>9</v>
      </c>
      <c r="P239">
        <v>884</v>
      </c>
      <c r="Q239" s="27" t="str">
        <f>IF(D239=Pivot!$AS$4,R238, "")</f>
        <v/>
      </c>
      <c r="R239" t="s">
        <v>34</v>
      </c>
      <c r="S239" s="5">
        <v>1.02</v>
      </c>
      <c r="T239">
        <v>93.96</v>
      </c>
      <c r="U239">
        <v>43.12</v>
      </c>
      <c r="V239" s="27">
        <f t="shared" si="12"/>
        <v>22.799999999999997</v>
      </c>
      <c r="W239">
        <f t="shared" si="13"/>
        <v>412.7</v>
      </c>
      <c r="X239" s="33" t="str">
        <f t="shared" si="14"/>
        <v>High Quality</v>
      </c>
      <c r="Y239" s="27" t="str">
        <f t="shared" si="15"/>
        <v>2</v>
      </c>
    </row>
    <row r="240" spans="1:25" x14ac:dyDescent="0.25">
      <c r="A240" s="1">
        <v>45497</v>
      </c>
      <c r="B240" t="s">
        <v>50</v>
      </c>
      <c r="C240">
        <v>2</v>
      </c>
      <c r="D240" t="s">
        <v>66</v>
      </c>
      <c r="E240" t="s">
        <v>67</v>
      </c>
      <c r="F240" t="s">
        <v>56</v>
      </c>
      <c r="G240" t="s">
        <v>52</v>
      </c>
      <c r="H240" t="s">
        <v>40</v>
      </c>
      <c r="I240">
        <v>1</v>
      </c>
      <c r="J240">
        <v>10.85</v>
      </c>
      <c r="K240">
        <v>5</v>
      </c>
      <c r="L240">
        <v>354.8</v>
      </c>
      <c r="M240">
        <v>69</v>
      </c>
      <c r="N240" t="s">
        <v>26</v>
      </c>
      <c r="O240">
        <v>2</v>
      </c>
      <c r="P240">
        <v>288</v>
      </c>
      <c r="Q240" s="27" t="str">
        <f>IF(D240=Pivot!$AS$4,R239, "")</f>
        <v/>
      </c>
      <c r="R240" t="s">
        <v>34</v>
      </c>
      <c r="S240" s="5">
        <v>0.69</v>
      </c>
      <c r="T240">
        <v>97.62</v>
      </c>
      <c r="U240">
        <v>408.02</v>
      </c>
      <c r="V240" s="27">
        <f t="shared" si="12"/>
        <v>54.25</v>
      </c>
      <c r="W240">
        <f t="shared" si="13"/>
        <v>762.81999999999994</v>
      </c>
      <c r="X240" s="33" t="str">
        <f t="shared" si="14"/>
        <v>Mid Quality</v>
      </c>
      <c r="Y240" s="27" t="str">
        <f t="shared" si="15"/>
        <v>12</v>
      </c>
    </row>
    <row r="241" spans="1:25" x14ac:dyDescent="0.25">
      <c r="A241" s="1">
        <v>45465</v>
      </c>
      <c r="B241" t="s">
        <v>65</v>
      </c>
      <c r="C241">
        <v>1</v>
      </c>
      <c r="D241" t="s">
        <v>91</v>
      </c>
      <c r="E241" t="s">
        <v>30</v>
      </c>
      <c r="F241" t="s">
        <v>59</v>
      </c>
      <c r="G241" t="s">
        <v>24</v>
      </c>
      <c r="H241" t="s">
        <v>25</v>
      </c>
      <c r="I241">
        <v>5</v>
      </c>
      <c r="J241">
        <v>1.71</v>
      </c>
      <c r="K241">
        <v>7</v>
      </c>
      <c r="L241">
        <v>60.99</v>
      </c>
      <c r="M241">
        <v>77</v>
      </c>
      <c r="N241" t="s">
        <v>63</v>
      </c>
      <c r="O241">
        <v>17</v>
      </c>
      <c r="P241">
        <v>405</v>
      </c>
      <c r="Q241" s="27" t="str">
        <f>IF(D241=Pivot!$AS$4,R240, "")</f>
        <v/>
      </c>
      <c r="R241" t="s">
        <v>57</v>
      </c>
      <c r="S241" s="5">
        <v>4.2</v>
      </c>
      <c r="T241">
        <v>86.6</v>
      </c>
      <c r="U241">
        <v>78.27</v>
      </c>
      <c r="V241" s="27">
        <f t="shared" si="12"/>
        <v>59.85</v>
      </c>
      <c r="W241">
        <f t="shared" si="13"/>
        <v>139.26</v>
      </c>
      <c r="X241" s="33" t="str">
        <f t="shared" si="14"/>
        <v>High Quality</v>
      </c>
      <c r="Y241" s="27" t="str">
        <f t="shared" si="15"/>
        <v>2</v>
      </c>
    </row>
    <row r="242" spans="1:25" x14ac:dyDescent="0.25">
      <c r="A242" s="1">
        <v>45573</v>
      </c>
      <c r="B242" t="s">
        <v>65</v>
      </c>
      <c r="C242">
        <v>1</v>
      </c>
      <c r="D242" t="s">
        <v>88</v>
      </c>
      <c r="E242" t="s">
        <v>51</v>
      </c>
      <c r="F242" t="s">
        <v>70</v>
      </c>
      <c r="G242" t="s">
        <v>32</v>
      </c>
      <c r="H242" t="s">
        <v>40</v>
      </c>
      <c r="I242">
        <v>5</v>
      </c>
      <c r="J242">
        <v>11.82</v>
      </c>
      <c r="K242">
        <v>4</v>
      </c>
      <c r="L242">
        <v>235.29</v>
      </c>
      <c r="M242">
        <v>35</v>
      </c>
      <c r="N242" t="s">
        <v>55</v>
      </c>
      <c r="O242">
        <v>45</v>
      </c>
      <c r="P242">
        <v>477</v>
      </c>
      <c r="Q242" s="27" t="str">
        <f>IF(D242=Pivot!$AS$4,R241, "")</f>
        <v/>
      </c>
      <c r="R242" t="s">
        <v>34</v>
      </c>
      <c r="S242" s="5">
        <v>9.43</v>
      </c>
      <c r="T242">
        <v>76.14</v>
      </c>
      <c r="U242">
        <v>137.25</v>
      </c>
      <c r="V242" s="27">
        <f t="shared" si="12"/>
        <v>236.4</v>
      </c>
      <c r="W242">
        <f t="shared" si="13"/>
        <v>372.53999999999996</v>
      </c>
      <c r="X242" s="33" t="str">
        <f t="shared" si="14"/>
        <v>Mid Quality</v>
      </c>
      <c r="Y242" s="27" t="str">
        <f t="shared" si="15"/>
        <v>12</v>
      </c>
    </row>
    <row r="243" spans="1:25" x14ac:dyDescent="0.25">
      <c r="A243" s="1">
        <v>45318</v>
      </c>
      <c r="B243" t="s">
        <v>35</v>
      </c>
      <c r="C243">
        <v>2</v>
      </c>
      <c r="D243" t="s">
        <v>71</v>
      </c>
      <c r="E243" t="s">
        <v>51</v>
      </c>
      <c r="F243" t="s">
        <v>44</v>
      </c>
      <c r="G243" t="s">
        <v>32</v>
      </c>
      <c r="H243" t="s">
        <v>40</v>
      </c>
      <c r="I243">
        <v>1</v>
      </c>
      <c r="J243">
        <v>18.489999999999998</v>
      </c>
      <c r="K243">
        <v>4</v>
      </c>
      <c r="L243">
        <v>199.83</v>
      </c>
      <c r="M243">
        <v>30</v>
      </c>
      <c r="N243" t="s">
        <v>45</v>
      </c>
      <c r="O243">
        <v>37</v>
      </c>
      <c r="P243">
        <v>701</v>
      </c>
      <c r="Q243" s="27" t="str">
        <f>IF(D243=Pivot!$AS$4,R242, "")</f>
        <v/>
      </c>
      <c r="R243" t="s">
        <v>46</v>
      </c>
      <c r="S243" s="5">
        <v>5.28</v>
      </c>
      <c r="T243">
        <v>88.44</v>
      </c>
      <c r="U243">
        <v>99.92</v>
      </c>
      <c r="V243" s="27">
        <f t="shared" si="12"/>
        <v>73.959999999999994</v>
      </c>
      <c r="W243">
        <f t="shared" si="13"/>
        <v>299.75</v>
      </c>
      <c r="X243" s="33" t="str">
        <f t="shared" si="14"/>
        <v>Low Quality</v>
      </c>
      <c r="Y243" s="27" t="str">
        <f t="shared" si="15"/>
        <v>20</v>
      </c>
    </row>
    <row r="244" spans="1:25" x14ac:dyDescent="0.25">
      <c r="A244" s="1">
        <v>45374</v>
      </c>
      <c r="B244" t="s">
        <v>75</v>
      </c>
      <c r="C244">
        <v>1</v>
      </c>
      <c r="D244" t="s">
        <v>47</v>
      </c>
      <c r="E244" t="s">
        <v>37</v>
      </c>
      <c r="F244" t="s">
        <v>68</v>
      </c>
      <c r="G244" t="s">
        <v>24</v>
      </c>
      <c r="H244" t="s">
        <v>40</v>
      </c>
      <c r="I244">
        <v>4</v>
      </c>
      <c r="J244">
        <v>19.399999999999999</v>
      </c>
      <c r="K244">
        <v>7</v>
      </c>
      <c r="L244">
        <v>351.24</v>
      </c>
      <c r="M244">
        <v>85</v>
      </c>
      <c r="N244" t="s">
        <v>26</v>
      </c>
      <c r="O244">
        <v>42</v>
      </c>
      <c r="P244">
        <v>442</v>
      </c>
      <c r="Q244" s="27" t="str">
        <f>IF(D244=Pivot!$AS$4,R243, "")</f>
        <v/>
      </c>
      <c r="R244" t="s">
        <v>34</v>
      </c>
      <c r="S244" s="5">
        <v>9.5</v>
      </c>
      <c r="T244">
        <v>77</v>
      </c>
      <c r="U244">
        <v>497.59</v>
      </c>
      <c r="V244" s="27">
        <f t="shared" si="12"/>
        <v>543.19999999999993</v>
      </c>
      <c r="W244">
        <f t="shared" si="13"/>
        <v>848.82999999999993</v>
      </c>
      <c r="X244" s="33" t="str">
        <f t="shared" si="14"/>
        <v>Low Quality</v>
      </c>
      <c r="Y244" s="27" t="str">
        <f t="shared" si="15"/>
        <v>20</v>
      </c>
    </row>
    <row r="245" spans="1:25" x14ac:dyDescent="0.25">
      <c r="A245" s="1">
        <v>45491</v>
      </c>
      <c r="B245" t="s">
        <v>75</v>
      </c>
      <c r="C245">
        <v>3</v>
      </c>
      <c r="D245" t="s">
        <v>74</v>
      </c>
      <c r="E245" t="s">
        <v>51</v>
      </c>
      <c r="F245" t="s">
        <v>70</v>
      </c>
      <c r="G245" t="s">
        <v>39</v>
      </c>
      <c r="H245" t="s">
        <v>48</v>
      </c>
      <c r="I245">
        <v>1</v>
      </c>
      <c r="J245">
        <v>11.27</v>
      </c>
      <c r="K245">
        <v>9</v>
      </c>
      <c r="L245">
        <v>147.26</v>
      </c>
      <c r="M245">
        <v>60</v>
      </c>
      <c r="N245" t="s">
        <v>49</v>
      </c>
      <c r="O245">
        <v>44</v>
      </c>
      <c r="P245">
        <v>873</v>
      </c>
      <c r="Q245" s="27" t="str">
        <f>IF(D245=Pivot!$AS$4,R244, "")</f>
        <v/>
      </c>
      <c r="R245" t="s">
        <v>57</v>
      </c>
      <c r="S245" s="5">
        <v>5.04</v>
      </c>
      <c r="T245">
        <v>88.92</v>
      </c>
      <c r="U245">
        <v>147.26</v>
      </c>
      <c r="V245" s="27">
        <f t="shared" si="12"/>
        <v>101.42999999999999</v>
      </c>
      <c r="W245">
        <f t="shared" si="13"/>
        <v>294.52</v>
      </c>
      <c r="X245" s="33" t="str">
        <f t="shared" si="14"/>
        <v>Mid Quality</v>
      </c>
      <c r="Y245" s="27" t="str">
        <f t="shared" si="15"/>
        <v>12</v>
      </c>
    </row>
    <row r="246" spans="1:25" x14ac:dyDescent="0.25">
      <c r="A246" s="1">
        <v>45294</v>
      </c>
      <c r="B246" t="s">
        <v>20</v>
      </c>
      <c r="C246">
        <v>3</v>
      </c>
      <c r="D246" t="s">
        <v>88</v>
      </c>
      <c r="E246" t="s">
        <v>51</v>
      </c>
      <c r="F246" t="s">
        <v>56</v>
      </c>
      <c r="G246" t="s">
        <v>24</v>
      </c>
      <c r="H246" t="s">
        <v>48</v>
      </c>
      <c r="I246">
        <v>2</v>
      </c>
      <c r="J246">
        <v>9.7100000000000009</v>
      </c>
      <c r="K246">
        <v>4</v>
      </c>
      <c r="L246">
        <v>315.89</v>
      </c>
      <c r="M246">
        <v>38</v>
      </c>
      <c r="N246" t="s">
        <v>26</v>
      </c>
      <c r="O246">
        <v>17</v>
      </c>
      <c r="P246">
        <v>255</v>
      </c>
      <c r="Q246" s="27" t="str">
        <f>IF(D246=Pivot!$AS$4,R245, "")</f>
        <v/>
      </c>
      <c r="R246" t="s">
        <v>57</v>
      </c>
      <c r="S246" s="5">
        <v>6.67</v>
      </c>
      <c r="T246">
        <v>84.66</v>
      </c>
      <c r="U246">
        <v>200.06</v>
      </c>
      <c r="V246" s="27">
        <f t="shared" si="12"/>
        <v>77.680000000000007</v>
      </c>
      <c r="W246">
        <f t="shared" si="13"/>
        <v>515.95000000000005</v>
      </c>
      <c r="X246" s="33" t="str">
        <f t="shared" si="14"/>
        <v>Mid Quality</v>
      </c>
      <c r="Y246" s="27" t="str">
        <f t="shared" si="15"/>
        <v>10</v>
      </c>
    </row>
    <row r="247" spans="1:25" x14ac:dyDescent="0.25">
      <c r="A247" s="1">
        <v>45338</v>
      </c>
      <c r="B247" t="s">
        <v>35</v>
      </c>
      <c r="C247">
        <v>1</v>
      </c>
      <c r="D247" t="s">
        <v>91</v>
      </c>
      <c r="E247" t="s">
        <v>51</v>
      </c>
      <c r="F247" t="s">
        <v>78</v>
      </c>
      <c r="G247" t="s">
        <v>52</v>
      </c>
      <c r="H247" t="s">
        <v>61</v>
      </c>
      <c r="I247">
        <v>5</v>
      </c>
      <c r="J247">
        <v>18.96</v>
      </c>
      <c r="K247">
        <v>4</v>
      </c>
      <c r="L247">
        <v>460.94</v>
      </c>
      <c r="M247">
        <v>13</v>
      </c>
      <c r="N247" t="s">
        <v>49</v>
      </c>
      <c r="O247">
        <v>38</v>
      </c>
      <c r="P247">
        <v>811</v>
      </c>
      <c r="Q247" s="27" t="str">
        <f>IF(D247=Pivot!$AS$4,R246, "")</f>
        <v/>
      </c>
      <c r="R247" t="s">
        <v>57</v>
      </c>
      <c r="S247" s="5">
        <v>4.6900000000000004</v>
      </c>
      <c r="T247">
        <v>85.62</v>
      </c>
      <c r="U247">
        <v>99.87</v>
      </c>
      <c r="V247" s="27">
        <f t="shared" si="12"/>
        <v>379.20000000000005</v>
      </c>
      <c r="W247">
        <f t="shared" si="13"/>
        <v>560.80999999999995</v>
      </c>
      <c r="X247" s="33" t="str">
        <f t="shared" si="14"/>
        <v>Low Quality</v>
      </c>
      <c r="Y247" s="27" t="str">
        <f t="shared" si="15"/>
        <v>20</v>
      </c>
    </row>
    <row r="248" spans="1:25" x14ac:dyDescent="0.25">
      <c r="A248" s="1">
        <v>45366</v>
      </c>
      <c r="B248" t="s">
        <v>65</v>
      </c>
      <c r="C248">
        <v>2</v>
      </c>
      <c r="D248" t="s">
        <v>74</v>
      </c>
      <c r="E248" t="s">
        <v>37</v>
      </c>
      <c r="F248" t="s">
        <v>68</v>
      </c>
      <c r="G248" t="s">
        <v>24</v>
      </c>
      <c r="H248" t="s">
        <v>25</v>
      </c>
      <c r="I248">
        <v>2</v>
      </c>
      <c r="J248">
        <v>13.8</v>
      </c>
      <c r="K248">
        <v>6</v>
      </c>
      <c r="L248">
        <v>409.01</v>
      </c>
      <c r="M248">
        <v>66</v>
      </c>
      <c r="N248" t="s">
        <v>45</v>
      </c>
      <c r="O248">
        <v>35</v>
      </c>
      <c r="P248">
        <v>154</v>
      </c>
      <c r="Q248" s="27" t="str">
        <f>IF(D248=Pivot!$AS$4,R247, "")</f>
        <v/>
      </c>
      <c r="R248" t="s">
        <v>42</v>
      </c>
      <c r="S248" s="5">
        <v>22.73</v>
      </c>
      <c r="T248">
        <v>52.54</v>
      </c>
      <c r="U248">
        <v>449.91</v>
      </c>
      <c r="V248" s="27">
        <f t="shared" si="12"/>
        <v>165.60000000000002</v>
      </c>
      <c r="W248">
        <f t="shared" si="13"/>
        <v>858.92000000000007</v>
      </c>
      <c r="X248" s="33" t="str">
        <f t="shared" si="14"/>
        <v>Mid Quality</v>
      </c>
      <c r="Y248" s="27" t="str">
        <f t="shared" si="15"/>
        <v>14</v>
      </c>
    </row>
    <row r="249" spans="1:25" x14ac:dyDescent="0.25">
      <c r="A249" s="1">
        <v>45533</v>
      </c>
      <c r="B249" t="s">
        <v>28</v>
      </c>
      <c r="C249">
        <v>3</v>
      </c>
      <c r="D249" t="s">
        <v>79</v>
      </c>
      <c r="E249" t="s">
        <v>30</v>
      </c>
      <c r="F249" t="s">
        <v>72</v>
      </c>
      <c r="G249" t="s">
        <v>24</v>
      </c>
      <c r="H249" t="s">
        <v>33</v>
      </c>
      <c r="I249">
        <v>5</v>
      </c>
      <c r="J249">
        <v>2.23</v>
      </c>
      <c r="K249">
        <v>6</v>
      </c>
      <c r="L249">
        <v>464.66</v>
      </c>
      <c r="M249">
        <v>17</v>
      </c>
      <c r="N249" t="s">
        <v>26</v>
      </c>
      <c r="O249">
        <v>47</v>
      </c>
      <c r="P249">
        <v>865</v>
      </c>
      <c r="Q249" s="27" t="str">
        <f>IF(D249=Pivot!$AS$4,R248, "")</f>
        <v/>
      </c>
      <c r="R249" t="s">
        <v>42</v>
      </c>
      <c r="S249" s="5">
        <v>5.43</v>
      </c>
      <c r="T249">
        <v>84.14</v>
      </c>
      <c r="U249">
        <v>131.65</v>
      </c>
      <c r="V249" s="27">
        <f t="shared" si="12"/>
        <v>66.900000000000006</v>
      </c>
      <c r="W249">
        <f t="shared" si="13"/>
        <v>596.31000000000006</v>
      </c>
      <c r="X249" s="33" t="str">
        <f t="shared" si="14"/>
        <v>High Quality</v>
      </c>
      <c r="Y249" s="27" t="str">
        <f t="shared" si="15"/>
        <v>4</v>
      </c>
    </row>
    <row r="250" spans="1:25" x14ac:dyDescent="0.25">
      <c r="A250" s="1">
        <v>45514</v>
      </c>
      <c r="B250" t="s">
        <v>35</v>
      </c>
      <c r="C250">
        <v>2</v>
      </c>
      <c r="D250" t="s">
        <v>47</v>
      </c>
      <c r="E250" t="s">
        <v>30</v>
      </c>
      <c r="F250" t="s">
        <v>56</v>
      </c>
      <c r="G250" t="s">
        <v>39</v>
      </c>
      <c r="H250" t="s">
        <v>33</v>
      </c>
      <c r="I250">
        <v>5</v>
      </c>
      <c r="J250">
        <v>9.85</v>
      </c>
      <c r="K250">
        <v>7</v>
      </c>
      <c r="L250">
        <v>490.33</v>
      </c>
      <c r="M250">
        <v>73</v>
      </c>
      <c r="N250" t="s">
        <v>63</v>
      </c>
      <c r="O250">
        <v>39</v>
      </c>
      <c r="P250">
        <v>541</v>
      </c>
      <c r="Q250" s="27" t="str">
        <f>IF(D250=Pivot!$AS$4,R249, "")</f>
        <v/>
      </c>
      <c r="R250" t="s">
        <v>42</v>
      </c>
      <c r="S250" s="5">
        <v>7.21</v>
      </c>
      <c r="T250">
        <v>80.58</v>
      </c>
      <c r="U250">
        <v>596.57000000000005</v>
      </c>
      <c r="V250" s="27">
        <f t="shared" si="12"/>
        <v>344.75</v>
      </c>
      <c r="W250">
        <f t="shared" si="13"/>
        <v>1086.9000000000001</v>
      </c>
      <c r="X250" s="33" t="str">
        <f t="shared" si="14"/>
        <v>Mid Quality</v>
      </c>
      <c r="Y250" s="27" t="str">
        <f t="shared" si="15"/>
        <v>10</v>
      </c>
    </row>
    <row r="251" spans="1:25" x14ac:dyDescent="0.25">
      <c r="A251" s="1">
        <v>45337</v>
      </c>
      <c r="B251" t="s">
        <v>20</v>
      </c>
      <c r="C251">
        <v>2</v>
      </c>
      <c r="D251" t="s">
        <v>64</v>
      </c>
      <c r="E251" t="s">
        <v>51</v>
      </c>
      <c r="F251" t="s">
        <v>81</v>
      </c>
      <c r="G251" t="s">
        <v>52</v>
      </c>
      <c r="H251" t="s">
        <v>33</v>
      </c>
      <c r="I251">
        <v>3</v>
      </c>
      <c r="J251">
        <v>5.56</v>
      </c>
      <c r="K251">
        <v>1</v>
      </c>
      <c r="L251">
        <v>54.8</v>
      </c>
      <c r="M251">
        <v>45</v>
      </c>
      <c r="N251" t="s">
        <v>26</v>
      </c>
      <c r="O251">
        <v>30</v>
      </c>
      <c r="P251">
        <v>784</v>
      </c>
      <c r="Q251" s="27" t="str">
        <f>IF(D251=Pivot!$AS$4,R250, "")</f>
        <v/>
      </c>
      <c r="R251" t="s">
        <v>42</v>
      </c>
      <c r="S251" s="5">
        <v>3.83</v>
      </c>
      <c r="T251">
        <v>89.34</v>
      </c>
      <c r="U251">
        <v>41.1</v>
      </c>
      <c r="V251" s="27">
        <f t="shared" si="12"/>
        <v>16.68</v>
      </c>
      <c r="W251">
        <f t="shared" si="13"/>
        <v>95.9</v>
      </c>
      <c r="X251" s="33" t="str">
        <f t="shared" si="14"/>
        <v>High Quality</v>
      </c>
      <c r="Y251" s="27" t="str">
        <f t="shared" si="15"/>
        <v>6</v>
      </c>
    </row>
    <row r="252" spans="1:25" x14ac:dyDescent="0.25">
      <c r="A252" s="1">
        <v>45324</v>
      </c>
      <c r="B252" t="s">
        <v>20</v>
      </c>
      <c r="C252">
        <v>3</v>
      </c>
      <c r="D252" t="s">
        <v>79</v>
      </c>
      <c r="E252" t="s">
        <v>37</v>
      </c>
      <c r="F252" t="s">
        <v>44</v>
      </c>
      <c r="G252" t="s">
        <v>60</v>
      </c>
      <c r="H252" t="s">
        <v>40</v>
      </c>
      <c r="I252">
        <v>2</v>
      </c>
      <c r="J252">
        <v>9.93</v>
      </c>
      <c r="K252">
        <v>3</v>
      </c>
      <c r="L252">
        <v>330.23</v>
      </c>
      <c r="M252">
        <v>81</v>
      </c>
      <c r="N252" t="s">
        <v>45</v>
      </c>
      <c r="O252">
        <v>6</v>
      </c>
      <c r="P252">
        <v>299</v>
      </c>
      <c r="Q252" s="27" t="str">
        <f>IF(D252=Pivot!$AS$4,R251, "")</f>
        <v/>
      </c>
      <c r="R252" t="s">
        <v>42</v>
      </c>
      <c r="S252" s="5">
        <v>2.0099999999999998</v>
      </c>
      <c r="T252">
        <v>93.98</v>
      </c>
      <c r="U252">
        <v>445.81</v>
      </c>
      <c r="V252" s="27">
        <f t="shared" si="12"/>
        <v>59.58</v>
      </c>
      <c r="W252">
        <f t="shared" si="13"/>
        <v>776.04</v>
      </c>
      <c r="X252" s="33" t="str">
        <f t="shared" si="14"/>
        <v>Mid Quality</v>
      </c>
      <c r="Y252" s="27" t="str">
        <f t="shared" si="15"/>
        <v>10</v>
      </c>
    </row>
    <row r="253" spans="1:25" x14ac:dyDescent="0.25">
      <c r="A253" s="1">
        <v>45426</v>
      </c>
      <c r="B253" t="s">
        <v>35</v>
      </c>
      <c r="C253">
        <v>2</v>
      </c>
      <c r="D253" t="s">
        <v>36</v>
      </c>
      <c r="E253" t="s">
        <v>30</v>
      </c>
      <c r="F253" t="s">
        <v>62</v>
      </c>
      <c r="G253" t="s">
        <v>60</v>
      </c>
      <c r="H253" t="s">
        <v>48</v>
      </c>
      <c r="I253">
        <v>2</v>
      </c>
      <c r="J253">
        <v>9.65</v>
      </c>
      <c r="K253">
        <v>9</v>
      </c>
      <c r="L253">
        <v>235.78</v>
      </c>
      <c r="M253">
        <v>5</v>
      </c>
      <c r="N253" t="s">
        <v>55</v>
      </c>
      <c r="O253">
        <v>4</v>
      </c>
      <c r="P253">
        <v>502</v>
      </c>
      <c r="Q253" s="27" t="str">
        <f>IF(D253=Pivot!$AS$4,R252, "")</f>
        <v/>
      </c>
      <c r="R253" t="s">
        <v>42</v>
      </c>
      <c r="S253" s="5">
        <v>0.8</v>
      </c>
      <c r="T253">
        <v>96.4</v>
      </c>
      <c r="U253">
        <v>19.649999999999999</v>
      </c>
      <c r="V253" s="27">
        <f t="shared" si="12"/>
        <v>173.70000000000002</v>
      </c>
      <c r="W253">
        <f t="shared" si="13"/>
        <v>255.43</v>
      </c>
      <c r="X253" s="33" t="str">
        <f t="shared" si="14"/>
        <v>Mid Quality</v>
      </c>
      <c r="Y253" s="27" t="str">
        <f t="shared" si="15"/>
        <v>10</v>
      </c>
    </row>
    <row r="254" spans="1:25" x14ac:dyDescent="0.25">
      <c r="A254" s="1">
        <v>45405</v>
      </c>
      <c r="B254" t="s">
        <v>20</v>
      </c>
      <c r="C254">
        <v>3</v>
      </c>
      <c r="D254" t="s">
        <v>91</v>
      </c>
      <c r="E254" t="s">
        <v>30</v>
      </c>
      <c r="F254" t="s">
        <v>56</v>
      </c>
      <c r="G254" t="s">
        <v>32</v>
      </c>
      <c r="H254" t="s">
        <v>25</v>
      </c>
      <c r="I254">
        <v>3</v>
      </c>
      <c r="J254">
        <v>12.06</v>
      </c>
      <c r="K254">
        <v>6</v>
      </c>
      <c r="L254">
        <v>436.93</v>
      </c>
      <c r="M254">
        <v>51</v>
      </c>
      <c r="N254" t="s">
        <v>55</v>
      </c>
      <c r="O254">
        <v>37</v>
      </c>
      <c r="P254">
        <v>713</v>
      </c>
      <c r="Q254" s="27" t="str">
        <f>IF(D254=Pivot!$AS$4,R253, "")</f>
        <v/>
      </c>
      <c r="R254" t="s">
        <v>42</v>
      </c>
      <c r="S254" s="5">
        <v>5.19</v>
      </c>
      <c r="T254">
        <v>86.62</v>
      </c>
      <c r="U254">
        <v>371.39</v>
      </c>
      <c r="V254" s="27">
        <f t="shared" si="12"/>
        <v>217.08</v>
      </c>
      <c r="W254">
        <f t="shared" si="13"/>
        <v>808.31999999999994</v>
      </c>
      <c r="X254" s="33" t="str">
        <f t="shared" si="14"/>
        <v>Mid Quality</v>
      </c>
      <c r="Y254" s="27" t="str">
        <f t="shared" si="15"/>
        <v>14</v>
      </c>
    </row>
    <row r="255" spans="1:25" x14ac:dyDescent="0.25">
      <c r="A255" s="1">
        <v>45481</v>
      </c>
      <c r="B255" t="s">
        <v>35</v>
      </c>
      <c r="C255">
        <v>2</v>
      </c>
      <c r="D255" t="s">
        <v>71</v>
      </c>
      <c r="E255" t="s">
        <v>30</v>
      </c>
      <c r="F255" t="s">
        <v>72</v>
      </c>
      <c r="G255" t="s">
        <v>24</v>
      </c>
      <c r="H255" t="s">
        <v>40</v>
      </c>
      <c r="I255">
        <v>4</v>
      </c>
      <c r="J255">
        <v>7.78</v>
      </c>
      <c r="K255">
        <v>6</v>
      </c>
      <c r="L255">
        <v>163.32</v>
      </c>
      <c r="M255">
        <v>8</v>
      </c>
      <c r="N255" t="s">
        <v>26</v>
      </c>
      <c r="O255">
        <v>35</v>
      </c>
      <c r="P255">
        <v>896</v>
      </c>
      <c r="Q255" s="27" t="str">
        <f>IF(D255=Pivot!$AS$4,R254, "")</f>
        <v/>
      </c>
      <c r="R255" t="s">
        <v>57</v>
      </c>
      <c r="S255" s="5">
        <v>3.91</v>
      </c>
      <c r="T255">
        <v>88.18</v>
      </c>
      <c r="U255">
        <v>21.78</v>
      </c>
      <c r="V255" s="27">
        <f t="shared" si="12"/>
        <v>186.72</v>
      </c>
      <c r="W255">
        <f t="shared" si="13"/>
        <v>185.1</v>
      </c>
      <c r="X255" s="33" t="str">
        <f t="shared" si="14"/>
        <v>Mid Quality</v>
      </c>
      <c r="Y255" s="27" t="str">
        <f t="shared" si="15"/>
        <v>8</v>
      </c>
    </row>
    <row r="256" spans="1:25" x14ac:dyDescent="0.25">
      <c r="A256" s="1">
        <v>45332</v>
      </c>
      <c r="B256" t="s">
        <v>50</v>
      </c>
      <c r="C256">
        <v>3</v>
      </c>
      <c r="D256" t="s">
        <v>29</v>
      </c>
      <c r="E256" t="s">
        <v>37</v>
      </c>
      <c r="F256" t="s">
        <v>70</v>
      </c>
      <c r="G256" t="s">
        <v>32</v>
      </c>
      <c r="H256" t="s">
        <v>48</v>
      </c>
      <c r="I256">
        <v>2</v>
      </c>
      <c r="J256">
        <v>4.12</v>
      </c>
      <c r="K256">
        <v>5</v>
      </c>
      <c r="L256">
        <v>491.46</v>
      </c>
      <c r="M256">
        <v>67</v>
      </c>
      <c r="N256" t="s">
        <v>26</v>
      </c>
      <c r="O256">
        <v>9</v>
      </c>
      <c r="P256">
        <v>762</v>
      </c>
      <c r="Q256" s="27" t="str">
        <f>IF(D256=Pivot!$AS$4,R255, "")</f>
        <v/>
      </c>
      <c r="R256" t="s">
        <v>27</v>
      </c>
      <c r="S256" s="5">
        <v>1.18</v>
      </c>
      <c r="T256">
        <v>95.64</v>
      </c>
      <c r="U256">
        <v>548.79999999999995</v>
      </c>
      <c r="V256" s="27">
        <f t="shared" si="12"/>
        <v>41.2</v>
      </c>
      <c r="W256">
        <f t="shared" si="13"/>
        <v>1040.26</v>
      </c>
      <c r="X256" s="33" t="str">
        <f t="shared" si="14"/>
        <v>High Quality</v>
      </c>
      <c r="Y256" s="27" t="str">
        <f t="shared" si="15"/>
        <v>6</v>
      </c>
    </row>
    <row r="257" spans="1:25" x14ac:dyDescent="0.25">
      <c r="A257" s="1">
        <v>45311</v>
      </c>
      <c r="B257" t="s">
        <v>35</v>
      </c>
      <c r="C257">
        <v>1</v>
      </c>
      <c r="D257" t="s">
        <v>43</v>
      </c>
      <c r="E257" t="s">
        <v>37</v>
      </c>
      <c r="F257" t="s">
        <v>89</v>
      </c>
      <c r="G257" t="s">
        <v>39</v>
      </c>
      <c r="H257" t="s">
        <v>48</v>
      </c>
      <c r="I257">
        <v>1</v>
      </c>
      <c r="J257">
        <v>10.57</v>
      </c>
      <c r="K257">
        <v>3</v>
      </c>
      <c r="L257">
        <v>326.17</v>
      </c>
      <c r="M257">
        <v>56</v>
      </c>
      <c r="N257" t="s">
        <v>49</v>
      </c>
      <c r="O257">
        <v>6</v>
      </c>
      <c r="P257">
        <v>722</v>
      </c>
      <c r="Q257" s="27" t="str">
        <f>IF(D257=Pivot!$AS$4,R256, "")</f>
        <v/>
      </c>
      <c r="R257" t="s">
        <v>42</v>
      </c>
      <c r="S257" s="5">
        <v>0.83</v>
      </c>
      <c r="T257">
        <v>97.34</v>
      </c>
      <c r="U257">
        <v>304.43</v>
      </c>
      <c r="V257" s="27">
        <f t="shared" si="12"/>
        <v>31.71</v>
      </c>
      <c r="W257">
        <f t="shared" si="13"/>
        <v>630.6</v>
      </c>
      <c r="X257" s="33" t="str">
        <f t="shared" si="14"/>
        <v>Mid Quality</v>
      </c>
      <c r="Y257" s="27" t="str">
        <f t="shared" si="15"/>
        <v>12</v>
      </c>
    </row>
    <row r="258" spans="1:25" x14ac:dyDescent="0.25">
      <c r="A258" s="1">
        <v>45488</v>
      </c>
      <c r="B258" t="s">
        <v>35</v>
      </c>
      <c r="C258">
        <v>3</v>
      </c>
      <c r="D258" t="s">
        <v>47</v>
      </c>
      <c r="E258" t="s">
        <v>51</v>
      </c>
      <c r="F258" t="s">
        <v>62</v>
      </c>
      <c r="G258" t="s">
        <v>60</v>
      </c>
      <c r="H258" t="s">
        <v>25</v>
      </c>
      <c r="I258">
        <v>3</v>
      </c>
      <c r="J258">
        <v>16.77</v>
      </c>
      <c r="K258">
        <v>5</v>
      </c>
      <c r="L258">
        <v>407.09</v>
      </c>
      <c r="M258">
        <v>14</v>
      </c>
      <c r="N258" t="s">
        <v>45</v>
      </c>
      <c r="O258">
        <v>13</v>
      </c>
      <c r="P258">
        <v>877</v>
      </c>
      <c r="Q258" s="27" t="str">
        <f>IF(D258=Pivot!$AS$4,R257, "")</f>
        <v/>
      </c>
      <c r="R258" t="s">
        <v>57</v>
      </c>
      <c r="S258" s="5">
        <v>1.48</v>
      </c>
      <c r="T258">
        <v>94.04</v>
      </c>
      <c r="U258">
        <v>94.99</v>
      </c>
      <c r="V258" s="27">
        <f t="shared" ref="V258:V321" si="16">K258*I258*J258</f>
        <v>251.54999999999998</v>
      </c>
      <c r="W258">
        <f t="shared" ref="W258:W321" si="17">U258+L258</f>
        <v>502.08</v>
      </c>
      <c r="X258" s="33" t="str">
        <f t="shared" ref="X258:X321" si="18">_xlfn.IFS(J258&lt;6,"High Quality",J258&lt;=15,"Mid Quality",J258&gt;15,"Low Quality")</f>
        <v>Low Quality</v>
      </c>
      <c r="Y258" s="27" t="str">
        <f t="shared" ref="Y258:Y321" si="19">_xlfn.IFS(J258&lt;=0,"0",J258&lt;=2,"2",J258&lt;=4,"4",J258&lt;=6,"6",J258&lt;=8,"8",J258&lt;=10,"10",J258&lt;=12,"12",J258&lt;=14,"14",J258&lt;=16,"16",J258&lt;=16,"16",J258&lt;=18,"18",J258&lt;=20,"20")</f>
        <v>18</v>
      </c>
    </row>
    <row r="259" spans="1:25" x14ac:dyDescent="0.25">
      <c r="A259" s="1">
        <v>45497</v>
      </c>
      <c r="B259" t="s">
        <v>20</v>
      </c>
      <c r="C259">
        <v>3</v>
      </c>
      <c r="D259" t="s">
        <v>36</v>
      </c>
      <c r="E259" t="s">
        <v>22</v>
      </c>
      <c r="F259" t="s">
        <v>73</v>
      </c>
      <c r="G259" t="s">
        <v>24</v>
      </c>
      <c r="H259" t="s">
        <v>25</v>
      </c>
      <c r="I259">
        <v>2</v>
      </c>
      <c r="J259">
        <v>13.62</v>
      </c>
      <c r="K259">
        <v>1</v>
      </c>
      <c r="L259">
        <v>88.52</v>
      </c>
      <c r="M259">
        <v>32</v>
      </c>
      <c r="N259" t="s">
        <v>49</v>
      </c>
      <c r="O259">
        <v>22</v>
      </c>
      <c r="P259">
        <v>702</v>
      </c>
      <c r="Q259" s="27" t="str">
        <f>IF(D259=Pivot!$AS$4,R258, "")</f>
        <v/>
      </c>
      <c r="R259" t="s">
        <v>27</v>
      </c>
      <c r="S259" s="5">
        <v>3.13</v>
      </c>
      <c r="T259">
        <v>91.74</v>
      </c>
      <c r="U259">
        <v>47.21</v>
      </c>
      <c r="V259" s="27">
        <f t="shared" si="16"/>
        <v>27.24</v>
      </c>
      <c r="W259">
        <f t="shared" si="17"/>
        <v>135.72999999999999</v>
      </c>
      <c r="X259" s="33" t="str">
        <f t="shared" si="18"/>
        <v>Mid Quality</v>
      </c>
      <c r="Y259" s="27" t="str">
        <f t="shared" si="19"/>
        <v>14</v>
      </c>
    </row>
    <row r="260" spans="1:25" x14ac:dyDescent="0.25">
      <c r="A260" s="1">
        <v>45558</v>
      </c>
      <c r="B260" t="s">
        <v>20</v>
      </c>
      <c r="C260">
        <v>3</v>
      </c>
      <c r="D260" t="s">
        <v>53</v>
      </c>
      <c r="E260" t="s">
        <v>30</v>
      </c>
      <c r="F260" t="s">
        <v>87</v>
      </c>
      <c r="G260" t="s">
        <v>39</v>
      </c>
      <c r="H260" t="s">
        <v>25</v>
      </c>
      <c r="I260">
        <v>4</v>
      </c>
      <c r="J260">
        <v>7.43</v>
      </c>
      <c r="K260">
        <v>3</v>
      </c>
      <c r="L260">
        <v>132.56</v>
      </c>
      <c r="M260">
        <v>10</v>
      </c>
      <c r="N260" t="s">
        <v>63</v>
      </c>
      <c r="O260">
        <v>28</v>
      </c>
      <c r="P260">
        <v>276</v>
      </c>
      <c r="Q260" s="27" t="str">
        <f>IF(D260=Pivot!$AS$4,R259, "")</f>
        <v/>
      </c>
      <c r="R260" t="s">
        <v>42</v>
      </c>
      <c r="S260" s="5">
        <v>10.14</v>
      </c>
      <c r="T260">
        <v>75.72</v>
      </c>
      <c r="U260">
        <v>22.09</v>
      </c>
      <c r="V260" s="27">
        <f t="shared" si="16"/>
        <v>89.16</v>
      </c>
      <c r="W260">
        <f t="shared" si="17"/>
        <v>154.65</v>
      </c>
      <c r="X260" s="33" t="str">
        <f t="shared" si="18"/>
        <v>Mid Quality</v>
      </c>
      <c r="Y260" s="27" t="str">
        <f t="shared" si="19"/>
        <v>8</v>
      </c>
    </row>
    <row r="261" spans="1:25" x14ac:dyDescent="0.25">
      <c r="A261" s="1">
        <v>45438</v>
      </c>
      <c r="B261" t="s">
        <v>75</v>
      </c>
      <c r="C261">
        <v>3</v>
      </c>
      <c r="D261" t="s">
        <v>36</v>
      </c>
      <c r="E261" t="s">
        <v>22</v>
      </c>
      <c r="F261" t="s">
        <v>73</v>
      </c>
      <c r="G261" t="s">
        <v>39</v>
      </c>
      <c r="H261" t="s">
        <v>40</v>
      </c>
      <c r="I261">
        <v>2</v>
      </c>
      <c r="J261">
        <v>18.77</v>
      </c>
      <c r="K261">
        <v>4</v>
      </c>
      <c r="L261">
        <v>391.28</v>
      </c>
      <c r="M261">
        <v>31</v>
      </c>
      <c r="N261" t="s">
        <v>55</v>
      </c>
      <c r="O261">
        <v>30</v>
      </c>
      <c r="P261">
        <v>548</v>
      </c>
      <c r="Q261" s="27" t="str">
        <f>IF(D261=Pivot!$AS$4,R260, "")</f>
        <v/>
      </c>
      <c r="R261" t="s">
        <v>27</v>
      </c>
      <c r="S261" s="5">
        <v>5.47</v>
      </c>
      <c r="T261">
        <v>87.06</v>
      </c>
      <c r="U261">
        <v>202.16</v>
      </c>
      <c r="V261" s="27">
        <f t="shared" si="16"/>
        <v>150.16</v>
      </c>
      <c r="W261">
        <f t="shared" si="17"/>
        <v>593.43999999999994</v>
      </c>
      <c r="X261" s="33" t="str">
        <f t="shared" si="18"/>
        <v>Low Quality</v>
      </c>
      <c r="Y261" s="27" t="str">
        <f t="shared" si="19"/>
        <v>20</v>
      </c>
    </row>
    <row r="262" spans="1:25" x14ac:dyDescent="0.25">
      <c r="A262" s="1">
        <v>45321</v>
      </c>
      <c r="B262" t="s">
        <v>75</v>
      </c>
      <c r="C262">
        <v>2</v>
      </c>
      <c r="D262" t="s">
        <v>91</v>
      </c>
      <c r="E262" t="s">
        <v>37</v>
      </c>
      <c r="F262" t="s">
        <v>68</v>
      </c>
      <c r="G262" t="s">
        <v>24</v>
      </c>
      <c r="H262" t="s">
        <v>61</v>
      </c>
      <c r="I262">
        <v>5</v>
      </c>
      <c r="J262">
        <v>18.329999999999998</v>
      </c>
      <c r="K262">
        <v>5</v>
      </c>
      <c r="L262">
        <v>59.89</v>
      </c>
      <c r="M262">
        <v>16</v>
      </c>
      <c r="N262" t="s">
        <v>41</v>
      </c>
      <c r="O262">
        <v>36</v>
      </c>
      <c r="P262">
        <v>842</v>
      </c>
      <c r="Q262" s="27" t="str">
        <f>IF(D262=Pivot!$AS$4,R261, "")</f>
        <v/>
      </c>
      <c r="R262" t="s">
        <v>27</v>
      </c>
      <c r="S262" s="5">
        <v>4.28</v>
      </c>
      <c r="T262">
        <v>86.44</v>
      </c>
      <c r="U262">
        <v>15.97</v>
      </c>
      <c r="V262" s="27">
        <f t="shared" si="16"/>
        <v>458.24999999999994</v>
      </c>
      <c r="W262">
        <f t="shared" si="17"/>
        <v>75.86</v>
      </c>
      <c r="X262" s="33" t="str">
        <f t="shared" si="18"/>
        <v>Low Quality</v>
      </c>
      <c r="Y262" s="27" t="str">
        <f t="shared" si="19"/>
        <v>20</v>
      </c>
    </row>
    <row r="263" spans="1:25" x14ac:dyDescent="0.25">
      <c r="A263" s="1">
        <v>45381</v>
      </c>
      <c r="B263" t="s">
        <v>50</v>
      </c>
      <c r="C263">
        <v>1</v>
      </c>
      <c r="D263" t="s">
        <v>79</v>
      </c>
      <c r="E263" t="s">
        <v>37</v>
      </c>
      <c r="F263" t="s">
        <v>62</v>
      </c>
      <c r="G263" t="s">
        <v>39</v>
      </c>
      <c r="H263" t="s">
        <v>25</v>
      </c>
      <c r="I263">
        <v>1</v>
      </c>
      <c r="J263">
        <v>4.9800000000000004</v>
      </c>
      <c r="K263">
        <v>9</v>
      </c>
      <c r="L263">
        <v>417.6</v>
      </c>
      <c r="M263">
        <v>66</v>
      </c>
      <c r="N263" t="s">
        <v>41</v>
      </c>
      <c r="O263">
        <v>2</v>
      </c>
      <c r="P263">
        <v>640</v>
      </c>
      <c r="Q263" s="27" t="str">
        <f>IF(D263=Pivot!$AS$4,R262, "")</f>
        <v/>
      </c>
      <c r="R263" t="s">
        <v>46</v>
      </c>
      <c r="S263" s="5">
        <v>0.31</v>
      </c>
      <c r="T263">
        <v>98.38</v>
      </c>
      <c r="U263">
        <v>459.36</v>
      </c>
      <c r="V263" s="27">
        <f t="shared" si="16"/>
        <v>44.820000000000007</v>
      </c>
      <c r="W263">
        <f t="shared" si="17"/>
        <v>876.96</v>
      </c>
      <c r="X263" s="33" t="str">
        <f t="shared" si="18"/>
        <v>High Quality</v>
      </c>
      <c r="Y263" s="27" t="str">
        <f t="shared" si="19"/>
        <v>6</v>
      </c>
    </row>
    <row r="264" spans="1:25" x14ac:dyDescent="0.25">
      <c r="A264" s="1">
        <v>45545</v>
      </c>
      <c r="B264" t="s">
        <v>75</v>
      </c>
      <c r="C264">
        <v>3</v>
      </c>
      <c r="D264" t="s">
        <v>79</v>
      </c>
      <c r="E264" t="s">
        <v>37</v>
      </c>
      <c r="F264" t="s">
        <v>86</v>
      </c>
      <c r="G264" t="s">
        <v>24</v>
      </c>
      <c r="H264" t="s">
        <v>61</v>
      </c>
      <c r="I264">
        <v>3</v>
      </c>
      <c r="J264">
        <v>1.75</v>
      </c>
      <c r="K264">
        <v>4</v>
      </c>
      <c r="L264">
        <v>56.28</v>
      </c>
      <c r="M264">
        <v>56</v>
      </c>
      <c r="N264" t="s">
        <v>45</v>
      </c>
      <c r="O264">
        <v>36</v>
      </c>
      <c r="P264">
        <v>400</v>
      </c>
      <c r="Q264" s="27" t="str">
        <f>IF(D264=Pivot!$AS$4,R263, "")</f>
        <v/>
      </c>
      <c r="R264" t="s">
        <v>34</v>
      </c>
      <c r="S264" s="5">
        <v>9</v>
      </c>
      <c r="T264">
        <v>79</v>
      </c>
      <c r="U264">
        <v>52.53</v>
      </c>
      <c r="V264" s="27">
        <f t="shared" si="16"/>
        <v>21</v>
      </c>
      <c r="W264">
        <f t="shared" si="17"/>
        <v>108.81</v>
      </c>
      <c r="X264" s="33" t="str">
        <f t="shared" si="18"/>
        <v>High Quality</v>
      </c>
      <c r="Y264" s="27" t="str">
        <f t="shared" si="19"/>
        <v>2</v>
      </c>
    </row>
    <row r="265" spans="1:25" x14ac:dyDescent="0.25">
      <c r="A265" s="1">
        <v>45516</v>
      </c>
      <c r="B265" t="s">
        <v>35</v>
      </c>
      <c r="C265">
        <v>2</v>
      </c>
      <c r="D265" t="s">
        <v>64</v>
      </c>
      <c r="E265" t="s">
        <v>22</v>
      </c>
      <c r="F265" t="s">
        <v>86</v>
      </c>
      <c r="G265" t="s">
        <v>24</v>
      </c>
      <c r="H265" t="s">
        <v>40</v>
      </c>
      <c r="I265">
        <v>5</v>
      </c>
      <c r="J265">
        <v>15.08</v>
      </c>
      <c r="K265">
        <v>3</v>
      </c>
      <c r="L265">
        <v>345.7</v>
      </c>
      <c r="M265">
        <v>52</v>
      </c>
      <c r="N265" t="s">
        <v>45</v>
      </c>
      <c r="O265">
        <v>8</v>
      </c>
      <c r="P265">
        <v>806</v>
      </c>
      <c r="Q265" s="27" t="str">
        <f>IF(D265=Pivot!$AS$4,R264, "")</f>
        <v/>
      </c>
      <c r="R265" t="s">
        <v>46</v>
      </c>
      <c r="S265" s="5">
        <v>0.99</v>
      </c>
      <c r="T265">
        <v>93.02</v>
      </c>
      <c r="U265">
        <v>299.61</v>
      </c>
      <c r="V265" s="27">
        <f t="shared" si="16"/>
        <v>226.2</v>
      </c>
      <c r="W265">
        <f t="shared" si="17"/>
        <v>645.30999999999995</v>
      </c>
      <c r="X265" s="33" t="str">
        <f t="shared" si="18"/>
        <v>Low Quality</v>
      </c>
      <c r="Y265" s="27" t="str">
        <f t="shared" si="19"/>
        <v>16</v>
      </c>
    </row>
    <row r="266" spans="1:25" x14ac:dyDescent="0.25">
      <c r="A266" s="1">
        <v>45297</v>
      </c>
      <c r="B266" t="s">
        <v>20</v>
      </c>
      <c r="C266">
        <v>1</v>
      </c>
      <c r="D266" t="s">
        <v>36</v>
      </c>
      <c r="E266" t="s">
        <v>37</v>
      </c>
      <c r="F266" t="s">
        <v>31</v>
      </c>
      <c r="G266" t="s">
        <v>52</v>
      </c>
      <c r="H266" t="s">
        <v>61</v>
      </c>
      <c r="I266">
        <v>4</v>
      </c>
      <c r="J266">
        <v>16.72</v>
      </c>
      <c r="K266">
        <v>1</v>
      </c>
      <c r="L266">
        <v>214.29</v>
      </c>
      <c r="M266">
        <v>71</v>
      </c>
      <c r="N266" t="s">
        <v>41</v>
      </c>
      <c r="O266">
        <v>45</v>
      </c>
      <c r="P266">
        <v>406</v>
      </c>
      <c r="Q266" s="27" t="str">
        <f>IF(D266=Pivot!$AS$4,R265, "")</f>
        <v/>
      </c>
      <c r="R266" t="s">
        <v>27</v>
      </c>
      <c r="S266" s="5">
        <v>11.08</v>
      </c>
      <c r="T266">
        <v>73.84</v>
      </c>
      <c r="U266">
        <v>253.58</v>
      </c>
      <c r="V266" s="27">
        <f t="shared" si="16"/>
        <v>66.88</v>
      </c>
      <c r="W266">
        <f t="shared" si="17"/>
        <v>467.87</v>
      </c>
      <c r="X266" s="33" t="str">
        <f t="shared" si="18"/>
        <v>Low Quality</v>
      </c>
      <c r="Y266" s="27" t="str">
        <f t="shared" si="19"/>
        <v>18</v>
      </c>
    </row>
    <row r="267" spans="1:25" x14ac:dyDescent="0.25">
      <c r="A267" s="1">
        <v>45395</v>
      </c>
      <c r="B267" t="s">
        <v>75</v>
      </c>
      <c r="C267">
        <v>1</v>
      </c>
      <c r="D267" t="s">
        <v>58</v>
      </c>
      <c r="E267" t="s">
        <v>51</v>
      </c>
      <c r="F267" t="s">
        <v>69</v>
      </c>
      <c r="G267" t="s">
        <v>32</v>
      </c>
      <c r="H267" t="s">
        <v>33</v>
      </c>
      <c r="I267">
        <v>5</v>
      </c>
      <c r="J267">
        <v>19.39</v>
      </c>
      <c r="K267">
        <v>6</v>
      </c>
      <c r="L267">
        <v>325.17</v>
      </c>
      <c r="M267">
        <v>50</v>
      </c>
      <c r="N267" t="s">
        <v>45</v>
      </c>
      <c r="O267">
        <v>42</v>
      </c>
      <c r="P267">
        <v>850</v>
      </c>
      <c r="Q267" s="27" t="str">
        <f>IF(D267=Pivot!$AS$4,R266, "")</f>
        <v/>
      </c>
      <c r="R267" t="s">
        <v>57</v>
      </c>
      <c r="S267" s="5">
        <v>4.9400000000000004</v>
      </c>
      <c r="T267">
        <v>85.12</v>
      </c>
      <c r="U267">
        <v>270.98</v>
      </c>
      <c r="V267" s="27">
        <f t="shared" si="16"/>
        <v>581.70000000000005</v>
      </c>
      <c r="W267">
        <f t="shared" si="17"/>
        <v>596.15000000000009</v>
      </c>
      <c r="X267" s="33" t="str">
        <f t="shared" si="18"/>
        <v>Low Quality</v>
      </c>
      <c r="Y267" s="27" t="str">
        <f t="shared" si="19"/>
        <v>20</v>
      </c>
    </row>
    <row r="268" spans="1:25" x14ac:dyDescent="0.25">
      <c r="A268" s="1">
        <v>45557</v>
      </c>
      <c r="B268" t="s">
        <v>75</v>
      </c>
      <c r="C268">
        <v>1</v>
      </c>
      <c r="D268" t="s">
        <v>79</v>
      </c>
      <c r="E268" t="s">
        <v>37</v>
      </c>
      <c r="F268" t="s">
        <v>23</v>
      </c>
      <c r="G268" t="s">
        <v>39</v>
      </c>
      <c r="H268" t="s">
        <v>61</v>
      </c>
      <c r="I268">
        <v>5</v>
      </c>
      <c r="J268">
        <v>17.91</v>
      </c>
      <c r="K268">
        <v>7</v>
      </c>
      <c r="L268">
        <v>363.21</v>
      </c>
      <c r="M268">
        <v>78</v>
      </c>
      <c r="N268" t="s">
        <v>55</v>
      </c>
      <c r="O268">
        <v>9</v>
      </c>
      <c r="P268">
        <v>968</v>
      </c>
      <c r="Q268" s="27" t="str">
        <f>IF(D268=Pivot!$AS$4,R267, "")</f>
        <v/>
      </c>
      <c r="R268" t="s">
        <v>42</v>
      </c>
      <c r="S268" s="5">
        <v>0.93</v>
      </c>
      <c r="T268">
        <v>93.14</v>
      </c>
      <c r="U268">
        <v>472.17</v>
      </c>
      <c r="V268" s="27">
        <f t="shared" si="16"/>
        <v>626.85</v>
      </c>
      <c r="W268">
        <f t="shared" si="17"/>
        <v>835.38</v>
      </c>
      <c r="X268" s="33" t="str">
        <f t="shared" si="18"/>
        <v>Low Quality</v>
      </c>
      <c r="Y268" s="27" t="str">
        <f t="shared" si="19"/>
        <v>18</v>
      </c>
    </row>
    <row r="269" spans="1:25" x14ac:dyDescent="0.25">
      <c r="A269" s="1">
        <v>45438</v>
      </c>
      <c r="B269" t="s">
        <v>50</v>
      </c>
      <c r="C269">
        <v>1</v>
      </c>
      <c r="D269" t="s">
        <v>64</v>
      </c>
      <c r="E269" t="s">
        <v>67</v>
      </c>
      <c r="F269" t="s">
        <v>23</v>
      </c>
      <c r="G269" t="s">
        <v>39</v>
      </c>
      <c r="H269" t="s">
        <v>25</v>
      </c>
      <c r="I269">
        <v>4</v>
      </c>
      <c r="J269">
        <v>12.41</v>
      </c>
      <c r="K269">
        <v>8</v>
      </c>
      <c r="L269">
        <v>204.11</v>
      </c>
      <c r="M269">
        <v>19</v>
      </c>
      <c r="N269" t="s">
        <v>63</v>
      </c>
      <c r="O269">
        <v>1</v>
      </c>
      <c r="P269">
        <v>995</v>
      </c>
      <c r="Q269" s="27" t="str">
        <f>IF(D269=Pivot!$AS$4,R268, "")</f>
        <v/>
      </c>
      <c r="R269" t="s">
        <v>34</v>
      </c>
      <c r="S269" s="5">
        <v>0.1</v>
      </c>
      <c r="T269">
        <v>95.8</v>
      </c>
      <c r="U269">
        <v>64.63</v>
      </c>
      <c r="V269" s="27">
        <f t="shared" si="16"/>
        <v>397.12</v>
      </c>
      <c r="W269">
        <f t="shared" si="17"/>
        <v>268.74</v>
      </c>
      <c r="X269" s="33" t="str">
        <f t="shared" si="18"/>
        <v>Mid Quality</v>
      </c>
      <c r="Y269" s="27" t="str">
        <f t="shared" si="19"/>
        <v>14</v>
      </c>
    </row>
    <row r="270" spans="1:25" x14ac:dyDescent="0.25">
      <c r="A270" s="1">
        <v>45391</v>
      </c>
      <c r="B270" t="s">
        <v>65</v>
      </c>
      <c r="C270">
        <v>3</v>
      </c>
      <c r="D270" t="s">
        <v>53</v>
      </c>
      <c r="E270" t="s">
        <v>22</v>
      </c>
      <c r="F270" t="s">
        <v>56</v>
      </c>
      <c r="G270" t="s">
        <v>52</v>
      </c>
      <c r="H270" t="s">
        <v>40</v>
      </c>
      <c r="I270">
        <v>5</v>
      </c>
      <c r="J270">
        <v>11.07</v>
      </c>
      <c r="K270">
        <v>1</v>
      </c>
      <c r="L270">
        <v>98.58</v>
      </c>
      <c r="M270">
        <v>75</v>
      </c>
      <c r="N270" t="s">
        <v>63</v>
      </c>
      <c r="O270">
        <v>13</v>
      </c>
      <c r="P270">
        <v>366</v>
      </c>
      <c r="Q270" s="27" t="str">
        <f>IF(D270=Pivot!$AS$4,R269, "")</f>
        <v/>
      </c>
      <c r="R270" t="s">
        <v>42</v>
      </c>
      <c r="S270" s="5">
        <v>3.55</v>
      </c>
      <c r="T270">
        <v>87.9</v>
      </c>
      <c r="U270">
        <v>123.22</v>
      </c>
      <c r="V270" s="27">
        <f t="shared" si="16"/>
        <v>55.35</v>
      </c>
      <c r="W270">
        <f t="shared" si="17"/>
        <v>221.8</v>
      </c>
      <c r="X270" s="33" t="str">
        <f t="shared" si="18"/>
        <v>Mid Quality</v>
      </c>
      <c r="Y270" s="27" t="str">
        <f t="shared" si="19"/>
        <v>12</v>
      </c>
    </row>
    <row r="271" spans="1:25" x14ac:dyDescent="0.25">
      <c r="A271" s="1">
        <v>45309</v>
      </c>
      <c r="B271" t="s">
        <v>50</v>
      </c>
      <c r="C271">
        <v>3</v>
      </c>
      <c r="D271" t="s">
        <v>58</v>
      </c>
      <c r="E271" t="s">
        <v>67</v>
      </c>
      <c r="F271" t="s">
        <v>72</v>
      </c>
      <c r="G271" t="s">
        <v>52</v>
      </c>
      <c r="H271" t="s">
        <v>25</v>
      </c>
      <c r="I271">
        <v>3</v>
      </c>
      <c r="J271">
        <v>1.53</v>
      </c>
      <c r="K271">
        <v>4</v>
      </c>
      <c r="L271">
        <v>81.34</v>
      </c>
      <c r="M271">
        <v>40</v>
      </c>
      <c r="N271" t="s">
        <v>49</v>
      </c>
      <c r="O271">
        <v>15</v>
      </c>
      <c r="P271">
        <v>313</v>
      </c>
      <c r="Q271" s="27" t="str">
        <f>IF(D271=Pivot!$AS$4,R270, "")</f>
        <v/>
      </c>
      <c r="R271" t="s">
        <v>57</v>
      </c>
      <c r="S271" s="5">
        <v>4.79</v>
      </c>
      <c r="T271">
        <v>87.42</v>
      </c>
      <c r="U271">
        <v>54.23</v>
      </c>
      <c r="V271" s="27">
        <f t="shared" si="16"/>
        <v>18.36</v>
      </c>
      <c r="W271">
        <f t="shared" si="17"/>
        <v>135.57</v>
      </c>
      <c r="X271" s="33" t="str">
        <f t="shared" si="18"/>
        <v>High Quality</v>
      </c>
      <c r="Y271" s="27" t="str">
        <f t="shared" si="19"/>
        <v>2</v>
      </c>
    </row>
    <row r="272" spans="1:25" x14ac:dyDescent="0.25">
      <c r="A272" s="1">
        <v>45553</v>
      </c>
      <c r="B272" t="s">
        <v>35</v>
      </c>
      <c r="C272">
        <v>2</v>
      </c>
      <c r="D272" t="s">
        <v>88</v>
      </c>
      <c r="E272" t="s">
        <v>37</v>
      </c>
      <c r="F272" t="s">
        <v>81</v>
      </c>
      <c r="G272" t="s">
        <v>52</v>
      </c>
      <c r="H272" t="s">
        <v>33</v>
      </c>
      <c r="I272">
        <v>2</v>
      </c>
      <c r="J272">
        <v>5.69</v>
      </c>
      <c r="K272">
        <v>5</v>
      </c>
      <c r="L272">
        <v>315.02</v>
      </c>
      <c r="M272">
        <v>18</v>
      </c>
      <c r="N272" t="s">
        <v>55</v>
      </c>
      <c r="O272">
        <v>32</v>
      </c>
      <c r="P272">
        <v>693</v>
      </c>
      <c r="Q272" s="27" t="str">
        <f>IF(D272=Pivot!$AS$4,R271, "")</f>
        <v/>
      </c>
      <c r="R272" t="s">
        <v>34</v>
      </c>
      <c r="S272" s="5">
        <v>4.62</v>
      </c>
      <c r="T272">
        <v>88.76</v>
      </c>
      <c r="U272">
        <v>94.51</v>
      </c>
      <c r="V272" s="27">
        <f t="shared" si="16"/>
        <v>56.900000000000006</v>
      </c>
      <c r="W272">
        <f t="shared" si="17"/>
        <v>409.53</v>
      </c>
      <c r="X272" s="33" t="str">
        <f t="shared" si="18"/>
        <v>High Quality</v>
      </c>
      <c r="Y272" s="27" t="str">
        <f t="shared" si="19"/>
        <v>6</v>
      </c>
    </row>
    <row r="273" spans="1:25" x14ac:dyDescent="0.25">
      <c r="A273" s="1">
        <v>45556</v>
      </c>
      <c r="B273" t="s">
        <v>20</v>
      </c>
      <c r="C273">
        <v>2</v>
      </c>
      <c r="D273" t="s">
        <v>29</v>
      </c>
      <c r="E273" t="s">
        <v>51</v>
      </c>
      <c r="F273" t="s">
        <v>68</v>
      </c>
      <c r="G273" t="s">
        <v>60</v>
      </c>
      <c r="H273" t="s">
        <v>25</v>
      </c>
      <c r="I273">
        <v>5</v>
      </c>
      <c r="J273">
        <v>9.73</v>
      </c>
      <c r="K273">
        <v>2</v>
      </c>
      <c r="L273">
        <v>284.29000000000002</v>
      </c>
      <c r="M273">
        <v>82</v>
      </c>
      <c r="N273" t="s">
        <v>45</v>
      </c>
      <c r="O273">
        <v>34</v>
      </c>
      <c r="P273">
        <v>739</v>
      </c>
      <c r="Q273" s="27" t="str">
        <f>IF(D273=Pivot!$AS$4,R272, "")</f>
        <v/>
      </c>
      <c r="R273" t="s">
        <v>46</v>
      </c>
      <c r="S273" s="5">
        <v>4.5999999999999996</v>
      </c>
      <c r="T273">
        <v>85.8</v>
      </c>
      <c r="U273">
        <v>388.53</v>
      </c>
      <c r="V273" s="27">
        <f t="shared" si="16"/>
        <v>97.300000000000011</v>
      </c>
      <c r="W273">
        <f t="shared" si="17"/>
        <v>672.81999999999994</v>
      </c>
      <c r="X273" s="33" t="str">
        <f t="shared" si="18"/>
        <v>Mid Quality</v>
      </c>
      <c r="Y273" s="27" t="str">
        <f t="shared" si="19"/>
        <v>10</v>
      </c>
    </row>
    <row r="274" spans="1:25" x14ac:dyDescent="0.25">
      <c r="A274" s="1">
        <v>45410</v>
      </c>
      <c r="B274" t="s">
        <v>50</v>
      </c>
      <c r="C274">
        <v>2</v>
      </c>
      <c r="D274" t="s">
        <v>64</v>
      </c>
      <c r="E274" t="s">
        <v>30</v>
      </c>
      <c r="F274" t="s">
        <v>90</v>
      </c>
      <c r="G274" t="s">
        <v>60</v>
      </c>
      <c r="H274" t="s">
        <v>25</v>
      </c>
      <c r="I274">
        <v>3</v>
      </c>
      <c r="J274">
        <v>12.94</v>
      </c>
      <c r="K274">
        <v>1</v>
      </c>
      <c r="L274">
        <v>383.99</v>
      </c>
      <c r="M274">
        <v>7</v>
      </c>
      <c r="N274" t="s">
        <v>45</v>
      </c>
      <c r="O274">
        <v>43</v>
      </c>
      <c r="P274">
        <v>582</v>
      </c>
      <c r="Q274" s="27" t="str">
        <f>IF(D274=Pivot!$AS$4,R273, "")</f>
        <v/>
      </c>
      <c r="R274" t="s">
        <v>27</v>
      </c>
      <c r="S274" s="5">
        <v>7.39</v>
      </c>
      <c r="T274">
        <v>82.22</v>
      </c>
      <c r="U274">
        <v>44.8</v>
      </c>
      <c r="V274" s="27">
        <f t="shared" si="16"/>
        <v>38.82</v>
      </c>
      <c r="W274">
        <f t="shared" si="17"/>
        <v>428.79</v>
      </c>
      <c r="X274" s="33" t="str">
        <f t="shared" si="18"/>
        <v>Mid Quality</v>
      </c>
      <c r="Y274" s="27" t="str">
        <f t="shared" si="19"/>
        <v>14</v>
      </c>
    </row>
    <row r="275" spans="1:25" x14ac:dyDescent="0.25">
      <c r="A275" s="1">
        <v>45378</v>
      </c>
      <c r="B275" t="s">
        <v>75</v>
      </c>
      <c r="C275">
        <v>1</v>
      </c>
      <c r="D275" t="s">
        <v>91</v>
      </c>
      <c r="E275" t="s">
        <v>37</v>
      </c>
      <c r="F275" t="s">
        <v>72</v>
      </c>
      <c r="G275" t="s">
        <v>60</v>
      </c>
      <c r="H275" t="s">
        <v>25</v>
      </c>
      <c r="I275">
        <v>2</v>
      </c>
      <c r="J275">
        <v>11.59</v>
      </c>
      <c r="K275">
        <v>8</v>
      </c>
      <c r="L275">
        <v>279.38</v>
      </c>
      <c r="M275">
        <v>71</v>
      </c>
      <c r="N275" t="s">
        <v>49</v>
      </c>
      <c r="O275">
        <v>31</v>
      </c>
      <c r="P275">
        <v>361</v>
      </c>
      <c r="Q275" s="27" t="str">
        <f>IF(D275=Pivot!$AS$4,R274, "")</f>
        <v/>
      </c>
      <c r="R275" t="s">
        <v>57</v>
      </c>
      <c r="S275" s="5">
        <v>8.59</v>
      </c>
      <c r="T275">
        <v>80.819999999999993</v>
      </c>
      <c r="U275">
        <v>330.6</v>
      </c>
      <c r="V275" s="27">
        <f t="shared" si="16"/>
        <v>185.44</v>
      </c>
      <c r="W275">
        <f t="shared" si="17"/>
        <v>609.98</v>
      </c>
      <c r="X275" s="33" t="str">
        <f t="shared" si="18"/>
        <v>Mid Quality</v>
      </c>
      <c r="Y275" s="27" t="str">
        <f t="shared" si="19"/>
        <v>12</v>
      </c>
    </row>
    <row r="276" spans="1:25" x14ac:dyDescent="0.25">
      <c r="A276" s="1">
        <v>45310</v>
      </c>
      <c r="B276" t="s">
        <v>20</v>
      </c>
      <c r="C276">
        <v>1</v>
      </c>
      <c r="D276" t="s">
        <v>85</v>
      </c>
      <c r="E276" t="s">
        <v>51</v>
      </c>
      <c r="F276" t="s">
        <v>62</v>
      </c>
      <c r="G276" t="s">
        <v>24</v>
      </c>
      <c r="H276" t="s">
        <v>48</v>
      </c>
      <c r="I276">
        <v>2</v>
      </c>
      <c r="J276">
        <v>15.11</v>
      </c>
      <c r="K276">
        <v>6</v>
      </c>
      <c r="L276">
        <v>240.1</v>
      </c>
      <c r="M276">
        <v>23</v>
      </c>
      <c r="N276" t="s">
        <v>49</v>
      </c>
      <c r="O276">
        <v>14</v>
      </c>
      <c r="P276">
        <v>166</v>
      </c>
      <c r="Q276" s="27" t="str">
        <f>IF(D276=Pivot!$AS$4,R275, "")</f>
        <v/>
      </c>
      <c r="R276" t="s">
        <v>27</v>
      </c>
      <c r="S276" s="5">
        <v>8.43</v>
      </c>
      <c r="T276">
        <v>81.14</v>
      </c>
      <c r="U276">
        <v>92.04</v>
      </c>
      <c r="V276" s="27">
        <f t="shared" si="16"/>
        <v>181.32</v>
      </c>
      <c r="W276">
        <f t="shared" si="17"/>
        <v>332.14</v>
      </c>
      <c r="X276" s="33" t="str">
        <f t="shared" si="18"/>
        <v>Low Quality</v>
      </c>
      <c r="Y276" s="27" t="str">
        <f t="shared" si="19"/>
        <v>16</v>
      </c>
    </row>
    <row r="277" spans="1:25" x14ac:dyDescent="0.25">
      <c r="A277" s="1">
        <v>45476</v>
      </c>
      <c r="B277" t="s">
        <v>20</v>
      </c>
      <c r="C277">
        <v>3</v>
      </c>
      <c r="D277" t="s">
        <v>29</v>
      </c>
      <c r="E277" t="s">
        <v>22</v>
      </c>
      <c r="F277" t="s">
        <v>86</v>
      </c>
      <c r="G277" t="s">
        <v>39</v>
      </c>
      <c r="H277" t="s">
        <v>33</v>
      </c>
      <c r="I277">
        <v>5</v>
      </c>
      <c r="J277">
        <v>6.32</v>
      </c>
      <c r="K277">
        <v>5</v>
      </c>
      <c r="L277">
        <v>229.14</v>
      </c>
      <c r="M277">
        <v>80</v>
      </c>
      <c r="N277" t="s">
        <v>45</v>
      </c>
      <c r="O277">
        <v>47</v>
      </c>
      <c r="P277">
        <v>673</v>
      </c>
      <c r="Q277" s="27" t="str">
        <f>IF(D277=Pivot!$AS$4,R276, "")</f>
        <v/>
      </c>
      <c r="R277" t="s">
        <v>27</v>
      </c>
      <c r="S277" s="5">
        <v>6.98</v>
      </c>
      <c r="T277">
        <v>81.040000000000006</v>
      </c>
      <c r="U277">
        <v>305.52</v>
      </c>
      <c r="V277" s="27">
        <f t="shared" si="16"/>
        <v>158</v>
      </c>
      <c r="W277">
        <f t="shared" si="17"/>
        <v>534.66</v>
      </c>
      <c r="X277" s="33" t="str">
        <f t="shared" si="18"/>
        <v>Mid Quality</v>
      </c>
      <c r="Y277" s="27" t="str">
        <f t="shared" si="19"/>
        <v>8</v>
      </c>
    </row>
    <row r="278" spans="1:25" x14ac:dyDescent="0.25">
      <c r="A278" s="1">
        <v>45414</v>
      </c>
      <c r="B278" t="s">
        <v>75</v>
      </c>
      <c r="C278">
        <v>1</v>
      </c>
      <c r="D278" t="s">
        <v>79</v>
      </c>
      <c r="E278" t="s">
        <v>67</v>
      </c>
      <c r="F278" t="s">
        <v>69</v>
      </c>
      <c r="G278" t="s">
        <v>32</v>
      </c>
      <c r="H278" t="s">
        <v>25</v>
      </c>
      <c r="I278">
        <v>3</v>
      </c>
      <c r="J278">
        <v>11.73</v>
      </c>
      <c r="K278">
        <v>9</v>
      </c>
      <c r="L278">
        <v>61.9</v>
      </c>
      <c r="M278">
        <v>58</v>
      </c>
      <c r="N278" t="s">
        <v>45</v>
      </c>
      <c r="O278">
        <v>14</v>
      </c>
      <c r="P278">
        <v>232</v>
      </c>
      <c r="Q278" s="27" t="str">
        <f>IF(D278=Pivot!$AS$4,R277, "")</f>
        <v/>
      </c>
      <c r="R278" t="s">
        <v>42</v>
      </c>
      <c r="S278" s="5">
        <v>6.03</v>
      </c>
      <c r="T278">
        <v>84.94</v>
      </c>
      <c r="U278">
        <v>59.84</v>
      </c>
      <c r="V278" s="27">
        <f t="shared" si="16"/>
        <v>316.71000000000004</v>
      </c>
      <c r="W278">
        <f t="shared" si="17"/>
        <v>121.74000000000001</v>
      </c>
      <c r="X278" s="33" t="str">
        <f t="shared" si="18"/>
        <v>Mid Quality</v>
      </c>
      <c r="Y278" s="27" t="str">
        <f t="shared" si="19"/>
        <v>12</v>
      </c>
    </row>
    <row r="279" spans="1:25" x14ac:dyDescent="0.25">
      <c r="A279" s="1">
        <v>45292</v>
      </c>
      <c r="B279" t="s">
        <v>50</v>
      </c>
      <c r="C279">
        <v>1</v>
      </c>
      <c r="D279" t="s">
        <v>77</v>
      </c>
      <c r="E279" t="s">
        <v>67</v>
      </c>
      <c r="F279" t="s">
        <v>70</v>
      </c>
      <c r="G279" t="s">
        <v>24</v>
      </c>
      <c r="H279" t="s">
        <v>25</v>
      </c>
      <c r="I279">
        <v>5</v>
      </c>
      <c r="J279">
        <v>2.67</v>
      </c>
      <c r="K279">
        <v>2</v>
      </c>
      <c r="L279">
        <v>201</v>
      </c>
      <c r="M279">
        <v>73</v>
      </c>
      <c r="N279" t="s">
        <v>55</v>
      </c>
      <c r="O279">
        <v>48</v>
      </c>
      <c r="P279">
        <v>748</v>
      </c>
      <c r="Q279" s="27" t="str">
        <f>IF(D279=Pivot!$AS$4,R278, "")</f>
        <v/>
      </c>
      <c r="R279" t="s">
        <v>57</v>
      </c>
      <c r="S279" s="5">
        <v>6.42</v>
      </c>
      <c r="T279">
        <v>82.16</v>
      </c>
      <c r="U279">
        <v>244.55</v>
      </c>
      <c r="V279" s="27">
        <f t="shared" si="16"/>
        <v>26.7</v>
      </c>
      <c r="W279">
        <f t="shared" si="17"/>
        <v>445.55</v>
      </c>
      <c r="X279" s="33" t="str">
        <f t="shared" si="18"/>
        <v>High Quality</v>
      </c>
      <c r="Y279" s="27" t="str">
        <f t="shared" si="19"/>
        <v>4</v>
      </c>
    </row>
    <row r="280" spans="1:25" x14ac:dyDescent="0.25">
      <c r="A280" s="1">
        <v>45372</v>
      </c>
      <c r="B280" t="s">
        <v>75</v>
      </c>
      <c r="C280">
        <v>1</v>
      </c>
      <c r="D280" t="s">
        <v>66</v>
      </c>
      <c r="E280" t="s">
        <v>67</v>
      </c>
      <c r="F280" t="s">
        <v>54</v>
      </c>
      <c r="G280" t="s">
        <v>39</v>
      </c>
      <c r="H280" t="s">
        <v>25</v>
      </c>
      <c r="I280">
        <v>4</v>
      </c>
      <c r="J280">
        <v>8.86</v>
      </c>
      <c r="K280">
        <v>8</v>
      </c>
      <c r="L280">
        <v>489.21</v>
      </c>
      <c r="M280">
        <v>14</v>
      </c>
      <c r="N280" t="s">
        <v>49</v>
      </c>
      <c r="O280">
        <v>29</v>
      </c>
      <c r="P280">
        <v>639</v>
      </c>
      <c r="Q280" s="27" t="str">
        <f>IF(D280=Pivot!$AS$4,R279, "")</f>
        <v/>
      </c>
      <c r="R280" t="s">
        <v>27</v>
      </c>
      <c r="S280" s="5">
        <v>4.54</v>
      </c>
      <c r="T280">
        <v>86.92</v>
      </c>
      <c r="U280">
        <v>114.15</v>
      </c>
      <c r="V280" s="27">
        <f t="shared" si="16"/>
        <v>283.52</v>
      </c>
      <c r="W280">
        <f t="shared" si="17"/>
        <v>603.36</v>
      </c>
      <c r="X280" s="33" t="str">
        <f t="shared" si="18"/>
        <v>Mid Quality</v>
      </c>
      <c r="Y280" s="27" t="str">
        <f t="shared" si="19"/>
        <v>10</v>
      </c>
    </row>
    <row r="281" spans="1:25" x14ac:dyDescent="0.25">
      <c r="A281" s="1">
        <v>45336</v>
      </c>
      <c r="B281" t="s">
        <v>65</v>
      </c>
      <c r="C281">
        <v>2</v>
      </c>
      <c r="D281" t="s">
        <v>91</v>
      </c>
      <c r="E281" t="s">
        <v>22</v>
      </c>
      <c r="F281" t="s">
        <v>78</v>
      </c>
      <c r="G281" t="s">
        <v>39</v>
      </c>
      <c r="H281" t="s">
        <v>40</v>
      </c>
      <c r="I281">
        <v>2</v>
      </c>
      <c r="J281">
        <v>15.25</v>
      </c>
      <c r="K281">
        <v>9</v>
      </c>
      <c r="L281">
        <v>443.1</v>
      </c>
      <c r="M281">
        <v>37</v>
      </c>
      <c r="N281" t="s">
        <v>55</v>
      </c>
      <c r="O281">
        <v>47</v>
      </c>
      <c r="P281">
        <v>611</v>
      </c>
      <c r="Q281" s="27" t="str">
        <f>IF(D281=Pivot!$AS$4,R280, "")</f>
        <v/>
      </c>
      <c r="R281" t="s">
        <v>46</v>
      </c>
      <c r="S281" s="5">
        <v>7.69</v>
      </c>
      <c r="T281">
        <v>82.62</v>
      </c>
      <c r="U281">
        <v>273.24</v>
      </c>
      <c r="V281" s="27">
        <f t="shared" si="16"/>
        <v>274.5</v>
      </c>
      <c r="W281">
        <f t="shared" si="17"/>
        <v>716.34</v>
      </c>
      <c r="X281" s="33" t="str">
        <f t="shared" si="18"/>
        <v>Low Quality</v>
      </c>
      <c r="Y281" s="27" t="str">
        <f t="shared" si="19"/>
        <v>16</v>
      </c>
    </row>
    <row r="282" spans="1:25" x14ac:dyDescent="0.25">
      <c r="A282" s="1">
        <v>45433</v>
      </c>
      <c r="B282" t="s">
        <v>20</v>
      </c>
      <c r="C282">
        <v>2</v>
      </c>
      <c r="D282" t="s">
        <v>21</v>
      </c>
      <c r="E282" t="s">
        <v>51</v>
      </c>
      <c r="F282" t="s">
        <v>68</v>
      </c>
      <c r="G282" t="s">
        <v>52</v>
      </c>
      <c r="H282" t="s">
        <v>48</v>
      </c>
      <c r="I282">
        <v>5</v>
      </c>
      <c r="J282">
        <v>14.17</v>
      </c>
      <c r="K282">
        <v>1</v>
      </c>
      <c r="L282">
        <v>198.22</v>
      </c>
      <c r="M282">
        <v>17</v>
      </c>
      <c r="N282" t="s">
        <v>26</v>
      </c>
      <c r="O282">
        <v>19</v>
      </c>
      <c r="P282">
        <v>310</v>
      </c>
      <c r="Q282" s="27" t="str">
        <f>IF(D282=Pivot!$AS$4,R281, "")</f>
        <v/>
      </c>
      <c r="R282" t="s">
        <v>34</v>
      </c>
      <c r="S282" s="5">
        <v>6.13</v>
      </c>
      <c r="T282">
        <v>82.74</v>
      </c>
      <c r="U282">
        <v>56.16</v>
      </c>
      <c r="V282" s="27">
        <f t="shared" si="16"/>
        <v>70.849999999999994</v>
      </c>
      <c r="W282">
        <f t="shared" si="17"/>
        <v>254.38</v>
      </c>
      <c r="X282" s="33" t="str">
        <f t="shared" si="18"/>
        <v>Mid Quality</v>
      </c>
      <c r="Y282" s="27" t="str">
        <f t="shared" si="19"/>
        <v>16</v>
      </c>
    </row>
    <row r="283" spans="1:25" x14ac:dyDescent="0.25">
      <c r="A283" s="1">
        <v>45496</v>
      </c>
      <c r="B283" t="s">
        <v>28</v>
      </c>
      <c r="C283">
        <v>3</v>
      </c>
      <c r="D283" t="s">
        <v>64</v>
      </c>
      <c r="E283" t="s">
        <v>22</v>
      </c>
      <c r="F283" t="s">
        <v>23</v>
      </c>
      <c r="G283" t="s">
        <v>52</v>
      </c>
      <c r="H283" t="s">
        <v>40</v>
      </c>
      <c r="I283">
        <v>2</v>
      </c>
      <c r="J283">
        <v>19.82</v>
      </c>
      <c r="K283">
        <v>7</v>
      </c>
      <c r="L283">
        <v>314.51</v>
      </c>
      <c r="M283">
        <v>55</v>
      </c>
      <c r="N283" t="s">
        <v>45</v>
      </c>
      <c r="O283">
        <v>27</v>
      </c>
      <c r="P283">
        <v>816</v>
      </c>
      <c r="Q283" s="27" t="str">
        <f>IF(D283=Pivot!$AS$4,R282, "")</f>
        <v/>
      </c>
      <c r="R283" t="s">
        <v>57</v>
      </c>
      <c r="S283" s="5">
        <v>3.31</v>
      </c>
      <c r="T283">
        <v>91.38</v>
      </c>
      <c r="U283">
        <v>288.3</v>
      </c>
      <c r="V283" s="27">
        <f t="shared" si="16"/>
        <v>277.48</v>
      </c>
      <c r="W283">
        <f t="shared" si="17"/>
        <v>602.80999999999995</v>
      </c>
      <c r="X283" s="33" t="str">
        <f t="shared" si="18"/>
        <v>Low Quality</v>
      </c>
      <c r="Y283" s="27" t="str">
        <f t="shared" si="19"/>
        <v>20</v>
      </c>
    </row>
    <row r="284" spans="1:25" x14ac:dyDescent="0.25">
      <c r="A284" s="1">
        <v>45472</v>
      </c>
      <c r="B284" t="s">
        <v>28</v>
      </c>
      <c r="C284">
        <v>1</v>
      </c>
      <c r="D284" t="s">
        <v>43</v>
      </c>
      <c r="E284" t="s">
        <v>67</v>
      </c>
      <c r="F284" t="s">
        <v>69</v>
      </c>
      <c r="G284" t="s">
        <v>24</v>
      </c>
      <c r="H284" t="s">
        <v>48</v>
      </c>
      <c r="I284">
        <v>3</v>
      </c>
      <c r="J284">
        <v>6.28</v>
      </c>
      <c r="K284">
        <v>8</v>
      </c>
      <c r="L284">
        <v>431.28</v>
      </c>
      <c r="M284">
        <v>36</v>
      </c>
      <c r="N284" t="s">
        <v>41</v>
      </c>
      <c r="O284">
        <v>9</v>
      </c>
      <c r="P284">
        <v>352</v>
      </c>
      <c r="Q284" s="27" t="str">
        <f>IF(D284=Pivot!$AS$4,R283, "")</f>
        <v/>
      </c>
      <c r="R284" t="s">
        <v>42</v>
      </c>
      <c r="S284" s="5">
        <v>2.56</v>
      </c>
      <c r="T284">
        <v>91.88</v>
      </c>
      <c r="U284">
        <v>258.77</v>
      </c>
      <c r="V284" s="27">
        <f t="shared" si="16"/>
        <v>150.72</v>
      </c>
      <c r="W284">
        <f t="shared" si="17"/>
        <v>690.05</v>
      </c>
      <c r="X284" s="33" t="str">
        <f t="shared" si="18"/>
        <v>Mid Quality</v>
      </c>
      <c r="Y284" s="27" t="str">
        <f t="shared" si="19"/>
        <v>8</v>
      </c>
    </row>
    <row r="285" spans="1:25" x14ac:dyDescent="0.25">
      <c r="A285" s="1">
        <v>45494</v>
      </c>
      <c r="B285" t="s">
        <v>35</v>
      </c>
      <c r="C285">
        <v>1</v>
      </c>
      <c r="D285" t="s">
        <v>88</v>
      </c>
      <c r="E285" t="s">
        <v>37</v>
      </c>
      <c r="F285" t="s">
        <v>23</v>
      </c>
      <c r="G285" t="s">
        <v>52</v>
      </c>
      <c r="H285" t="s">
        <v>25</v>
      </c>
      <c r="I285">
        <v>1</v>
      </c>
      <c r="J285">
        <v>10.47</v>
      </c>
      <c r="K285">
        <v>3</v>
      </c>
      <c r="L285">
        <v>248.57</v>
      </c>
      <c r="M285">
        <v>79</v>
      </c>
      <c r="N285" t="s">
        <v>41</v>
      </c>
      <c r="O285">
        <v>37</v>
      </c>
      <c r="P285">
        <v>137</v>
      </c>
      <c r="Q285" s="27" t="str">
        <f>IF(D285=Pivot!$AS$4,R284, "")</f>
        <v/>
      </c>
      <c r="R285" t="s">
        <v>57</v>
      </c>
      <c r="S285" s="5">
        <v>27.01</v>
      </c>
      <c r="T285">
        <v>44.98</v>
      </c>
      <c r="U285">
        <v>327.27999999999997</v>
      </c>
      <c r="V285" s="27">
        <f t="shared" si="16"/>
        <v>31.410000000000004</v>
      </c>
      <c r="W285">
        <f t="shared" si="17"/>
        <v>575.84999999999991</v>
      </c>
      <c r="X285" s="33" t="str">
        <f t="shared" si="18"/>
        <v>Mid Quality</v>
      </c>
      <c r="Y285" s="27" t="str">
        <f t="shared" si="19"/>
        <v>12</v>
      </c>
    </row>
    <row r="286" spans="1:25" x14ac:dyDescent="0.25">
      <c r="A286" s="1">
        <v>45499</v>
      </c>
      <c r="B286" t="s">
        <v>75</v>
      </c>
      <c r="C286">
        <v>3</v>
      </c>
      <c r="D286" t="s">
        <v>83</v>
      </c>
      <c r="E286" t="s">
        <v>30</v>
      </c>
      <c r="F286" t="s">
        <v>44</v>
      </c>
      <c r="G286" t="s">
        <v>39</v>
      </c>
      <c r="H286" t="s">
        <v>33</v>
      </c>
      <c r="I286">
        <v>5</v>
      </c>
      <c r="J286">
        <v>7.26</v>
      </c>
      <c r="K286">
        <v>4</v>
      </c>
      <c r="L286">
        <v>58.08</v>
      </c>
      <c r="M286">
        <v>28</v>
      </c>
      <c r="N286" t="s">
        <v>26</v>
      </c>
      <c r="O286">
        <v>37</v>
      </c>
      <c r="P286">
        <v>142</v>
      </c>
      <c r="Q286" s="27" t="str">
        <f>IF(D286=Pivot!$AS$4,R285, "")</f>
        <v/>
      </c>
      <c r="R286" t="s">
        <v>42</v>
      </c>
      <c r="S286" s="5">
        <v>26.06</v>
      </c>
      <c r="T286">
        <v>42.88</v>
      </c>
      <c r="U286">
        <v>27.1</v>
      </c>
      <c r="V286" s="27">
        <f t="shared" si="16"/>
        <v>145.19999999999999</v>
      </c>
      <c r="W286">
        <f t="shared" si="17"/>
        <v>85.18</v>
      </c>
      <c r="X286" s="33" t="str">
        <f t="shared" si="18"/>
        <v>Mid Quality</v>
      </c>
      <c r="Y286" s="27" t="str">
        <f t="shared" si="19"/>
        <v>8</v>
      </c>
    </row>
    <row r="287" spans="1:25" x14ac:dyDescent="0.25">
      <c r="A287" s="1">
        <v>45592</v>
      </c>
      <c r="B287" t="s">
        <v>75</v>
      </c>
      <c r="C287">
        <v>1</v>
      </c>
      <c r="D287" t="s">
        <v>53</v>
      </c>
      <c r="E287" t="s">
        <v>22</v>
      </c>
      <c r="F287" t="s">
        <v>89</v>
      </c>
      <c r="G287" t="s">
        <v>52</v>
      </c>
      <c r="H287" t="s">
        <v>61</v>
      </c>
      <c r="I287">
        <v>5</v>
      </c>
      <c r="J287">
        <v>9.3699999999999992</v>
      </c>
      <c r="K287">
        <v>3</v>
      </c>
      <c r="L287">
        <v>83.53</v>
      </c>
      <c r="M287">
        <v>39</v>
      </c>
      <c r="N287" t="s">
        <v>45</v>
      </c>
      <c r="O287">
        <v>43</v>
      </c>
      <c r="P287">
        <v>728</v>
      </c>
      <c r="Q287" s="27" t="str">
        <f>IF(D287=Pivot!$AS$4,R286, "")</f>
        <v/>
      </c>
      <c r="R287" t="s">
        <v>34</v>
      </c>
      <c r="S287" s="5">
        <v>5.91</v>
      </c>
      <c r="T287">
        <v>83.18</v>
      </c>
      <c r="U287">
        <v>54.29</v>
      </c>
      <c r="V287" s="27">
        <f t="shared" si="16"/>
        <v>140.54999999999998</v>
      </c>
      <c r="W287">
        <f t="shared" si="17"/>
        <v>137.82</v>
      </c>
      <c r="X287" s="33" t="str">
        <f t="shared" si="18"/>
        <v>Mid Quality</v>
      </c>
      <c r="Y287" s="27" t="str">
        <f t="shared" si="19"/>
        <v>10</v>
      </c>
    </row>
    <row r="288" spans="1:25" x14ac:dyDescent="0.25">
      <c r="A288" s="1">
        <v>45394</v>
      </c>
      <c r="B288" t="s">
        <v>35</v>
      </c>
      <c r="C288">
        <v>1</v>
      </c>
      <c r="D288" t="s">
        <v>64</v>
      </c>
      <c r="E288" t="s">
        <v>22</v>
      </c>
      <c r="F288" t="s">
        <v>38</v>
      </c>
      <c r="G288" t="s">
        <v>60</v>
      </c>
      <c r="H288" t="s">
        <v>61</v>
      </c>
      <c r="I288">
        <v>2</v>
      </c>
      <c r="J288">
        <v>17.28</v>
      </c>
      <c r="K288">
        <v>7</v>
      </c>
      <c r="L288">
        <v>279.68</v>
      </c>
      <c r="M288">
        <v>87</v>
      </c>
      <c r="N288" t="s">
        <v>49</v>
      </c>
      <c r="O288">
        <v>28</v>
      </c>
      <c r="P288">
        <v>504</v>
      </c>
      <c r="Q288" s="27" t="str">
        <f>IF(D288=Pivot!$AS$4,R287, "")</f>
        <v/>
      </c>
      <c r="R288" t="s">
        <v>46</v>
      </c>
      <c r="S288" s="5">
        <v>5.56</v>
      </c>
      <c r="T288">
        <v>86.88</v>
      </c>
      <c r="U288">
        <v>405.54</v>
      </c>
      <c r="V288" s="27">
        <f t="shared" si="16"/>
        <v>241.92000000000002</v>
      </c>
      <c r="W288">
        <f t="shared" si="17"/>
        <v>685.22</v>
      </c>
      <c r="X288" s="33" t="str">
        <f t="shared" si="18"/>
        <v>Low Quality</v>
      </c>
      <c r="Y288" s="27" t="str">
        <f t="shared" si="19"/>
        <v>18</v>
      </c>
    </row>
    <row r="289" spans="1:25" x14ac:dyDescent="0.25">
      <c r="A289" s="1">
        <v>45557</v>
      </c>
      <c r="B289" t="s">
        <v>35</v>
      </c>
      <c r="C289">
        <v>2</v>
      </c>
      <c r="D289" t="s">
        <v>36</v>
      </c>
      <c r="E289" t="s">
        <v>51</v>
      </c>
      <c r="F289" t="s">
        <v>90</v>
      </c>
      <c r="G289" t="s">
        <v>52</v>
      </c>
      <c r="H289" t="s">
        <v>25</v>
      </c>
      <c r="I289">
        <v>3</v>
      </c>
      <c r="J289">
        <v>14</v>
      </c>
      <c r="K289">
        <v>9</v>
      </c>
      <c r="L289">
        <v>486.25</v>
      </c>
      <c r="M289">
        <v>74</v>
      </c>
      <c r="N289" t="s">
        <v>41</v>
      </c>
      <c r="O289">
        <v>24</v>
      </c>
      <c r="P289">
        <v>801</v>
      </c>
      <c r="Q289" s="27" t="str">
        <f>IF(D289=Pivot!$AS$4,R288, "")</f>
        <v/>
      </c>
      <c r="R289" t="s">
        <v>27</v>
      </c>
      <c r="S289" s="5">
        <v>3</v>
      </c>
      <c r="T289">
        <v>91</v>
      </c>
      <c r="U289">
        <v>599.71</v>
      </c>
      <c r="V289" s="27">
        <f t="shared" si="16"/>
        <v>378</v>
      </c>
      <c r="W289">
        <f t="shared" si="17"/>
        <v>1085.96</v>
      </c>
      <c r="X289" s="33" t="str">
        <f t="shared" si="18"/>
        <v>Mid Quality</v>
      </c>
      <c r="Y289" s="27" t="str">
        <f t="shared" si="19"/>
        <v>14</v>
      </c>
    </row>
    <row r="290" spans="1:25" x14ac:dyDescent="0.25">
      <c r="A290" s="1">
        <v>45299</v>
      </c>
      <c r="B290" t="s">
        <v>35</v>
      </c>
      <c r="C290">
        <v>3</v>
      </c>
      <c r="D290" t="s">
        <v>82</v>
      </c>
      <c r="E290" t="s">
        <v>51</v>
      </c>
      <c r="F290" t="s">
        <v>87</v>
      </c>
      <c r="G290" t="s">
        <v>39</v>
      </c>
      <c r="H290" t="s">
        <v>40</v>
      </c>
      <c r="I290">
        <v>4</v>
      </c>
      <c r="J290">
        <v>17.77</v>
      </c>
      <c r="K290">
        <v>3</v>
      </c>
      <c r="L290">
        <v>361.94</v>
      </c>
      <c r="M290">
        <v>44</v>
      </c>
      <c r="N290" t="s">
        <v>49</v>
      </c>
      <c r="O290">
        <v>28</v>
      </c>
      <c r="P290">
        <v>145</v>
      </c>
      <c r="Q290" s="27" t="str">
        <f>IF(D290=Pivot!$AS$4,R289, "")</f>
        <v/>
      </c>
      <c r="R290" t="s">
        <v>57</v>
      </c>
      <c r="S290" s="5">
        <v>19.309999999999999</v>
      </c>
      <c r="T290">
        <v>57.38</v>
      </c>
      <c r="U290">
        <v>265.42</v>
      </c>
      <c r="V290" s="27">
        <f t="shared" si="16"/>
        <v>213.24</v>
      </c>
      <c r="W290">
        <f t="shared" si="17"/>
        <v>627.36</v>
      </c>
      <c r="X290" s="33" t="str">
        <f t="shared" si="18"/>
        <v>Low Quality</v>
      </c>
      <c r="Y290" s="27" t="str">
        <f t="shared" si="19"/>
        <v>18</v>
      </c>
    </row>
    <row r="291" spans="1:25" x14ac:dyDescent="0.25">
      <c r="A291" s="1">
        <v>45327</v>
      </c>
      <c r="B291" t="s">
        <v>20</v>
      </c>
      <c r="C291">
        <v>3</v>
      </c>
      <c r="D291" t="s">
        <v>47</v>
      </c>
      <c r="E291" t="s">
        <v>22</v>
      </c>
      <c r="F291" t="s">
        <v>59</v>
      </c>
      <c r="G291" t="s">
        <v>24</v>
      </c>
      <c r="H291" t="s">
        <v>33</v>
      </c>
      <c r="I291">
        <v>3</v>
      </c>
      <c r="J291">
        <v>4.87</v>
      </c>
      <c r="K291">
        <v>6</v>
      </c>
      <c r="L291">
        <v>81.91</v>
      </c>
      <c r="M291">
        <v>58</v>
      </c>
      <c r="N291" t="s">
        <v>41</v>
      </c>
      <c r="O291">
        <v>36</v>
      </c>
      <c r="P291">
        <v>553</v>
      </c>
      <c r="Q291" s="27" t="str">
        <f>IF(D291=Pivot!$AS$4,R290, "")</f>
        <v/>
      </c>
      <c r="R291" t="s">
        <v>42</v>
      </c>
      <c r="S291" s="5">
        <v>6.51</v>
      </c>
      <c r="T291">
        <v>83.98</v>
      </c>
      <c r="U291">
        <v>79.180000000000007</v>
      </c>
      <c r="V291" s="27">
        <f t="shared" si="16"/>
        <v>87.66</v>
      </c>
      <c r="W291">
        <f t="shared" si="17"/>
        <v>161.09</v>
      </c>
      <c r="X291" s="33" t="str">
        <f t="shared" si="18"/>
        <v>High Quality</v>
      </c>
      <c r="Y291" s="27" t="str">
        <f t="shared" si="19"/>
        <v>6</v>
      </c>
    </row>
    <row r="292" spans="1:25" x14ac:dyDescent="0.25">
      <c r="A292" s="1">
        <v>45338</v>
      </c>
      <c r="B292" t="s">
        <v>65</v>
      </c>
      <c r="C292">
        <v>3</v>
      </c>
      <c r="D292" t="s">
        <v>21</v>
      </c>
      <c r="E292" t="s">
        <v>67</v>
      </c>
      <c r="F292" t="s">
        <v>54</v>
      </c>
      <c r="G292" t="s">
        <v>32</v>
      </c>
      <c r="H292" t="s">
        <v>48</v>
      </c>
      <c r="I292">
        <v>5</v>
      </c>
      <c r="J292">
        <v>17.59</v>
      </c>
      <c r="K292">
        <v>8</v>
      </c>
      <c r="L292">
        <v>135.21</v>
      </c>
      <c r="M292">
        <v>48</v>
      </c>
      <c r="N292" t="s">
        <v>49</v>
      </c>
      <c r="O292">
        <v>18</v>
      </c>
      <c r="P292">
        <v>777</v>
      </c>
      <c r="Q292" s="27" t="str">
        <f>IF(D292=Pivot!$AS$4,R291, "")</f>
        <v/>
      </c>
      <c r="R292" t="s">
        <v>34</v>
      </c>
      <c r="S292" s="5">
        <v>2.3199999999999998</v>
      </c>
      <c r="T292">
        <v>90.36</v>
      </c>
      <c r="U292">
        <v>108.17</v>
      </c>
      <c r="V292" s="27">
        <f t="shared" si="16"/>
        <v>703.6</v>
      </c>
      <c r="W292">
        <f t="shared" si="17"/>
        <v>243.38</v>
      </c>
      <c r="X292" s="33" t="str">
        <f t="shared" si="18"/>
        <v>Low Quality</v>
      </c>
      <c r="Y292" s="27" t="str">
        <f t="shared" si="19"/>
        <v>18</v>
      </c>
    </row>
    <row r="293" spans="1:25" x14ac:dyDescent="0.25">
      <c r="A293" s="1">
        <v>45573</v>
      </c>
      <c r="B293" t="s">
        <v>75</v>
      </c>
      <c r="C293">
        <v>3</v>
      </c>
      <c r="D293" t="s">
        <v>82</v>
      </c>
      <c r="E293" t="s">
        <v>30</v>
      </c>
      <c r="F293" t="s">
        <v>90</v>
      </c>
      <c r="G293" t="s">
        <v>52</v>
      </c>
      <c r="H293" t="s">
        <v>25</v>
      </c>
      <c r="I293">
        <v>4</v>
      </c>
      <c r="J293">
        <v>2.14</v>
      </c>
      <c r="K293">
        <v>6</v>
      </c>
      <c r="L293">
        <v>397.1</v>
      </c>
      <c r="M293">
        <v>66</v>
      </c>
      <c r="N293" t="s">
        <v>41</v>
      </c>
      <c r="O293">
        <v>25</v>
      </c>
      <c r="P293">
        <v>404</v>
      </c>
      <c r="Q293" s="27" t="str">
        <f>IF(D293=Pivot!$AS$4,R292, "")</f>
        <v/>
      </c>
      <c r="R293" t="s">
        <v>27</v>
      </c>
      <c r="S293" s="5">
        <v>6.19</v>
      </c>
      <c r="T293">
        <v>83.62</v>
      </c>
      <c r="U293">
        <v>436.81</v>
      </c>
      <c r="V293" s="27">
        <f t="shared" si="16"/>
        <v>51.36</v>
      </c>
      <c r="W293">
        <f t="shared" si="17"/>
        <v>833.91000000000008</v>
      </c>
      <c r="X293" s="33" t="str">
        <f t="shared" si="18"/>
        <v>High Quality</v>
      </c>
      <c r="Y293" s="27" t="str">
        <f t="shared" si="19"/>
        <v>4</v>
      </c>
    </row>
    <row r="294" spans="1:25" x14ac:dyDescent="0.25">
      <c r="A294" s="1">
        <v>45437</v>
      </c>
      <c r="B294" t="s">
        <v>20</v>
      </c>
      <c r="C294">
        <v>2</v>
      </c>
      <c r="D294" t="s">
        <v>53</v>
      </c>
      <c r="E294" t="s">
        <v>51</v>
      </c>
      <c r="F294" t="s">
        <v>86</v>
      </c>
      <c r="G294" t="s">
        <v>39</v>
      </c>
      <c r="H294" t="s">
        <v>33</v>
      </c>
      <c r="I294">
        <v>3</v>
      </c>
      <c r="J294">
        <v>17.88</v>
      </c>
      <c r="K294">
        <v>2</v>
      </c>
      <c r="L294">
        <v>428.65</v>
      </c>
      <c r="M294">
        <v>72</v>
      </c>
      <c r="N294" t="s">
        <v>49</v>
      </c>
      <c r="O294">
        <v>35</v>
      </c>
      <c r="P294">
        <v>814</v>
      </c>
      <c r="Q294" s="27" t="str">
        <f>IF(D294=Pivot!$AS$4,R293, "")</f>
        <v/>
      </c>
      <c r="R294" t="s">
        <v>34</v>
      </c>
      <c r="S294" s="5">
        <v>4.3</v>
      </c>
      <c r="T294">
        <v>88.4</v>
      </c>
      <c r="U294">
        <v>514.38</v>
      </c>
      <c r="V294" s="27">
        <f t="shared" si="16"/>
        <v>107.28</v>
      </c>
      <c r="W294">
        <f t="shared" si="17"/>
        <v>943.03</v>
      </c>
      <c r="X294" s="33" t="str">
        <f t="shared" si="18"/>
        <v>Low Quality</v>
      </c>
      <c r="Y294" s="27" t="str">
        <f t="shared" si="19"/>
        <v>18</v>
      </c>
    </row>
    <row r="295" spans="1:25" x14ac:dyDescent="0.25">
      <c r="A295" s="1">
        <v>45578</v>
      </c>
      <c r="B295" t="s">
        <v>35</v>
      </c>
      <c r="C295">
        <v>2</v>
      </c>
      <c r="D295" t="s">
        <v>82</v>
      </c>
      <c r="E295" t="s">
        <v>67</v>
      </c>
      <c r="F295" t="s">
        <v>31</v>
      </c>
      <c r="G295" t="s">
        <v>32</v>
      </c>
      <c r="H295" t="s">
        <v>33</v>
      </c>
      <c r="I295">
        <v>1</v>
      </c>
      <c r="J295">
        <v>7.25</v>
      </c>
      <c r="K295">
        <v>7</v>
      </c>
      <c r="L295">
        <v>327.96</v>
      </c>
      <c r="M295">
        <v>37</v>
      </c>
      <c r="N295" t="s">
        <v>26</v>
      </c>
      <c r="O295">
        <v>4</v>
      </c>
      <c r="P295">
        <v>332</v>
      </c>
      <c r="Q295" s="27" t="str">
        <f>IF(D295=Pivot!$AS$4,R294, "")</f>
        <v/>
      </c>
      <c r="R295" t="s">
        <v>46</v>
      </c>
      <c r="S295" s="5">
        <v>1.2</v>
      </c>
      <c r="T295">
        <v>96.6</v>
      </c>
      <c r="U295">
        <v>202.24</v>
      </c>
      <c r="V295" s="27">
        <f t="shared" si="16"/>
        <v>50.75</v>
      </c>
      <c r="W295">
        <f t="shared" si="17"/>
        <v>530.20000000000005</v>
      </c>
      <c r="X295" s="33" t="str">
        <f t="shared" si="18"/>
        <v>Mid Quality</v>
      </c>
      <c r="Y295" s="27" t="str">
        <f t="shared" si="19"/>
        <v>8</v>
      </c>
    </row>
    <row r="296" spans="1:25" x14ac:dyDescent="0.25">
      <c r="A296" s="1">
        <v>45590</v>
      </c>
      <c r="B296" t="s">
        <v>75</v>
      </c>
      <c r="C296">
        <v>1</v>
      </c>
      <c r="D296" t="s">
        <v>83</v>
      </c>
      <c r="E296" t="s">
        <v>37</v>
      </c>
      <c r="F296" t="s">
        <v>44</v>
      </c>
      <c r="G296" t="s">
        <v>32</v>
      </c>
      <c r="H296" t="s">
        <v>48</v>
      </c>
      <c r="I296">
        <v>2</v>
      </c>
      <c r="J296">
        <v>6.98</v>
      </c>
      <c r="K296">
        <v>2</v>
      </c>
      <c r="L296">
        <v>339.99</v>
      </c>
      <c r="M296">
        <v>81</v>
      </c>
      <c r="N296" t="s">
        <v>55</v>
      </c>
      <c r="O296">
        <v>14</v>
      </c>
      <c r="P296">
        <v>344</v>
      </c>
      <c r="Q296" s="27" t="str">
        <f>IF(D296=Pivot!$AS$4,R295, "")</f>
        <v/>
      </c>
      <c r="R296" t="s">
        <v>27</v>
      </c>
      <c r="S296" s="5">
        <v>4.07</v>
      </c>
      <c r="T296">
        <v>89.86</v>
      </c>
      <c r="U296">
        <v>458.99</v>
      </c>
      <c r="V296" s="27">
        <f t="shared" si="16"/>
        <v>27.92</v>
      </c>
      <c r="W296">
        <f t="shared" si="17"/>
        <v>798.98</v>
      </c>
      <c r="X296" s="33" t="str">
        <f t="shared" si="18"/>
        <v>Mid Quality</v>
      </c>
      <c r="Y296" s="27" t="str">
        <f t="shared" si="19"/>
        <v>8</v>
      </c>
    </row>
    <row r="297" spans="1:25" x14ac:dyDescent="0.25">
      <c r="A297" s="1">
        <v>45470</v>
      </c>
      <c r="B297" t="s">
        <v>20</v>
      </c>
      <c r="C297">
        <v>1</v>
      </c>
      <c r="D297" t="s">
        <v>21</v>
      </c>
      <c r="E297" t="s">
        <v>51</v>
      </c>
      <c r="F297" t="s">
        <v>90</v>
      </c>
      <c r="G297" t="s">
        <v>60</v>
      </c>
      <c r="H297" t="s">
        <v>33</v>
      </c>
      <c r="I297">
        <v>3</v>
      </c>
      <c r="J297">
        <v>10.73</v>
      </c>
      <c r="K297">
        <v>2</v>
      </c>
      <c r="L297">
        <v>62.75</v>
      </c>
      <c r="M297">
        <v>60</v>
      </c>
      <c r="N297" t="s">
        <v>49</v>
      </c>
      <c r="O297">
        <v>39</v>
      </c>
      <c r="P297">
        <v>820</v>
      </c>
      <c r="Q297" s="27" t="str">
        <f>IF(D297=Pivot!$AS$4,R296, "")</f>
        <v/>
      </c>
      <c r="R297" t="s">
        <v>27</v>
      </c>
      <c r="S297" s="5">
        <v>4.76</v>
      </c>
      <c r="T297">
        <v>87.48</v>
      </c>
      <c r="U297">
        <v>62.75</v>
      </c>
      <c r="V297" s="27">
        <f t="shared" si="16"/>
        <v>64.38</v>
      </c>
      <c r="W297">
        <f t="shared" si="17"/>
        <v>125.5</v>
      </c>
      <c r="X297" s="33" t="str">
        <f t="shared" si="18"/>
        <v>Mid Quality</v>
      </c>
      <c r="Y297" s="27" t="str">
        <f t="shared" si="19"/>
        <v>12</v>
      </c>
    </row>
    <row r="298" spans="1:25" x14ac:dyDescent="0.25">
      <c r="A298" s="1">
        <v>45469</v>
      </c>
      <c r="B298" t="s">
        <v>65</v>
      </c>
      <c r="C298">
        <v>1</v>
      </c>
      <c r="D298" t="s">
        <v>21</v>
      </c>
      <c r="E298" t="s">
        <v>67</v>
      </c>
      <c r="F298" t="s">
        <v>87</v>
      </c>
      <c r="G298" t="s">
        <v>32</v>
      </c>
      <c r="H298" t="s">
        <v>40</v>
      </c>
      <c r="I298">
        <v>3</v>
      </c>
      <c r="J298">
        <v>18.87</v>
      </c>
      <c r="K298">
        <v>2</v>
      </c>
      <c r="L298">
        <v>422.84</v>
      </c>
      <c r="M298">
        <v>40</v>
      </c>
      <c r="N298" t="s">
        <v>55</v>
      </c>
      <c r="O298">
        <v>26</v>
      </c>
      <c r="P298">
        <v>859</v>
      </c>
      <c r="Q298" s="27" t="str">
        <f>IF(D298=Pivot!$AS$4,R297, "")</f>
        <v/>
      </c>
      <c r="R298" t="s">
        <v>27</v>
      </c>
      <c r="S298" s="5">
        <v>3.03</v>
      </c>
      <c r="T298">
        <v>90.94</v>
      </c>
      <c r="U298">
        <v>281.89</v>
      </c>
      <c r="V298" s="27">
        <f t="shared" si="16"/>
        <v>113.22</v>
      </c>
      <c r="W298">
        <f t="shared" si="17"/>
        <v>704.73</v>
      </c>
      <c r="X298" s="33" t="str">
        <f t="shared" si="18"/>
        <v>Low Quality</v>
      </c>
      <c r="Y298" s="27" t="str">
        <f t="shared" si="19"/>
        <v>20</v>
      </c>
    </row>
    <row r="299" spans="1:25" x14ac:dyDescent="0.25">
      <c r="A299" s="1">
        <v>45433</v>
      </c>
      <c r="B299" t="s">
        <v>20</v>
      </c>
      <c r="C299">
        <v>1</v>
      </c>
      <c r="D299" t="s">
        <v>64</v>
      </c>
      <c r="E299" t="s">
        <v>67</v>
      </c>
      <c r="F299" t="s">
        <v>86</v>
      </c>
      <c r="G299" t="s">
        <v>39</v>
      </c>
      <c r="H299" t="s">
        <v>40</v>
      </c>
      <c r="I299">
        <v>1</v>
      </c>
      <c r="J299">
        <v>1.91</v>
      </c>
      <c r="K299">
        <v>1</v>
      </c>
      <c r="L299">
        <v>404.72</v>
      </c>
      <c r="M299">
        <v>58</v>
      </c>
      <c r="N299" t="s">
        <v>55</v>
      </c>
      <c r="O299">
        <v>8</v>
      </c>
      <c r="P299">
        <v>394</v>
      </c>
      <c r="Q299" s="27" t="str">
        <f>IF(D299=Pivot!$AS$4,R298, "")</f>
        <v/>
      </c>
      <c r="R299" t="s">
        <v>42</v>
      </c>
      <c r="S299" s="5">
        <v>2.0299999999999998</v>
      </c>
      <c r="T299">
        <v>94.94</v>
      </c>
      <c r="U299">
        <v>391.23</v>
      </c>
      <c r="V299" s="27">
        <f t="shared" si="16"/>
        <v>1.91</v>
      </c>
      <c r="W299">
        <f t="shared" si="17"/>
        <v>795.95</v>
      </c>
      <c r="X299" s="33" t="str">
        <f t="shared" si="18"/>
        <v>High Quality</v>
      </c>
      <c r="Y299" s="27" t="str">
        <f t="shared" si="19"/>
        <v>2</v>
      </c>
    </row>
    <row r="300" spans="1:25" x14ac:dyDescent="0.25">
      <c r="A300" s="1">
        <v>45407</v>
      </c>
      <c r="B300" t="s">
        <v>65</v>
      </c>
      <c r="C300">
        <v>2</v>
      </c>
      <c r="D300" t="s">
        <v>85</v>
      </c>
      <c r="E300" t="s">
        <v>30</v>
      </c>
      <c r="F300" t="s">
        <v>87</v>
      </c>
      <c r="G300" t="s">
        <v>39</v>
      </c>
      <c r="H300" t="s">
        <v>40</v>
      </c>
      <c r="I300">
        <v>5</v>
      </c>
      <c r="J300">
        <v>7.69</v>
      </c>
      <c r="K300">
        <v>1</v>
      </c>
      <c r="L300">
        <v>166.57</v>
      </c>
      <c r="M300">
        <v>23</v>
      </c>
      <c r="N300" t="s">
        <v>45</v>
      </c>
      <c r="O300">
        <v>24</v>
      </c>
      <c r="P300">
        <v>938</v>
      </c>
      <c r="Q300" s="27" t="str">
        <f>IF(D300=Pivot!$AS$4,R299, "")</f>
        <v/>
      </c>
      <c r="R300" t="s">
        <v>27</v>
      </c>
      <c r="S300" s="5">
        <v>2.56</v>
      </c>
      <c r="T300">
        <v>89.88</v>
      </c>
      <c r="U300">
        <v>63.85</v>
      </c>
      <c r="V300" s="27">
        <f t="shared" si="16"/>
        <v>38.450000000000003</v>
      </c>
      <c r="W300">
        <f t="shared" si="17"/>
        <v>230.42</v>
      </c>
      <c r="X300" s="33" t="str">
        <f t="shared" si="18"/>
        <v>Mid Quality</v>
      </c>
      <c r="Y300" s="27" t="str">
        <f t="shared" si="19"/>
        <v>8</v>
      </c>
    </row>
    <row r="301" spans="1:25" x14ac:dyDescent="0.25">
      <c r="A301" s="1">
        <v>45391</v>
      </c>
      <c r="B301" t="s">
        <v>35</v>
      </c>
      <c r="C301">
        <v>3</v>
      </c>
      <c r="D301" t="s">
        <v>64</v>
      </c>
      <c r="E301" t="s">
        <v>30</v>
      </c>
      <c r="F301" t="s">
        <v>62</v>
      </c>
      <c r="G301" t="s">
        <v>52</v>
      </c>
      <c r="H301" t="s">
        <v>33</v>
      </c>
      <c r="I301">
        <v>2</v>
      </c>
      <c r="J301">
        <v>17.27</v>
      </c>
      <c r="K301">
        <v>7</v>
      </c>
      <c r="L301">
        <v>368.9</v>
      </c>
      <c r="M301">
        <v>47</v>
      </c>
      <c r="N301" t="s">
        <v>26</v>
      </c>
      <c r="O301">
        <v>16</v>
      </c>
      <c r="P301">
        <v>482</v>
      </c>
      <c r="Q301" s="27" t="str">
        <f>IF(D301=Pivot!$AS$4,R300, "")</f>
        <v/>
      </c>
      <c r="R301" t="s">
        <v>34</v>
      </c>
      <c r="S301" s="5">
        <v>3.32</v>
      </c>
      <c r="T301">
        <v>91.36</v>
      </c>
      <c r="U301">
        <v>288.97000000000003</v>
      </c>
      <c r="V301" s="27">
        <f t="shared" si="16"/>
        <v>241.78</v>
      </c>
      <c r="W301">
        <f t="shared" si="17"/>
        <v>657.87</v>
      </c>
      <c r="X301" s="33" t="str">
        <f t="shared" si="18"/>
        <v>Low Quality</v>
      </c>
      <c r="Y301" s="27" t="str">
        <f t="shared" si="19"/>
        <v>18</v>
      </c>
    </row>
    <row r="302" spans="1:25" x14ac:dyDescent="0.25">
      <c r="A302" s="1">
        <v>45524</v>
      </c>
      <c r="B302" t="s">
        <v>65</v>
      </c>
      <c r="C302">
        <v>2</v>
      </c>
      <c r="D302" t="s">
        <v>82</v>
      </c>
      <c r="E302" t="s">
        <v>37</v>
      </c>
      <c r="F302" t="s">
        <v>86</v>
      </c>
      <c r="G302" t="s">
        <v>52</v>
      </c>
      <c r="H302" t="s">
        <v>40</v>
      </c>
      <c r="I302">
        <v>3</v>
      </c>
      <c r="J302">
        <v>8.5299999999999994</v>
      </c>
      <c r="K302">
        <v>5</v>
      </c>
      <c r="L302">
        <v>146.68</v>
      </c>
      <c r="M302">
        <v>16</v>
      </c>
      <c r="N302" t="s">
        <v>55</v>
      </c>
      <c r="O302">
        <v>20</v>
      </c>
      <c r="P302">
        <v>257</v>
      </c>
      <c r="Q302" s="27" t="str">
        <f>IF(D302=Pivot!$AS$4,R301, "")</f>
        <v/>
      </c>
      <c r="R302" t="s">
        <v>42</v>
      </c>
      <c r="S302" s="5">
        <v>7.78</v>
      </c>
      <c r="T302">
        <v>81.44</v>
      </c>
      <c r="U302">
        <v>39.11</v>
      </c>
      <c r="V302" s="27">
        <f t="shared" si="16"/>
        <v>127.94999999999999</v>
      </c>
      <c r="W302">
        <f t="shared" si="17"/>
        <v>185.79000000000002</v>
      </c>
      <c r="X302" s="33" t="str">
        <f t="shared" si="18"/>
        <v>Mid Quality</v>
      </c>
      <c r="Y302" s="27" t="str">
        <f t="shared" si="19"/>
        <v>10</v>
      </c>
    </row>
    <row r="303" spans="1:25" x14ac:dyDescent="0.25">
      <c r="A303" s="1">
        <v>45498</v>
      </c>
      <c r="B303" t="s">
        <v>75</v>
      </c>
      <c r="C303">
        <v>1</v>
      </c>
      <c r="D303" t="s">
        <v>80</v>
      </c>
      <c r="E303" t="s">
        <v>67</v>
      </c>
      <c r="F303" t="s">
        <v>73</v>
      </c>
      <c r="G303" t="s">
        <v>52</v>
      </c>
      <c r="H303" t="s">
        <v>48</v>
      </c>
      <c r="I303">
        <v>4</v>
      </c>
      <c r="J303">
        <v>4.78</v>
      </c>
      <c r="K303">
        <v>3</v>
      </c>
      <c r="L303">
        <v>68.150000000000006</v>
      </c>
      <c r="M303">
        <v>15</v>
      </c>
      <c r="N303" t="s">
        <v>63</v>
      </c>
      <c r="O303">
        <v>15</v>
      </c>
      <c r="P303">
        <v>504</v>
      </c>
      <c r="Q303" s="27" t="str">
        <f>IF(D303=Pivot!$AS$4,R302, "")</f>
        <v>Makine ayarı değiştirildi</v>
      </c>
      <c r="R303" t="s">
        <v>27</v>
      </c>
      <c r="S303" s="5">
        <v>2.98</v>
      </c>
      <c r="T303">
        <v>90.04</v>
      </c>
      <c r="U303">
        <v>17.04</v>
      </c>
      <c r="V303" s="27">
        <f t="shared" si="16"/>
        <v>57.36</v>
      </c>
      <c r="W303">
        <f t="shared" si="17"/>
        <v>85.19</v>
      </c>
      <c r="X303" s="33" t="str">
        <f t="shared" si="18"/>
        <v>High Quality</v>
      </c>
      <c r="Y303" s="27" t="str">
        <f t="shared" si="19"/>
        <v>6</v>
      </c>
    </row>
    <row r="304" spans="1:25" x14ac:dyDescent="0.25">
      <c r="A304" s="1">
        <v>45586</v>
      </c>
      <c r="B304" t="s">
        <v>35</v>
      </c>
      <c r="C304">
        <v>2</v>
      </c>
      <c r="D304" t="s">
        <v>47</v>
      </c>
      <c r="E304" t="s">
        <v>67</v>
      </c>
      <c r="F304" t="s">
        <v>81</v>
      </c>
      <c r="G304" t="s">
        <v>32</v>
      </c>
      <c r="H304" t="s">
        <v>33</v>
      </c>
      <c r="I304">
        <v>3</v>
      </c>
      <c r="J304">
        <v>9.07</v>
      </c>
      <c r="K304">
        <v>1</v>
      </c>
      <c r="L304">
        <v>140.51</v>
      </c>
      <c r="M304">
        <v>74</v>
      </c>
      <c r="N304" t="s">
        <v>55</v>
      </c>
      <c r="O304">
        <v>7</v>
      </c>
      <c r="P304">
        <v>100</v>
      </c>
      <c r="Q304" s="27" t="str">
        <f>IF(D304=Pivot!$AS$4,R303, "")</f>
        <v/>
      </c>
      <c r="R304" t="s">
        <v>34</v>
      </c>
      <c r="S304" s="5">
        <v>7</v>
      </c>
      <c r="T304">
        <v>83</v>
      </c>
      <c r="U304">
        <v>173.3</v>
      </c>
      <c r="V304" s="27">
        <f t="shared" si="16"/>
        <v>27.21</v>
      </c>
      <c r="W304">
        <f t="shared" si="17"/>
        <v>313.81</v>
      </c>
      <c r="X304" s="33" t="str">
        <f t="shared" si="18"/>
        <v>Mid Quality</v>
      </c>
      <c r="Y304" s="27" t="str">
        <f t="shared" si="19"/>
        <v>10</v>
      </c>
    </row>
    <row r="305" spans="1:25" x14ac:dyDescent="0.25">
      <c r="A305" s="1">
        <v>45294</v>
      </c>
      <c r="B305" t="s">
        <v>75</v>
      </c>
      <c r="C305">
        <v>3</v>
      </c>
      <c r="D305" t="s">
        <v>53</v>
      </c>
      <c r="E305" t="s">
        <v>30</v>
      </c>
      <c r="F305" t="s">
        <v>56</v>
      </c>
      <c r="G305" t="s">
        <v>32</v>
      </c>
      <c r="H305" t="s">
        <v>61</v>
      </c>
      <c r="I305">
        <v>2</v>
      </c>
      <c r="J305">
        <v>8.33</v>
      </c>
      <c r="K305">
        <v>6</v>
      </c>
      <c r="L305">
        <v>130.38</v>
      </c>
      <c r="M305">
        <v>16</v>
      </c>
      <c r="N305" t="s">
        <v>49</v>
      </c>
      <c r="O305">
        <v>17</v>
      </c>
      <c r="P305">
        <v>316</v>
      </c>
      <c r="Q305" s="27" t="str">
        <f>IF(D305=Pivot!$AS$4,R304, "")</f>
        <v/>
      </c>
      <c r="R305" t="s">
        <v>34</v>
      </c>
      <c r="S305" s="5">
        <v>5.38</v>
      </c>
      <c r="T305">
        <v>87.24</v>
      </c>
      <c r="U305">
        <v>34.770000000000003</v>
      </c>
      <c r="V305" s="27">
        <f t="shared" si="16"/>
        <v>99.960000000000008</v>
      </c>
      <c r="W305">
        <f t="shared" si="17"/>
        <v>165.15</v>
      </c>
      <c r="X305" s="33" t="str">
        <f t="shared" si="18"/>
        <v>Mid Quality</v>
      </c>
      <c r="Y305" s="27" t="str">
        <f t="shared" si="19"/>
        <v>10</v>
      </c>
    </row>
    <row r="306" spans="1:25" x14ac:dyDescent="0.25">
      <c r="A306" s="1">
        <v>45425</v>
      </c>
      <c r="B306" t="s">
        <v>28</v>
      </c>
      <c r="C306">
        <v>3</v>
      </c>
      <c r="D306" t="s">
        <v>21</v>
      </c>
      <c r="E306" t="s">
        <v>51</v>
      </c>
      <c r="F306" t="s">
        <v>70</v>
      </c>
      <c r="G306" t="s">
        <v>60</v>
      </c>
      <c r="H306" t="s">
        <v>33</v>
      </c>
      <c r="I306">
        <v>3</v>
      </c>
      <c r="J306">
        <v>18.39</v>
      </c>
      <c r="K306">
        <v>1</v>
      </c>
      <c r="L306">
        <v>201.99</v>
      </c>
      <c r="M306">
        <v>45</v>
      </c>
      <c r="N306" t="s">
        <v>55</v>
      </c>
      <c r="O306">
        <v>22</v>
      </c>
      <c r="P306">
        <v>606</v>
      </c>
      <c r="Q306" s="27" t="str">
        <f>IF(D306=Pivot!$AS$4,R305, "")</f>
        <v/>
      </c>
      <c r="R306" t="s">
        <v>57</v>
      </c>
      <c r="S306" s="5">
        <v>3.63</v>
      </c>
      <c r="T306">
        <v>89.74</v>
      </c>
      <c r="U306">
        <v>151.49</v>
      </c>
      <c r="V306" s="27">
        <f t="shared" si="16"/>
        <v>55.17</v>
      </c>
      <c r="W306">
        <f t="shared" si="17"/>
        <v>353.48</v>
      </c>
      <c r="X306" s="33" t="str">
        <f t="shared" si="18"/>
        <v>Low Quality</v>
      </c>
      <c r="Y306" s="27" t="str">
        <f t="shared" si="19"/>
        <v>20</v>
      </c>
    </row>
    <row r="307" spans="1:25" x14ac:dyDescent="0.25">
      <c r="A307" s="1">
        <v>45381</v>
      </c>
      <c r="B307" t="s">
        <v>50</v>
      </c>
      <c r="C307">
        <v>2</v>
      </c>
      <c r="D307" t="s">
        <v>79</v>
      </c>
      <c r="E307" t="s">
        <v>51</v>
      </c>
      <c r="F307" t="s">
        <v>89</v>
      </c>
      <c r="G307" t="s">
        <v>52</v>
      </c>
      <c r="H307" t="s">
        <v>48</v>
      </c>
      <c r="I307">
        <v>1</v>
      </c>
      <c r="J307">
        <v>15.48</v>
      </c>
      <c r="K307">
        <v>9</v>
      </c>
      <c r="L307">
        <v>238.3</v>
      </c>
      <c r="M307">
        <v>29</v>
      </c>
      <c r="N307" t="s">
        <v>49</v>
      </c>
      <c r="O307">
        <v>22</v>
      </c>
      <c r="P307">
        <v>860</v>
      </c>
      <c r="Q307" s="27" t="str">
        <f>IF(D307=Pivot!$AS$4,R306, "")</f>
        <v/>
      </c>
      <c r="R307" t="s">
        <v>34</v>
      </c>
      <c r="S307" s="5">
        <v>2.56</v>
      </c>
      <c r="T307">
        <v>93.88</v>
      </c>
      <c r="U307">
        <v>115.18</v>
      </c>
      <c r="V307" s="27">
        <f t="shared" si="16"/>
        <v>139.32</v>
      </c>
      <c r="W307">
        <f t="shared" si="17"/>
        <v>353.48</v>
      </c>
      <c r="X307" s="33" t="str">
        <f t="shared" si="18"/>
        <v>Low Quality</v>
      </c>
      <c r="Y307" s="27" t="str">
        <f t="shared" si="19"/>
        <v>16</v>
      </c>
    </row>
    <row r="308" spans="1:25" x14ac:dyDescent="0.25">
      <c r="A308" s="1">
        <v>45500</v>
      </c>
      <c r="B308" t="s">
        <v>65</v>
      </c>
      <c r="C308">
        <v>2</v>
      </c>
      <c r="D308" t="s">
        <v>53</v>
      </c>
      <c r="E308" t="s">
        <v>22</v>
      </c>
      <c r="F308" t="s">
        <v>31</v>
      </c>
      <c r="G308" t="s">
        <v>24</v>
      </c>
      <c r="H308" t="s">
        <v>61</v>
      </c>
      <c r="I308">
        <v>3</v>
      </c>
      <c r="J308">
        <v>10.6</v>
      </c>
      <c r="K308">
        <v>2</v>
      </c>
      <c r="L308">
        <v>278.83999999999997</v>
      </c>
      <c r="M308">
        <v>7</v>
      </c>
      <c r="N308" t="s">
        <v>49</v>
      </c>
      <c r="O308">
        <v>12</v>
      </c>
      <c r="P308">
        <v>680</v>
      </c>
      <c r="Q308" s="27" t="str">
        <f>IF(D308=Pivot!$AS$4,R307, "")</f>
        <v/>
      </c>
      <c r="R308" t="s">
        <v>46</v>
      </c>
      <c r="S308" s="5">
        <v>1.76</v>
      </c>
      <c r="T308">
        <v>93.48</v>
      </c>
      <c r="U308">
        <v>32.53</v>
      </c>
      <c r="V308" s="27">
        <f t="shared" si="16"/>
        <v>63.599999999999994</v>
      </c>
      <c r="W308">
        <f t="shared" si="17"/>
        <v>311.37</v>
      </c>
      <c r="X308" s="33" t="str">
        <f t="shared" si="18"/>
        <v>Mid Quality</v>
      </c>
      <c r="Y308" s="27" t="str">
        <f t="shared" si="19"/>
        <v>12</v>
      </c>
    </row>
    <row r="309" spans="1:25" x14ac:dyDescent="0.25">
      <c r="A309" s="1">
        <v>45551</v>
      </c>
      <c r="B309" t="s">
        <v>50</v>
      </c>
      <c r="C309">
        <v>2</v>
      </c>
      <c r="D309" t="s">
        <v>76</v>
      </c>
      <c r="E309" t="s">
        <v>30</v>
      </c>
      <c r="F309" t="s">
        <v>62</v>
      </c>
      <c r="G309" t="s">
        <v>60</v>
      </c>
      <c r="H309" t="s">
        <v>33</v>
      </c>
      <c r="I309">
        <v>3</v>
      </c>
      <c r="J309">
        <v>19.78</v>
      </c>
      <c r="K309">
        <v>1</v>
      </c>
      <c r="L309">
        <v>264.54000000000002</v>
      </c>
      <c r="M309">
        <v>7</v>
      </c>
      <c r="N309" t="s">
        <v>63</v>
      </c>
      <c r="O309">
        <v>18</v>
      </c>
      <c r="P309">
        <v>129</v>
      </c>
      <c r="Q309" s="27" t="str">
        <f>IF(D309=Pivot!$AS$4,R308, "")</f>
        <v/>
      </c>
      <c r="R309" t="s">
        <v>27</v>
      </c>
      <c r="S309" s="5">
        <v>13.95</v>
      </c>
      <c r="T309">
        <v>69.099999999999994</v>
      </c>
      <c r="U309">
        <v>30.86</v>
      </c>
      <c r="V309" s="27">
        <f t="shared" si="16"/>
        <v>59.34</v>
      </c>
      <c r="W309">
        <f t="shared" si="17"/>
        <v>295.40000000000003</v>
      </c>
      <c r="X309" s="33" t="str">
        <f t="shared" si="18"/>
        <v>Low Quality</v>
      </c>
      <c r="Y309" s="27" t="str">
        <f t="shared" si="19"/>
        <v>20</v>
      </c>
    </row>
    <row r="310" spans="1:25" x14ac:dyDescent="0.25">
      <c r="A310" s="1">
        <v>45346</v>
      </c>
      <c r="B310" t="s">
        <v>50</v>
      </c>
      <c r="C310">
        <v>1</v>
      </c>
      <c r="D310" t="s">
        <v>76</v>
      </c>
      <c r="E310" t="s">
        <v>22</v>
      </c>
      <c r="F310" t="s">
        <v>73</v>
      </c>
      <c r="G310" t="s">
        <v>24</v>
      </c>
      <c r="H310" t="s">
        <v>40</v>
      </c>
      <c r="I310">
        <v>4</v>
      </c>
      <c r="J310">
        <v>9.84</v>
      </c>
      <c r="K310">
        <v>7</v>
      </c>
      <c r="L310">
        <v>171.8</v>
      </c>
      <c r="M310">
        <v>88</v>
      </c>
      <c r="N310" t="s">
        <v>55</v>
      </c>
      <c r="O310">
        <v>46</v>
      </c>
      <c r="P310">
        <v>726</v>
      </c>
      <c r="Q310" s="27" t="str">
        <f>IF(D310=Pivot!$AS$4,R309, "")</f>
        <v/>
      </c>
      <c r="R310" t="s">
        <v>27</v>
      </c>
      <c r="S310" s="5">
        <v>6.34</v>
      </c>
      <c r="T310">
        <v>83.32</v>
      </c>
      <c r="U310">
        <v>251.97</v>
      </c>
      <c r="V310" s="27">
        <f t="shared" si="16"/>
        <v>275.52</v>
      </c>
      <c r="W310">
        <f t="shared" si="17"/>
        <v>423.77</v>
      </c>
      <c r="X310" s="33" t="str">
        <f t="shared" si="18"/>
        <v>Mid Quality</v>
      </c>
      <c r="Y310" s="27" t="str">
        <f t="shared" si="19"/>
        <v>10</v>
      </c>
    </row>
    <row r="311" spans="1:25" x14ac:dyDescent="0.25">
      <c r="A311" s="1">
        <v>45578</v>
      </c>
      <c r="B311" t="s">
        <v>65</v>
      </c>
      <c r="C311">
        <v>2</v>
      </c>
      <c r="D311" t="s">
        <v>79</v>
      </c>
      <c r="E311" t="s">
        <v>30</v>
      </c>
      <c r="F311" t="s">
        <v>44</v>
      </c>
      <c r="G311" t="s">
        <v>32</v>
      </c>
      <c r="H311" t="s">
        <v>25</v>
      </c>
      <c r="I311">
        <v>1</v>
      </c>
      <c r="J311">
        <v>2.11</v>
      </c>
      <c r="K311">
        <v>6</v>
      </c>
      <c r="L311">
        <v>63.13</v>
      </c>
      <c r="M311">
        <v>32</v>
      </c>
      <c r="N311" t="s">
        <v>55</v>
      </c>
      <c r="O311">
        <v>47</v>
      </c>
      <c r="P311">
        <v>619</v>
      </c>
      <c r="Q311" s="27" t="str">
        <f>IF(D311=Pivot!$AS$4,R310, "")</f>
        <v/>
      </c>
      <c r="R311" t="s">
        <v>27</v>
      </c>
      <c r="S311" s="5">
        <v>7.59</v>
      </c>
      <c r="T311">
        <v>83.82</v>
      </c>
      <c r="U311">
        <v>33.67</v>
      </c>
      <c r="V311" s="27">
        <f t="shared" si="16"/>
        <v>12.66</v>
      </c>
      <c r="W311">
        <f t="shared" si="17"/>
        <v>96.800000000000011</v>
      </c>
      <c r="X311" s="33" t="str">
        <f t="shared" si="18"/>
        <v>High Quality</v>
      </c>
      <c r="Y311" s="27" t="str">
        <f t="shared" si="19"/>
        <v>4</v>
      </c>
    </row>
    <row r="312" spans="1:25" x14ac:dyDescent="0.25">
      <c r="A312" s="1">
        <v>45329</v>
      </c>
      <c r="B312" t="s">
        <v>35</v>
      </c>
      <c r="C312">
        <v>2</v>
      </c>
      <c r="D312" t="s">
        <v>21</v>
      </c>
      <c r="E312" t="s">
        <v>37</v>
      </c>
      <c r="F312" t="s">
        <v>89</v>
      </c>
      <c r="G312" t="s">
        <v>60</v>
      </c>
      <c r="H312" t="s">
        <v>25</v>
      </c>
      <c r="I312">
        <v>1</v>
      </c>
      <c r="J312">
        <v>5.98</v>
      </c>
      <c r="K312">
        <v>6</v>
      </c>
      <c r="L312">
        <v>322.3</v>
      </c>
      <c r="M312">
        <v>27</v>
      </c>
      <c r="N312" t="s">
        <v>41</v>
      </c>
      <c r="O312">
        <v>15</v>
      </c>
      <c r="P312">
        <v>980</v>
      </c>
      <c r="Q312" s="27" t="str">
        <f>IF(D312=Pivot!$AS$4,R311, "")</f>
        <v/>
      </c>
      <c r="R312" t="s">
        <v>34</v>
      </c>
      <c r="S312" s="5">
        <v>1.53</v>
      </c>
      <c r="T312">
        <v>95.94</v>
      </c>
      <c r="U312">
        <v>145.04</v>
      </c>
      <c r="V312" s="27">
        <f t="shared" si="16"/>
        <v>35.880000000000003</v>
      </c>
      <c r="W312">
        <f t="shared" si="17"/>
        <v>467.34000000000003</v>
      </c>
      <c r="X312" s="33" t="str">
        <f t="shared" si="18"/>
        <v>High Quality</v>
      </c>
      <c r="Y312" s="27" t="str">
        <f t="shared" si="19"/>
        <v>6</v>
      </c>
    </row>
    <row r="313" spans="1:25" x14ac:dyDescent="0.25">
      <c r="A313" s="1">
        <v>45549</v>
      </c>
      <c r="B313" t="s">
        <v>28</v>
      </c>
      <c r="C313">
        <v>2</v>
      </c>
      <c r="D313" t="s">
        <v>21</v>
      </c>
      <c r="E313" t="s">
        <v>67</v>
      </c>
      <c r="F313" t="s">
        <v>54</v>
      </c>
      <c r="G313" t="s">
        <v>60</v>
      </c>
      <c r="H313" t="s">
        <v>40</v>
      </c>
      <c r="I313">
        <v>3</v>
      </c>
      <c r="J313">
        <v>9.2899999999999991</v>
      </c>
      <c r="K313">
        <v>5</v>
      </c>
      <c r="L313">
        <v>228.09</v>
      </c>
      <c r="M313">
        <v>52</v>
      </c>
      <c r="N313" t="s">
        <v>41</v>
      </c>
      <c r="O313">
        <v>37</v>
      </c>
      <c r="P313">
        <v>374</v>
      </c>
      <c r="Q313" s="27" t="str">
        <f>IF(D313=Pivot!$AS$4,R312, "")</f>
        <v/>
      </c>
      <c r="R313" t="s">
        <v>34</v>
      </c>
      <c r="S313" s="5">
        <v>9.89</v>
      </c>
      <c r="T313">
        <v>77.22</v>
      </c>
      <c r="U313">
        <v>197.68</v>
      </c>
      <c r="V313" s="27">
        <f t="shared" si="16"/>
        <v>139.35</v>
      </c>
      <c r="W313">
        <f t="shared" si="17"/>
        <v>425.77</v>
      </c>
      <c r="X313" s="33" t="str">
        <f t="shared" si="18"/>
        <v>Mid Quality</v>
      </c>
      <c r="Y313" s="27" t="str">
        <f t="shared" si="19"/>
        <v>10</v>
      </c>
    </row>
    <row r="314" spans="1:25" x14ac:dyDescent="0.25">
      <c r="A314" s="1">
        <v>45442</v>
      </c>
      <c r="B314" t="s">
        <v>75</v>
      </c>
      <c r="C314">
        <v>3</v>
      </c>
      <c r="D314" t="s">
        <v>66</v>
      </c>
      <c r="E314" t="s">
        <v>37</v>
      </c>
      <c r="F314" t="s">
        <v>81</v>
      </c>
      <c r="G314" t="s">
        <v>39</v>
      </c>
      <c r="H314" t="s">
        <v>25</v>
      </c>
      <c r="I314">
        <v>4</v>
      </c>
      <c r="J314">
        <v>3.98</v>
      </c>
      <c r="K314">
        <v>4</v>
      </c>
      <c r="L314">
        <v>184.4</v>
      </c>
      <c r="M314">
        <v>71</v>
      </c>
      <c r="N314" t="s">
        <v>45</v>
      </c>
      <c r="O314">
        <v>16</v>
      </c>
      <c r="P314">
        <v>591</v>
      </c>
      <c r="Q314" s="27" t="str">
        <f>IF(D314=Pivot!$AS$4,R313, "")</f>
        <v/>
      </c>
      <c r="R314" t="s">
        <v>27</v>
      </c>
      <c r="S314" s="5">
        <v>2.71</v>
      </c>
      <c r="T314">
        <v>90.58</v>
      </c>
      <c r="U314">
        <v>218.21</v>
      </c>
      <c r="V314" s="27">
        <f t="shared" si="16"/>
        <v>63.68</v>
      </c>
      <c r="W314">
        <f t="shared" si="17"/>
        <v>402.61</v>
      </c>
      <c r="X314" s="33" t="str">
        <f t="shared" si="18"/>
        <v>High Quality</v>
      </c>
      <c r="Y314" s="27" t="str">
        <f t="shared" si="19"/>
        <v>4</v>
      </c>
    </row>
    <row r="315" spans="1:25" x14ac:dyDescent="0.25">
      <c r="A315" s="1">
        <v>45466</v>
      </c>
      <c r="B315" t="s">
        <v>20</v>
      </c>
      <c r="C315">
        <v>3</v>
      </c>
      <c r="D315" t="s">
        <v>91</v>
      </c>
      <c r="E315" t="s">
        <v>30</v>
      </c>
      <c r="F315" t="s">
        <v>89</v>
      </c>
      <c r="G315" t="s">
        <v>32</v>
      </c>
      <c r="H315" t="s">
        <v>25</v>
      </c>
      <c r="I315">
        <v>3</v>
      </c>
      <c r="J315">
        <v>19</v>
      </c>
      <c r="K315">
        <v>4</v>
      </c>
      <c r="L315">
        <v>440.12</v>
      </c>
      <c r="M315">
        <v>46</v>
      </c>
      <c r="N315" t="s">
        <v>49</v>
      </c>
      <c r="O315">
        <v>5</v>
      </c>
      <c r="P315">
        <v>926</v>
      </c>
      <c r="Q315" s="27" t="str">
        <f>IF(D315=Pivot!$AS$4,R314, "")</f>
        <v/>
      </c>
      <c r="R315" t="s">
        <v>42</v>
      </c>
      <c r="S315" s="5">
        <v>0.54</v>
      </c>
      <c r="T315">
        <v>95.92</v>
      </c>
      <c r="U315">
        <v>337.43</v>
      </c>
      <c r="V315" s="27">
        <f t="shared" si="16"/>
        <v>228</v>
      </c>
      <c r="W315">
        <f t="shared" si="17"/>
        <v>777.55</v>
      </c>
      <c r="X315" s="33" t="str">
        <f t="shared" si="18"/>
        <v>Low Quality</v>
      </c>
      <c r="Y315" s="27" t="str">
        <f t="shared" si="19"/>
        <v>20</v>
      </c>
    </row>
    <row r="316" spans="1:25" x14ac:dyDescent="0.25">
      <c r="A316" s="1">
        <v>45351</v>
      </c>
      <c r="B316" t="s">
        <v>75</v>
      </c>
      <c r="C316">
        <v>1</v>
      </c>
      <c r="D316" t="s">
        <v>83</v>
      </c>
      <c r="E316" t="s">
        <v>67</v>
      </c>
      <c r="F316" t="s">
        <v>62</v>
      </c>
      <c r="G316" t="s">
        <v>32</v>
      </c>
      <c r="H316" t="s">
        <v>40</v>
      </c>
      <c r="I316">
        <v>3</v>
      </c>
      <c r="J316">
        <v>15.57</v>
      </c>
      <c r="K316">
        <v>3</v>
      </c>
      <c r="L316">
        <v>386.03</v>
      </c>
      <c r="M316">
        <v>44</v>
      </c>
      <c r="N316" t="s">
        <v>63</v>
      </c>
      <c r="O316">
        <v>2</v>
      </c>
      <c r="P316">
        <v>946</v>
      </c>
      <c r="Q316" s="27" t="str">
        <f>IF(D316=Pivot!$AS$4,R315, "")</f>
        <v/>
      </c>
      <c r="R316" t="s">
        <v>42</v>
      </c>
      <c r="S316" s="5">
        <v>0.21</v>
      </c>
      <c r="T316">
        <v>96.58</v>
      </c>
      <c r="U316">
        <v>283.08999999999997</v>
      </c>
      <c r="V316" s="27">
        <f t="shared" si="16"/>
        <v>140.13</v>
      </c>
      <c r="W316">
        <f t="shared" si="17"/>
        <v>669.11999999999989</v>
      </c>
      <c r="X316" s="33" t="str">
        <f t="shared" si="18"/>
        <v>Low Quality</v>
      </c>
      <c r="Y316" s="27" t="str">
        <f t="shared" si="19"/>
        <v>16</v>
      </c>
    </row>
    <row r="317" spans="1:25" x14ac:dyDescent="0.25">
      <c r="A317" s="1">
        <v>45554</v>
      </c>
      <c r="B317" t="s">
        <v>20</v>
      </c>
      <c r="C317">
        <v>1</v>
      </c>
      <c r="D317" t="s">
        <v>74</v>
      </c>
      <c r="E317" t="s">
        <v>51</v>
      </c>
      <c r="F317" t="s">
        <v>68</v>
      </c>
      <c r="G317" t="s">
        <v>60</v>
      </c>
      <c r="H317" t="s">
        <v>40</v>
      </c>
      <c r="I317">
        <v>2</v>
      </c>
      <c r="J317">
        <v>6.1</v>
      </c>
      <c r="K317">
        <v>8</v>
      </c>
      <c r="L317">
        <v>435.99</v>
      </c>
      <c r="M317">
        <v>10</v>
      </c>
      <c r="N317" t="s">
        <v>41</v>
      </c>
      <c r="O317">
        <v>28</v>
      </c>
      <c r="P317">
        <v>135</v>
      </c>
      <c r="Q317" s="27" t="str">
        <f>IF(D317=Pivot!$AS$4,R316, "")</f>
        <v/>
      </c>
      <c r="R317" t="s">
        <v>46</v>
      </c>
      <c r="S317" s="5">
        <v>20.74</v>
      </c>
      <c r="T317">
        <v>56.52</v>
      </c>
      <c r="U317">
        <v>72.66</v>
      </c>
      <c r="V317" s="27">
        <f t="shared" si="16"/>
        <v>97.6</v>
      </c>
      <c r="W317">
        <f t="shared" si="17"/>
        <v>508.65</v>
      </c>
      <c r="X317" s="33" t="str">
        <f t="shared" si="18"/>
        <v>Mid Quality</v>
      </c>
      <c r="Y317" s="27" t="str">
        <f t="shared" si="19"/>
        <v>8</v>
      </c>
    </row>
    <row r="318" spans="1:25" x14ac:dyDescent="0.25">
      <c r="A318" s="1">
        <v>45423</v>
      </c>
      <c r="B318" t="s">
        <v>75</v>
      </c>
      <c r="C318">
        <v>3</v>
      </c>
      <c r="D318" t="s">
        <v>64</v>
      </c>
      <c r="E318" t="s">
        <v>51</v>
      </c>
      <c r="F318" t="s">
        <v>72</v>
      </c>
      <c r="G318" t="s">
        <v>32</v>
      </c>
      <c r="H318" t="s">
        <v>33</v>
      </c>
      <c r="I318">
        <v>2</v>
      </c>
      <c r="J318">
        <v>12.23</v>
      </c>
      <c r="K318">
        <v>7</v>
      </c>
      <c r="L318">
        <v>272.74</v>
      </c>
      <c r="M318">
        <v>24</v>
      </c>
      <c r="N318" t="s">
        <v>55</v>
      </c>
      <c r="O318">
        <v>41</v>
      </c>
      <c r="P318">
        <v>410</v>
      </c>
      <c r="Q318" s="27" t="str">
        <f>IF(D318=Pivot!$AS$4,R317, "")</f>
        <v/>
      </c>
      <c r="R318" t="s">
        <v>57</v>
      </c>
      <c r="S318" s="5">
        <v>10</v>
      </c>
      <c r="T318">
        <v>78</v>
      </c>
      <c r="U318">
        <v>109.1</v>
      </c>
      <c r="V318" s="27">
        <f t="shared" si="16"/>
        <v>171.22</v>
      </c>
      <c r="W318">
        <f t="shared" si="17"/>
        <v>381.84000000000003</v>
      </c>
      <c r="X318" s="33" t="str">
        <f t="shared" si="18"/>
        <v>Mid Quality</v>
      </c>
      <c r="Y318" s="27" t="str">
        <f t="shared" si="19"/>
        <v>14</v>
      </c>
    </row>
    <row r="319" spans="1:25" x14ac:dyDescent="0.25">
      <c r="A319" s="1">
        <v>45567</v>
      </c>
      <c r="B319" t="s">
        <v>65</v>
      </c>
      <c r="C319">
        <v>3</v>
      </c>
      <c r="D319" t="s">
        <v>43</v>
      </c>
      <c r="E319" t="s">
        <v>22</v>
      </c>
      <c r="F319" t="s">
        <v>73</v>
      </c>
      <c r="G319" t="s">
        <v>60</v>
      </c>
      <c r="H319" t="s">
        <v>33</v>
      </c>
      <c r="I319">
        <v>4</v>
      </c>
      <c r="J319">
        <v>14.71</v>
      </c>
      <c r="K319">
        <v>9</v>
      </c>
      <c r="L319">
        <v>108.92</v>
      </c>
      <c r="M319">
        <v>15</v>
      </c>
      <c r="N319" t="s">
        <v>45</v>
      </c>
      <c r="O319">
        <v>27</v>
      </c>
      <c r="P319">
        <v>143</v>
      </c>
      <c r="Q319" s="27" t="str">
        <f>IF(D319=Pivot!$AS$4,R318, "")</f>
        <v/>
      </c>
      <c r="R319" t="s">
        <v>46</v>
      </c>
      <c r="S319" s="5">
        <v>18.88</v>
      </c>
      <c r="T319">
        <v>58.24</v>
      </c>
      <c r="U319">
        <v>27.23</v>
      </c>
      <c r="V319" s="27">
        <f t="shared" si="16"/>
        <v>529.56000000000006</v>
      </c>
      <c r="W319">
        <f t="shared" si="17"/>
        <v>136.15</v>
      </c>
      <c r="X319" s="33" t="str">
        <f t="shared" si="18"/>
        <v>Mid Quality</v>
      </c>
      <c r="Y319" s="27" t="str">
        <f t="shared" si="19"/>
        <v>16</v>
      </c>
    </row>
    <row r="320" spans="1:25" x14ac:dyDescent="0.25">
      <c r="A320" s="1">
        <v>45586</v>
      </c>
      <c r="B320" t="s">
        <v>28</v>
      </c>
      <c r="C320">
        <v>3</v>
      </c>
      <c r="D320" t="s">
        <v>58</v>
      </c>
      <c r="E320" t="s">
        <v>30</v>
      </c>
      <c r="F320" t="s">
        <v>90</v>
      </c>
      <c r="G320" t="s">
        <v>39</v>
      </c>
      <c r="H320" t="s">
        <v>40</v>
      </c>
      <c r="I320">
        <v>5</v>
      </c>
      <c r="J320">
        <v>18.88</v>
      </c>
      <c r="K320">
        <v>1</v>
      </c>
      <c r="L320">
        <v>363.3</v>
      </c>
      <c r="M320">
        <v>31</v>
      </c>
      <c r="N320" t="s">
        <v>63</v>
      </c>
      <c r="O320">
        <v>31</v>
      </c>
      <c r="P320">
        <v>254</v>
      </c>
      <c r="Q320" s="27" t="str">
        <f>IF(D320=Pivot!$AS$4,R319, "")</f>
        <v/>
      </c>
      <c r="R320" t="s">
        <v>27</v>
      </c>
      <c r="S320" s="5">
        <v>12.2</v>
      </c>
      <c r="T320">
        <v>70.599999999999994</v>
      </c>
      <c r="U320">
        <v>187.7</v>
      </c>
      <c r="V320" s="27">
        <f t="shared" si="16"/>
        <v>94.399999999999991</v>
      </c>
      <c r="W320">
        <f t="shared" si="17"/>
        <v>551</v>
      </c>
      <c r="X320" s="33" t="str">
        <f t="shared" si="18"/>
        <v>Low Quality</v>
      </c>
      <c r="Y320" s="27" t="str">
        <f t="shared" si="19"/>
        <v>20</v>
      </c>
    </row>
    <row r="321" spans="1:25" x14ac:dyDescent="0.25">
      <c r="A321" s="1">
        <v>45420</v>
      </c>
      <c r="B321" t="s">
        <v>20</v>
      </c>
      <c r="C321">
        <v>2</v>
      </c>
      <c r="D321" t="s">
        <v>64</v>
      </c>
      <c r="E321" t="s">
        <v>30</v>
      </c>
      <c r="F321" t="s">
        <v>78</v>
      </c>
      <c r="G321" t="s">
        <v>60</v>
      </c>
      <c r="H321" t="s">
        <v>48</v>
      </c>
      <c r="I321">
        <v>2</v>
      </c>
      <c r="J321">
        <v>17.75</v>
      </c>
      <c r="K321">
        <v>7</v>
      </c>
      <c r="L321">
        <v>142.72999999999999</v>
      </c>
      <c r="M321">
        <v>25</v>
      </c>
      <c r="N321" t="s">
        <v>26</v>
      </c>
      <c r="O321">
        <v>41</v>
      </c>
      <c r="P321">
        <v>176</v>
      </c>
      <c r="Q321" s="27" t="str">
        <f>IF(D321=Pivot!$AS$4,R320, "")</f>
        <v/>
      </c>
      <c r="R321" t="s">
        <v>27</v>
      </c>
      <c r="S321" s="5">
        <v>23.3</v>
      </c>
      <c r="T321">
        <v>51.4</v>
      </c>
      <c r="U321">
        <v>59.47</v>
      </c>
      <c r="V321" s="27">
        <f t="shared" si="16"/>
        <v>248.5</v>
      </c>
      <c r="W321">
        <f t="shared" si="17"/>
        <v>202.2</v>
      </c>
      <c r="X321" s="33" t="str">
        <f t="shared" si="18"/>
        <v>Low Quality</v>
      </c>
      <c r="Y321" s="27" t="str">
        <f t="shared" si="19"/>
        <v>18</v>
      </c>
    </row>
    <row r="322" spans="1:25" x14ac:dyDescent="0.25">
      <c r="A322" s="1">
        <v>45518</v>
      </c>
      <c r="B322" t="s">
        <v>35</v>
      </c>
      <c r="C322">
        <v>2</v>
      </c>
      <c r="D322" t="s">
        <v>82</v>
      </c>
      <c r="E322" t="s">
        <v>51</v>
      </c>
      <c r="F322" t="s">
        <v>68</v>
      </c>
      <c r="G322" t="s">
        <v>32</v>
      </c>
      <c r="H322" t="s">
        <v>25</v>
      </c>
      <c r="I322">
        <v>5</v>
      </c>
      <c r="J322">
        <v>10.79</v>
      </c>
      <c r="K322">
        <v>4</v>
      </c>
      <c r="L322">
        <v>248.55</v>
      </c>
      <c r="M322">
        <v>17</v>
      </c>
      <c r="N322" t="s">
        <v>55</v>
      </c>
      <c r="O322">
        <v>36</v>
      </c>
      <c r="P322">
        <v>689</v>
      </c>
      <c r="Q322" s="27" t="str">
        <f>IF(D322=Pivot!$AS$4,R321, "")</f>
        <v/>
      </c>
      <c r="R322" t="s">
        <v>27</v>
      </c>
      <c r="S322" s="5">
        <v>5.22</v>
      </c>
      <c r="T322">
        <v>84.56</v>
      </c>
      <c r="U322">
        <v>70.42</v>
      </c>
      <c r="V322" s="27">
        <f t="shared" ref="V322:V385" si="20">K322*I322*J322</f>
        <v>215.79999999999998</v>
      </c>
      <c r="W322">
        <f t="shared" ref="W322:W385" si="21">U322+L322</f>
        <v>318.97000000000003</v>
      </c>
      <c r="X322" s="33" t="str">
        <f t="shared" ref="X322:X385" si="22">_xlfn.IFS(J322&lt;6,"High Quality",J322&lt;=15,"Mid Quality",J322&gt;15,"Low Quality")</f>
        <v>Mid Quality</v>
      </c>
      <c r="Y322" s="27" t="str">
        <f t="shared" ref="Y322:Y385" si="23">_xlfn.IFS(J322&lt;=0,"0",J322&lt;=2,"2",J322&lt;=4,"4",J322&lt;=6,"6",J322&lt;=8,"8",J322&lt;=10,"10",J322&lt;=12,"12",J322&lt;=14,"14",J322&lt;=16,"16",J322&lt;=16,"16",J322&lt;=18,"18",J322&lt;=20,"20")</f>
        <v>12</v>
      </c>
    </row>
    <row r="323" spans="1:25" x14ac:dyDescent="0.25">
      <c r="A323" s="1">
        <v>45485</v>
      </c>
      <c r="B323" t="s">
        <v>75</v>
      </c>
      <c r="C323">
        <v>3</v>
      </c>
      <c r="D323" t="s">
        <v>21</v>
      </c>
      <c r="E323" t="s">
        <v>37</v>
      </c>
      <c r="F323" t="s">
        <v>44</v>
      </c>
      <c r="G323" t="s">
        <v>32</v>
      </c>
      <c r="H323" t="s">
        <v>33</v>
      </c>
      <c r="I323">
        <v>1</v>
      </c>
      <c r="J323">
        <v>15.72</v>
      </c>
      <c r="K323">
        <v>7</v>
      </c>
      <c r="L323">
        <v>79.25</v>
      </c>
      <c r="M323">
        <v>39</v>
      </c>
      <c r="N323" t="s">
        <v>55</v>
      </c>
      <c r="O323">
        <v>47</v>
      </c>
      <c r="P323">
        <v>712</v>
      </c>
      <c r="Q323" s="27" t="str">
        <f>IF(D323=Pivot!$AS$4,R322, "")</f>
        <v/>
      </c>
      <c r="R323" t="s">
        <v>57</v>
      </c>
      <c r="S323" s="5">
        <v>6.6</v>
      </c>
      <c r="T323">
        <v>85.8</v>
      </c>
      <c r="U323">
        <v>51.51</v>
      </c>
      <c r="V323" s="27">
        <f t="shared" si="20"/>
        <v>110.04</v>
      </c>
      <c r="W323">
        <f t="shared" si="21"/>
        <v>130.76</v>
      </c>
      <c r="X323" s="33" t="str">
        <f t="shared" si="22"/>
        <v>Low Quality</v>
      </c>
      <c r="Y323" s="27" t="str">
        <f t="shared" si="23"/>
        <v>16</v>
      </c>
    </row>
    <row r="324" spans="1:25" x14ac:dyDescent="0.25">
      <c r="A324" s="1">
        <v>45580</v>
      </c>
      <c r="B324" t="s">
        <v>75</v>
      </c>
      <c r="C324">
        <v>2</v>
      </c>
      <c r="D324" t="s">
        <v>43</v>
      </c>
      <c r="E324" t="s">
        <v>67</v>
      </c>
      <c r="F324" t="s">
        <v>38</v>
      </c>
      <c r="G324" t="s">
        <v>60</v>
      </c>
      <c r="H324" t="s">
        <v>25</v>
      </c>
      <c r="I324">
        <v>2</v>
      </c>
      <c r="J324">
        <v>11.68</v>
      </c>
      <c r="K324">
        <v>1</v>
      </c>
      <c r="L324">
        <v>421.39</v>
      </c>
      <c r="M324">
        <v>51</v>
      </c>
      <c r="N324" t="s">
        <v>26</v>
      </c>
      <c r="O324">
        <v>43</v>
      </c>
      <c r="P324">
        <v>537</v>
      </c>
      <c r="Q324" s="27" t="str">
        <f>IF(D324=Pivot!$AS$4,R323, "")</f>
        <v/>
      </c>
      <c r="R324" t="s">
        <v>34</v>
      </c>
      <c r="S324" s="5">
        <v>8.01</v>
      </c>
      <c r="T324">
        <v>81.98</v>
      </c>
      <c r="U324">
        <v>358.18</v>
      </c>
      <c r="V324" s="27">
        <f t="shared" si="20"/>
        <v>23.36</v>
      </c>
      <c r="W324">
        <f t="shared" si="21"/>
        <v>779.56999999999994</v>
      </c>
      <c r="X324" s="33" t="str">
        <f t="shared" si="22"/>
        <v>Mid Quality</v>
      </c>
      <c r="Y324" s="27" t="str">
        <f t="shared" si="23"/>
        <v>12</v>
      </c>
    </row>
    <row r="325" spans="1:25" x14ac:dyDescent="0.25">
      <c r="A325" s="1">
        <v>45539</v>
      </c>
      <c r="B325" t="s">
        <v>20</v>
      </c>
      <c r="C325">
        <v>2</v>
      </c>
      <c r="D325" t="s">
        <v>58</v>
      </c>
      <c r="E325" t="s">
        <v>37</v>
      </c>
      <c r="F325" t="s">
        <v>72</v>
      </c>
      <c r="G325" t="s">
        <v>60</v>
      </c>
      <c r="H325" t="s">
        <v>61</v>
      </c>
      <c r="I325">
        <v>2</v>
      </c>
      <c r="J325">
        <v>11.5</v>
      </c>
      <c r="K325">
        <v>5</v>
      </c>
      <c r="L325">
        <v>106.67</v>
      </c>
      <c r="M325">
        <v>32</v>
      </c>
      <c r="N325" t="s">
        <v>49</v>
      </c>
      <c r="O325">
        <v>1</v>
      </c>
      <c r="P325">
        <v>531</v>
      </c>
      <c r="Q325" s="27" t="str">
        <f>IF(D325=Pivot!$AS$4,R324, "")</f>
        <v/>
      </c>
      <c r="R325" t="s">
        <v>57</v>
      </c>
      <c r="S325" s="5">
        <v>0.19</v>
      </c>
      <c r="T325">
        <v>97.62</v>
      </c>
      <c r="U325">
        <v>56.89</v>
      </c>
      <c r="V325" s="27">
        <f t="shared" si="20"/>
        <v>115</v>
      </c>
      <c r="W325">
        <f t="shared" si="21"/>
        <v>163.56</v>
      </c>
      <c r="X325" s="33" t="str">
        <f t="shared" si="22"/>
        <v>Mid Quality</v>
      </c>
      <c r="Y325" s="27" t="str">
        <f t="shared" si="23"/>
        <v>12</v>
      </c>
    </row>
    <row r="326" spans="1:25" x14ac:dyDescent="0.25">
      <c r="A326" s="1">
        <v>45416</v>
      </c>
      <c r="B326" t="s">
        <v>35</v>
      </c>
      <c r="C326">
        <v>1</v>
      </c>
      <c r="D326" t="s">
        <v>64</v>
      </c>
      <c r="E326" t="s">
        <v>37</v>
      </c>
      <c r="F326" t="s">
        <v>86</v>
      </c>
      <c r="G326" t="s">
        <v>60</v>
      </c>
      <c r="H326" t="s">
        <v>40</v>
      </c>
      <c r="I326">
        <v>4</v>
      </c>
      <c r="J326">
        <v>3.18</v>
      </c>
      <c r="K326">
        <v>3</v>
      </c>
      <c r="L326">
        <v>456.39</v>
      </c>
      <c r="M326">
        <v>25</v>
      </c>
      <c r="N326" t="s">
        <v>49</v>
      </c>
      <c r="O326">
        <v>29</v>
      </c>
      <c r="P326">
        <v>641</v>
      </c>
      <c r="Q326" s="27" t="str">
        <f>IF(D326=Pivot!$AS$4,R325, "")</f>
        <v/>
      </c>
      <c r="R326" t="s">
        <v>46</v>
      </c>
      <c r="S326" s="5">
        <v>4.5199999999999996</v>
      </c>
      <c r="T326">
        <v>86.96</v>
      </c>
      <c r="U326">
        <v>190.16</v>
      </c>
      <c r="V326" s="27">
        <f t="shared" si="20"/>
        <v>38.160000000000004</v>
      </c>
      <c r="W326">
        <f t="shared" si="21"/>
        <v>646.54999999999995</v>
      </c>
      <c r="X326" s="33" t="str">
        <f t="shared" si="22"/>
        <v>High Quality</v>
      </c>
      <c r="Y326" s="27" t="str">
        <f t="shared" si="23"/>
        <v>4</v>
      </c>
    </row>
    <row r="327" spans="1:25" x14ac:dyDescent="0.25">
      <c r="A327" s="1">
        <v>45465</v>
      </c>
      <c r="B327" t="s">
        <v>35</v>
      </c>
      <c r="C327">
        <v>3</v>
      </c>
      <c r="D327" t="s">
        <v>21</v>
      </c>
      <c r="E327" t="s">
        <v>51</v>
      </c>
      <c r="F327" t="s">
        <v>59</v>
      </c>
      <c r="G327" t="s">
        <v>52</v>
      </c>
      <c r="H327" t="s">
        <v>48</v>
      </c>
      <c r="I327">
        <v>5</v>
      </c>
      <c r="J327">
        <v>3.4</v>
      </c>
      <c r="K327">
        <v>5</v>
      </c>
      <c r="L327">
        <v>438.9</v>
      </c>
      <c r="M327">
        <v>22</v>
      </c>
      <c r="N327" t="s">
        <v>41</v>
      </c>
      <c r="O327">
        <v>1</v>
      </c>
      <c r="P327">
        <v>138</v>
      </c>
      <c r="Q327" s="27" t="str">
        <f>IF(D327=Pivot!$AS$4,R326, "")</f>
        <v/>
      </c>
      <c r="R327" t="s">
        <v>34</v>
      </c>
      <c r="S327" s="5">
        <v>0.72</v>
      </c>
      <c r="T327">
        <v>93.56</v>
      </c>
      <c r="U327">
        <v>160.93</v>
      </c>
      <c r="V327" s="27">
        <f t="shared" si="20"/>
        <v>85</v>
      </c>
      <c r="W327">
        <f t="shared" si="21"/>
        <v>599.82999999999993</v>
      </c>
      <c r="X327" s="33" t="str">
        <f t="shared" si="22"/>
        <v>High Quality</v>
      </c>
      <c r="Y327" s="27" t="str">
        <f t="shared" si="23"/>
        <v>4</v>
      </c>
    </row>
    <row r="328" spans="1:25" x14ac:dyDescent="0.25">
      <c r="A328" s="1">
        <v>45526</v>
      </c>
      <c r="B328" t="s">
        <v>65</v>
      </c>
      <c r="C328">
        <v>3</v>
      </c>
      <c r="D328" t="s">
        <v>80</v>
      </c>
      <c r="E328" t="s">
        <v>51</v>
      </c>
      <c r="F328" t="s">
        <v>90</v>
      </c>
      <c r="G328" t="s">
        <v>32</v>
      </c>
      <c r="H328" t="s">
        <v>61</v>
      </c>
      <c r="I328">
        <v>2</v>
      </c>
      <c r="J328">
        <v>11.06</v>
      </c>
      <c r="K328">
        <v>4</v>
      </c>
      <c r="L328">
        <v>259.06</v>
      </c>
      <c r="M328">
        <v>35</v>
      </c>
      <c r="N328" t="s">
        <v>41</v>
      </c>
      <c r="O328">
        <v>8</v>
      </c>
      <c r="P328">
        <v>338</v>
      </c>
      <c r="Q328" s="27" t="str">
        <f>IF(D328=Pivot!$AS$4,R327, "")</f>
        <v>Kritik hata</v>
      </c>
      <c r="R328" t="s">
        <v>34</v>
      </c>
      <c r="S328" s="5">
        <v>2.37</v>
      </c>
      <c r="T328">
        <v>93.26</v>
      </c>
      <c r="U328">
        <v>151.12</v>
      </c>
      <c r="V328" s="27">
        <f t="shared" si="20"/>
        <v>88.48</v>
      </c>
      <c r="W328">
        <f t="shared" si="21"/>
        <v>410.18</v>
      </c>
      <c r="X328" s="33" t="str">
        <f t="shared" si="22"/>
        <v>Mid Quality</v>
      </c>
      <c r="Y328" s="27" t="str">
        <f t="shared" si="23"/>
        <v>12</v>
      </c>
    </row>
    <row r="329" spans="1:25" x14ac:dyDescent="0.25">
      <c r="A329" s="1">
        <v>45527</v>
      </c>
      <c r="B329" t="s">
        <v>65</v>
      </c>
      <c r="C329">
        <v>2</v>
      </c>
      <c r="D329" t="s">
        <v>43</v>
      </c>
      <c r="E329" t="s">
        <v>51</v>
      </c>
      <c r="F329" t="s">
        <v>73</v>
      </c>
      <c r="G329" t="s">
        <v>32</v>
      </c>
      <c r="H329" t="s">
        <v>61</v>
      </c>
      <c r="I329">
        <v>2</v>
      </c>
      <c r="J329">
        <v>6.11</v>
      </c>
      <c r="K329">
        <v>2</v>
      </c>
      <c r="L329">
        <v>384.97</v>
      </c>
      <c r="M329">
        <v>64</v>
      </c>
      <c r="N329" t="s">
        <v>55</v>
      </c>
      <c r="O329">
        <v>16</v>
      </c>
      <c r="P329">
        <v>112</v>
      </c>
      <c r="Q329" s="27" t="str">
        <f>IF(D329=Pivot!$AS$4,R328, "")</f>
        <v/>
      </c>
      <c r="R329" t="s">
        <v>46</v>
      </c>
      <c r="S329" s="5">
        <v>14.29</v>
      </c>
      <c r="T329">
        <v>69.42</v>
      </c>
      <c r="U329">
        <v>410.63</v>
      </c>
      <c r="V329" s="27">
        <f t="shared" si="20"/>
        <v>24.44</v>
      </c>
      <c r="W329">
        <f t="shared" si="21"/>
        <v>795.6</v>
      </c>
      <c r="X329" s="33" t="str">
        <f t="shared" si="22"/>
        <v>Mid Quality</v>
      </c>
      <c r="Y329" s="27" t="str">
        <f t="shared" si="23"/>
        <v>8</v>
      </c>
    </row>
    <row r="330" spans="1:25" x14ac:dyDescent="0.25">
      <c r="A330" s="1">
        <v>45592</v>
      </c>
      <c r="B330" t="s">
        <v>65</v>
      </c>
      <c r="C330">
        <v>3</v>
      </c>
      <c r="D330" t="s">
        <v>74</v>
      </c>
      <c r="E330" t="s">
        <v>22</v>
      </c>
      <c r="F330" t="s">
        <v>54</v>
      </c>
      <c r="G330" t="s">
        <v>52</v>
      </c>
      <c r="H330" t="s">
        <v>61</v>
      </c>
      <c r="I330">
        <v>4</v>
      </c>
      <c r="J330">
        <v>1.4</v>
      </c>
      <c r="K330">
        <v>4</v>
      </c>
      <c r="L330">
        <v>328.75</v>
      </c>
      <c r="M330">
        <v>41</v>
      </c>
      <c r="N330" t="s">
        <v>55</v>
      </c>
      <c r="O330">
        <v>28</v>
      </c>
      <c r="P330">
        <v>221</v>
      </c>
      <c r="Q330" s="27" t="str">
        <f>IF(D330=Pivot!$AS$4,R329, "")</f>
        <v/>
      </c>
      <c r="R330" t="s">
        <v>34</v>
      </c>
      <c r="S330" s="5">
        <v>12.67</v>
      </c>
      <c r="T330">
        <v>70.66</v>
      </c>
      <c r="U330">
        <v>224.65</v>
      </c>
      <c r="V330" s="27">
        <f t="shared" si="20"/>
        <v>22.4</v>
      </c>
      <c r="W330">
        <f t="shared" si="21"/>
        <v>553.4</v>
      </c>
      <c r="X330" s="33" t="str">
        <f t="shared" si="22"/>
        <v>High Quality</v>
      </c>
      <c r="Y330" s="27" t="str">
        <f t="shared" si="23"/>
        <v>2</v>
      </c>
    </row>
    <row r="331" spans="1:25" x14ac:dyDescent="0.25">
      <c r="A331" s="1">
        <v>45306</v>
      </c>
      <c r="B331" t="s">
        <v>65</v>
      </c>
      <c r="C331">
        <v>1</v>
      </c>
      <c r="D331" t="s">
        <v>79</v>
      </c>
      <c r="E331" t="s">
        <v>37</v>
      </c>
      <c r="F331" t="s">
        <v>56</v>
      </c>
      <c r="G331" t="s">
        <v>60</v>
      </c>
      <c r="H331" t="s">
        <v>40</v>
      </c>
      <c r="I331">
        <v>4</v>
      </c>
      <c r="J331">
        <v>14.73</v>
      </c>
      <c r="K331">
        <v>3</v>
      </c>
      <c r="L331">
        <v>411.38</v>
      </c>
      <c r="M331">
        <v>25</v>
      </c>
      <c r="N331" t="s">
        <v>41</v>
      </c>
      <c r="O331">
        <v>22</v>
      </c>
      <c r="P331">
        <v>243</v>
      </c>
      <c r="Q331" s="27" t="str">
        <f>IF(D331=Pivot!$AS$4,R330, "")</f>
        <v/>
      </c>
      <c r="R331" t="s">
        <v>42</v>
      </c>
      <c r="S331" s="5">
        <v>9.0500000000000007</v>
      </c>
      <c r="T331">
        <v>77.900000000000006</v>
      </c>
      <c r="U331">
        <v>171.41</v>
      </c>
      <c r="V331" s="27">
        <f t="shared" si="20"/>
        <v>176.76</v>
      </c>
      <c r="W331">
        <f t="shared" si="21"/>
        <v>582.79</v>
      </c>
      <c r="X331" s="33" t="str">
        <f t="shared" si="22"/>
        <v>Mid Quality</v>
      </c>
      <c r="Y331" s="27" t="str">
        <f t="shared" si="23"/>
        <v>16</v>
      </c>
    </row>
    <row r="332" spans="1:25" x14ac:dyDescent="0.25">
      <c r="A332" s="1">
        <v>45538</v>
      </c>
      <c r="B332" t="s">
        <v>65</v>
      </c>
      <c r="C332">
        <v>1</v>
      </c>
      <c r="D332" t="s">
        <v>83</v>
      </c>
      <c r="E332" t="s">
        <v>30</v>
      </c>
      <c r="F332" t="s">
        <v>86</v>
      </c>
      <c r="G332" t="s">
        <v>39</v>
      </c>
      <c r="H332" t="s">
        <v>33</v>
      </c>
      <c r="I332">
        <v>5</v>
      </c>
      <c r="J332">
        <v>1.62</v>
      </c>
      <c r="K332">
        <v>1</v>
      </c>
      <c r="L332">
        <v>244.31</v>
      </c>
      <c r="M332">
        <v>18</v>
      </c>
      <c r="N332" t="s">
        <v>26</v>
      </c>
      <c r="O332">
        <v>18</v>
      </c>
      <c r="P332">
        <v>783</v>
      </c>
      <c r="Q332" s="27" t="str">
        <f>IF(D332=Pivot!$AS$4,R331, "")</f>
        <v/>
      </c>
      <c r="R332" t="s">
        <v>46</v>
      </c>
      <c r="S332" s="5">
        <v>2.2999999999999998</v>
      </c>
      <c r="T332">
        <v>90.4</v>
      </c>
      <c r="U332">
        <v>73.290000000000006</v>
      </c>
      <c r="V332" s="27">
        <f t="shared" si="20"/>
        <v>8.1000000000000014</v>
      </c>
      <c r="W332">
        <f t="shared" si="21"/>
        <v>317.60000000000002</v>
      </c>
      <c r="X332" s="33" t="str">
        <f t="shared" si="22"/>
        <v>High Quality</v>
      </c>
      <c r="Y332" s="27" t="str">
        <f t="shared" si="23"/>
        <v>2</v>
      </c>
    </row>
    <row r="333" spans="1:25" x14ac:dyDescent="0.25">
      <c r="A333" s="1">
        <v>45351</v>
      </c>
      <c r="B333" t="s">
        <v>65</v>
      </c>
      <c r="C333">
        <v>1</v>
      </c>
      <c r="D333" t="s">
        <v>77</v>
      </c>
      <c r="E333" t="s">
        <v>67</v>
      </c>
      <c r="F333" t="s">
        <v>90</v>
      </c>
      <c r="G333" t="s">
        <v>60</v>
      </c>
      <c r="H333" t="s">
        <v>40</v>
      </c>
      <c r="I333">
        <v>1</v>
      </c>
      <c r="J333">
        <v>12.31</v>
      </c>
      <c r="K333">
        <v>8</v>
      </c>
      <c r="L333">
        <v>403.61</v>
      </c>
      <c r="M333">
        <v>64</v>
      </c>
      <c r="N333" t="s">
        <v>41</v>
      </c>
      <c r="O333">
        <v>22</v>
      </c>
      <c r="P333">
        <v>554</v>
      </c>
      <c r="Q333" s="27" t="str">
        <f>IF(D333=Pivot!$AS$4,R332, "")</f>
        <v/>
      </c>
      <c r="R333" t="s">
        <v>46</v>
      </c>
      <c r="S333" s="5">
        <v>3.97</v>
      </c>
      <c r="T333">
        <v>91.06</v>
      </c>
      <c r="U333">
        <v>430.52</v>
      </c>
      <c r="V333" s="27">
        <f t="shared" si="20"/>
        <v>98.48</v>
      </c>
      <c r="W333">
        <f t="shared" si="21"/>
        <v>834.13</v>
      </c>
      <c r="X333" s="33" t="str">
        <f t="shared" si="22"/>
        <v>Mid Quality</v>
      </c>
      <c r="Y333" s="27" t="str">
        <f t="shared" si="23"/>
        <v>14</v>
      </c>
    </row>
    <row r="334" spans="1:25" x14ac:dyDescent="0.25">
      <c r="A334" s="1">
        <v>45424</v>
      </c>
      <c r="B334" t="s">
        <v>28</v>
      </c>
      <c r="C334">
        <v>3</v>
      </c>
      <c r="D334" t="s">
        <v>47</v>
      </c>
      <c r="E334" t="s">
        <v>22</v>
      </c>
      <c r="F334" t="s">
        <v>38</v>
      </c>
      <c r="G334" t="s">
        <v>60</v>
      </c>
      <c r="H334" t="s">
        <v>33</v>
      </c>
      <c r="I334">
        <v>1</v>
      </c>
      <c r="J334">
        <v>11.24</v>
      </c>
      <c r="K334">
        <v>5</v>
      </c>
      <c r="L334">
        <v>258.11</v>
      </c>
      <c r="M334">
        <v>27</v>
      </c>
      <c r="N334" t="s">
        <v>55</v>
      </c>
      <c r="O334">
        <v>41</v>
      </c>
      <c r="P334">
        <v>467</v>
      </c>
      <c r="Q334" s="27" t="str">
        <f>IF(D334=Pivot!$AS$4,R333, "")</f>
        <v/>
      </c>
      <c r="R334" t="s">
        <v>42</v>
      </c>
      <c r="S334" s="5">
        <v>8.7799999999999994</v>
      </c>
      <c r="T334">
        <v>81.44</v>
      </c>
      <c r="U334">
        <v>116.15</v>
      </c>
      <c r="V334" s="27">
        <f t="shared" si="20"/>
        <v>56.2</v>
      </c>
      <c r="W334">
        <f t="shared" si="21"/>
        <v>374.26</v>
      </c>
      <c r="X334" s="33" t="str">
        <f t="shared" si="22"/>
        <v>Mid Quality</v>
      </c>
      <c r="Y334" s="27" t="str">
        <f t="shared" si="23"/>
        <v>12</v>
      </c>
    </row>
    <row r="335" spans="1:25" x14ac:dyDescent="0.25">
      <c r="A335" s="1">
        <v>45326</v>
      </c>
      <c r="B335" t="s">
        <v>35</v>
      </c>
      <c r="C335">
        <v>3</v>
      </c>
      <c r="D335" t="s">
        <v>88</v>
      </c>
      <c r="E335" t="s">
        <v>30</v>
      </c>
      <c r="F335" t="s">
        <v>23</v>
      </c>
      <c r="G335" t="s">
        <v>52</v>
      </c>
      <c r="H335" t="s">
        <v>61</v>
      </c>
      <c r="I335">
        <v>3</v>
      </c>
      <c r="J335">
        <v>19.41</v>
      </c>
      <c r="K335">
        <v>4</v>
      </c>
      <c r="L335">
        <v>473.43</v>
      </c>
      <c r="M335">
        <v>33</v>
      </c>
      <c r="N335" t="s">
        <v>63</v>
      </c>
      <c r="O335">
        <v>12</v>
      </c>
      <c r="P335">
        <v>858</v>
      </c>
      <c r="Q335" s="27" t="str">
        <f>IF(D335=Pivot!$AS$4,R334, "")</f>
        <v/>
      </c>
      <c r="R335" t="s">
        <v>57</v>
      </c>
      <c r="S335" s="5">
        <v>1.4</v>
      </c>
      <c r="T335">
        <v>94.2</v>
      </c>
      <c r="U335">
        <v>260.39</v>
      </c>
      <c r="V335" s="27">
        <f t="shared" si="20"/>
        <v>232.92000000000002</v>
      </c>
      <c r="W335">
        <f t="shared" si="21"/>
        <v>733.81999999999994</v>
      </c>
      <c r="X335" s="33" t="str">
        <f t="shared" si="22"/>
        <v>Low Quality</v>
      </c>
      <c r="Y335" s="27" t="str">
        <f t="shared" si="23"/>
        <v>20</v>
      </c>
    </row>
    <row r="336" spans="1:25" x14ac:dyDescent="0.25">
      <c r="A336" s="1">
        <v>45487</v>
      </c>
      <c r="B336" t="s">
        <v>65</v>
      </c>
      <c r="C336">
        <v>3</v>
      </c>
      <c r="D336" t="s">
        <v>80</v>
      </c>
      <c r="E336" t="s">
        <v>37</v>
      </c>
      <c r="F336" t="s">
        <v>86</v>
      </c>
      <c r="G336" t="s">
        <v>32</v>
      </c>
      <c r="H336" t="s">
        <v>61</v>
      </c>
      <c r="I336">
        <v>2</v>
      </c>
      <c r="J336">
        <v>10.199999999999999</v>
      </c>
      <c r="K336">
        <v>5</v>
      </c>
      <c r="L336">
        <v>268.87</v>
      </c>
      <c r="M336">
        <v>51</v>
      </c>
      <c r="N336" t="s">
        <v>55</v>
      </c>
      <c r="O336">
        <v>19</v>
      </c>
      <c r="P336">
        <v>346</v>
      </c>
      <c r="Q336" s="27" t="str">
        <f>IF(D336=Pivot!$AS$4,R335, "")</f>
        <v>Rutin kontrol</v>
      </c>
      <c r="R336" t="s">
        <v>57</v>
      </c>
      <c r="S336" s="5">
        <v>5.49</v>
      </c>
      <c r="T336">
        <v>87.02</v>
      </c>
      <c r="U336">
        <v>228.54</v>
      </c>
      <c r="V336" s="27">
        <f t="shared" si="20"/>
        <v>102</v>
      </c>
      <c r="W336">
        <f t="shared" si="21"/>
        <v>497.40999999999997</v>
      </c>
      <c r="X336" s="33" t="str">
        <f t="shared" si="22"/>
        <v>Mid Quality</v>
      </c>
      <c r="Y336" s="27" t="str">
        <f t="shared" si="23"/>
        <v>12</v>
      </c>
    </row>
    <row r="337" spans="1:25" x14ac:dyDescent="0.25">
      <c r="A337" s="1">
        <v>45404</v>
      </c>
      <c r="B337" t="s">
        <v>35</v>
      </c>
      <c r="C337">
        <v>3</v>
      </c>
      <c r="D337" t="s">
        <v>83</v>
      </c>
      <c r="E337" t="s">
        <v>51</v>
      </c>
      <c r="F337" t="s">
        <v>59</v>
      </c>
      <c r="G337" t="s">
        <v>60</v>
      </c>
      <c r="H337" t="s">
        <v>48</v>
      </c>
      <c r="I337">
        <v>5</v>
      </c>
      <c r="J337">
        <v>2.21</v>
      </c>
      <c r="K337">
        <v>4</v>
      </c>
      <c r="L337">
        <v>258.18</v>
      </c>
      <c r="M337">
        <v>34</v>
      </c>
      <c r="N337" t="s">
        <v>63</v>
      </c>
      <c r="O337">
        <v>25</v>
      </c>
      <c r="P337">
        <v>144</v>
      </c>
      <c r="Q337" s="27" t="str">
        <f>IF(D337=Pivot!$AS$4,R336, "")</f>
        <v/>
      </c>
      <c r="R337" t="s">
        <v>57</v>
      </c>
      <c r="S337" s="5">
        <v>17.36</v>
      </c>
      <c r="T337">
        <v>60.28</v>
      </c>
      <c r="U337">
        <v>146.30000000000001</v>
      </c>
      <c r="V337" s="27">
        <f t="shared" si="20"/>
        <v>44.2</v>
      </c>
      <c r="W337">
        <f t="shared" si="21"/>
        <v>404.48</v>
      </c>
      <c r="X337" s="33" t="str">
        <f t="shared" si="22"/>
        <v>High Quality</v>
      </c>
      <c r="Y337" s="27" t="str">
        <f t="shared" si="23"/>
        <v>4</v>
      </c>
    </row>
    <row r="338" spans="1:25" x14ac:dyDescent="0.25">
      <c r="A338" s="1">
        <v>45409</v>
      </c>
      <c r="B338" t="s">
        <v>35</v>
      </c>
      <c r="C338">
        <v>3</v>
      </c>
      <c r="D338" t="s">
        <v>91</v>
      </c>
      <c r="E338" t="s">
        <v>37</v>
      </c>
      <c r="F338" t="s">
        <v>90</v>
      </c>
      <c r="G338" t="s">
        <v>32</v>
      </c>
      <c r="H338" t="s">
        <v>33</v>
      </c>
      <c r="I338">
        <v>2</v>
      </c>
      <c r="J338">
        <v>11.48</v>
      </c>
      <c r="K338">
        <v>3</v>
      </c>
      <c r="L338">
        <v>403.28</v>
      </c>
      <c r="M338">
        <v>88</v>
      </c>
      <c r="N338" t="s">
        <v>63</v>
      </c>
      <c r="O338">
        <v>5</v>
      </c>
      <c r="P338">
        <v>864</v>
      </c>
      <c r="Q338" s="27" t="str">
        <f>IF(D338=Pivot!$AS$4,R337, "")</f>
        <v/>
      </c>
      <c r="R338" t="s">
        <v>34</v>
      </c>
      <c r="S338" s="5">
        <v>0.57999999999999996</v>
      </c>
      <c r="T338">
        <v>96.84</v>
      </c>
      <c r="U338">
        <v>591.48</v>
      </c>
      <c r="V338" s="27">
        <f t="shared" si="20"/>
        <v>68.88</v>
      </c>
      <c r="W338">
        <f t="shared" si="21"/>
        <v>994.76</v>
      </c>
      <c r="X338" s="33" t="str">
        <f t="shared" si="22"/>
        <v>Mid Quality</v>
      </c>
      <c r="Y338" s="27" t="str">
        <f t="shared" si="23"/>
        <v>12</v>
      </c>
    </row>
    <row r="339" spans="1:25" x14ac:dyDescent="0.25">
      <c r="A339" s="1">
        <v>45453</v>
      </c>
      <c r="B339" t="s">
        <v>50</v>
      </c>
      <c r="C339">
        <v>1</v>
      </c>
      <c r="D339" t="s">
        <v>74</v>
      </c>
      <c r="E339" t="s">
        <v>67</v>
      </c>
      <c r="F339" t="s">
        <v>70</v>
      </c>
      <c r="G339" t="s">
        <v>24</v>
      </c>
      <c r="H339" t="s">
        <v>61</v>
      </c>
      <c r="I339">
        <v>5</v>
      </c>
      <c r="J339">
        <v>16.98</v>
      </c>
      <c r="K339">
        <v>5</v>
      </c>
      <c r="L339">
        <v>419.71</v>
      </c>
      <c r="M339">
        <v>42</v>
      </c>
      <c r="N339" t="s">
        <v>55</v>
      </c>
      <c r="O339">
        <v>34</v>
      </c>
      <c r="P339">
        <v>474</v>
      </c>
      <c r="Q339" s="27" t="str">
        <f>IF(D339=Pivot!$AS$4,R338, "")</f>
        <v/>
      </c>
      <c r="R339" t="s">
        <v>42</v>
      </c>
      <c r="S339" s="5">
        <v>7.17</v>
      </c>
      <c r="T339">
        <v>80.66</v>
      </c>
      <c r="U339">
        <v>293.8</v>
      </c>
      <c r="V339" s="27">
        <f t="shared" si="20"/>
        <v>424.5</v>
      </c>
      <c r="W339">
        <f t="shared" si="21"/>
        <v>713.51</v>
      </c>
      <c r="X339" s="33" t="str">
        <f t="shared" si="22"/>
        <v>Low Quality</v>
      </c>
      <c r="Y339" s="27" t="str">
        <f t="shared" si="23"/>
        <v>18</v>
      </c>
    </row>
    <row r="340" spans="1:25" x14ac:dyDescent="0.25">
      <c r="A340" s="1">
        <v>45503</v>
      </c>
      <c r="B340" t="s">
        <v>28</v>
      </c>
      <c r="C340">
        <v>2</v>
      </c>
      <c r="D340" t="s">
        <v>79</v>
      </c>
      <c r="E340" t="s">
        <v>22</v>
      </c>
      <c r="F340" t="s">
        <v>56</v>
      </c>
      <c r="G340" t="s">
        <v>32</v>
      </c>
      <c r="H340" t="s">
        <v>25</v>
      </c>
      <c r="I340">
        <v>5</v>
      </c>
      <c r="J340">
        <v>19.940000000000001</v>
      </c>
      <c r="K340">
        <v>4</v>
      </c>
      <c r="L340">
        <v>299.52</v>
      </c>
      <c r="M340">
        <v>87</v>
      </c>
      <c r="N340" t="s">
        <v>45</v>
      </c>
      <c r="O340">
        <v>39</v>
      </c>
      <c r="P340">
        <v>390</v>
      </c>
      <c r="Q340" s="27" t="str">
        <f>IF(D340=Pivot!$AS$4,R339, "")</f>
        <v/>
      </c>
      <c r="R340" t="s">
        <v>46</v>
      </c>
      <c r="S340" s="5">
        <v>10</v>
      </c>
      <c r="T340">
        <v>75</v>
      </c>
      <c r="U340">
        <v>434.3</v>
      </c>
      <c r="V340" s="27">
        <f t="shared" si="20"/>
        <v>398.8</v>
      </c>
      <c r="W340">
        <f t="shared" si="21"/>
        <v>733.81999999999994</v>
      </c>
      <c r="X340" s="33" t="str">
        <f t="shared" si="22"/>
        <v>Low Quality</v>
      </c>
      <c r="Y340" s="27" t="str">
        <f t="shared" si="23"/>
        <v>20</v>
      </c>
    </row>
    <row r="341" spans="1:25" x14ac:dyDescent="0.25">
      <c r="A341" s="1">
        <v>45472</v>
      </c>
      <c r="B341" t="s">
        <v>65</v>
      </c>
      <c r="C341">
        <v>1</v>
      </c>
      <c r="D341" t="s">
        <v>77</v>
      </c>
      <c r="E341" t="s">
        <v>22</v>
      </c>
      <c r="F341" t="s">
        <v>78</v>
      </c>
      <c r="G341" t="s">
        <v>39</v>
      </c>
      <c r="H341" t="s">
        <v>48</v>
      </c>
      <c r="I341">
        <v>5</v>
      </c>
      <c r="J341">
        <v>9.18</v>
      </c>
      <c r="K341">
        <v>1</v>
      </c>
      <c r="L341">
        <v>130.91</v>
      </c>
      <c r="M341">
        <v>31</v>
      </c>
      <c r="N341" t="s">
        <v>41</v>
      </c>
      <c r="O341">
        <v>10</v>
      </c>
      <c r="P341">
        <v>306</v>
      </c>
      <c r="Q341" s="27" t="str">
        <f>IF(D341=Pivot!$AS$4,R340, "")</f>
        <v/>
      </c>
      <c r="R341" t="s">
        <v>46</v>
      </c>
      <c r="S341" s="5">
        <v>3.27</v>
      </c>
      <c r="T341">
        <v>88.46</v>
      </c>
      <c r="U341">
        <v>67.64</v>
      </c>
      <c r="V341" s="27">
        <f t="shared" si="20"/>
        <v>45.9</v>
      </c>
      <c r="W341">
        <f t="shared" si="21"/>
        <v>198.55</v>
      </c>
      <c r="X341" s="33" t="str">
        <f t="shared" si="22"/>
        <v>Mid Quality</v>
      </c>
      <c r="Y341" s="27" t="str">
        <f t="shared" si="23"/>
        <v>10</v>
      </c>
    </row>
    <row r="342" spans="1:25" x14ac:dyDescent="0.25">
      <c r="A342" s="1">
        <v>45556</v>
      </c>
      <c r="B342" t="s">
        <v>75</v>
      </c>
      <c r="C342">
        <v>3</v>
      </c>
      <c r="D342" t="s">
        <v>82</v>
      </c>
      <c r="E342" t="s">
        <v>67</v>
      </c>
      <c r="F342" t="s">
        <v>90</v>
      </c>
      <c r="G342" t="s">
        <v>39</v>
      </c>
      <c r="H342" t="s">
        <v>40</v>
      </c>
      <c r="I342">
        <v>2</v>
      </c>
      <c r="J342">
        <v>7.09</v>
      </c>
      <c r="K342">
        <v>3</v>
      </c>
      <c r="L342">
        <v>260.49</v>
      </c>
      <c r="M342">
        <v>19</v>
      </c>
      <c r="N342" t="s">
        <v>49</v>
      </c>
      <c r="O342">
        <v>47</v>
      </c>
      <c r="P342">
        <v>618</v>
      </c>
      <c r="Q342" s="27" t="str">
        <f>IF(D342=Pivot!$AS$4,R341, "")</f>
        <v/>
      </c>
      <c r="R342" t="s">
        <v>46</v>
      </c>
      <c r="S342" s="5">
        <v>7.61</v>
      </c>
      <c r="T342">
        <v>82.78</v>
      </c>
      <c r="U342">
        <v>82.49</v>
      </c>
      <c r="V342" s="27">
        <f t="shared" si="20"/>
        <v>42.54</v>
      </c>
      <c r="W342">
        <f t="shared" si="21"/>
        <v>342.98</v>
      </c>
      <c r="X342" s="33" t="str">
        <f t="shared" si="22"/>
        <v>Mid Quality</v>
      </c>
      <c r="Y342" s="27" t="str">
        <f t="shared" si="23"/>
        <v>8</v>
      </c>
    </row>
    <row r="343" spans="1:25" x14ac:dyDescent="0.25">
      <c r="A343" s="1">
        <v>45566</v>
      </c>
      <c r="B343" t="s">
        <v>20</v>
      </c>
      <c r="C343">
        <v>1</v>
      </c>
      <c r="D343" t="s">
        <v>36</v>
      </c>
      <c r="E343" t="s">
        <v>30</v>
      </c>
      <c r="F343" t="s">
        <v>56</v>
      </c>
      <c r="G343" t="s">
        <v>60</v>
      </c>
      <c r="H343" t="s">
        <v>48</v>
      </c>
      <c r="I343">
        <v>4</v>
      </c>
      <c r="J343">
        <v>18.23</v>
      </c>
      <c r="K343">
        <v>8</v>
      </c>
      <c r="L343">
        <v>485.63</v>
      </c>
      <c r="M343">
        <v>63</v>
      </c>
      <c r="N343" t="s">
        <v>55</v>
      </c>
      <c r="O343">
        <v>7</v>
      </c>
      <c r="P343">
        <v>341</v>
      </c>
      <c r="Q343" s="27" t="str">
        <f>IF(D343=Pivot!$AS$4,R342, "")</f>
        <v/>
      </c>
      <c r="R343" t="s">
        <v>34</v>
      </c>
      <c r="S343" s="5">
        <v>2.0499999999999998</v>
      </c>
      <c r="T343">
        <v>91.9</v>
      </c>
      <c r="U343">
        <v>509.91</v>
      </c>
      <c r="V343" s="27">
        <f t="shared" si="20"/>
        <v>583.36</v>
      </c>
      <c r="W343">
        <f t="shared" si="21"/>
        <v>995.54</v>
      </c>
      <c r="X343" s="33" t="str">
        <f t="shared" si="22"/>
        <v>Low Quality</v>
      </c>
      <c r="Y343" s="27" t="str">
        <f t="shared" si="23"/>
        <v>20</v>
      </c>
    </row>
    <row r="344" spans="1:25" x14ac:dyDescent="0.25">
      <c r="A344" s="1">
        <v>45296</v>
      </c>
      <c r="B344" t="s">
        <v>75</v>
      </c>
      <c r="C344">
        <v>3</v>
      </c>
      <c r="D344" t="s">
        <v>21</v>
      </c>
      <c r="E344" t="s">
        <v>30</v>
      </c>
      <c r="F344" t="s">
        <v>23</v>
      </c>
      <c r="G344" t="s">
        <v>32</v>
      </c>
      <c r="H344" t="s">
        <v>25</v>
      </c>
      <c r="I344">
        <v>2</v>
      </c>
      <c r="J344">
        <v>4.63</v>
      </c>
      <c r="K344">
        <v>7</v>
      </c>
      <c r="L344">
        <v>388.84</v>
      </c>
      <c r="M344">
        <v>7</v>
      </c>
      <c r="N344" t="s">
        <v>63</v>
      </c>
      <c r="O344">
        <v>37</v>
      </c>
      <c r="P344">
        <v>721</v>
      </c>
      <c r="Q344" s="27" t="str">
        <f>IF(D344=Pivot!$AS$4,R343, "")</f>
        <v/>
      </c>
      <c r="R344" t="s">
        <v>34</v>
      </c>
      <c r="S344" s="5">
        <v>5.13</v>
      </c>
      <c r="T344">
        <v>87.74</v>
      </c>
      <c r="U344">
        <v>45.36</v>
      </c>
      <c r="V344" s="27">
        <f t="shared" si="20"/>
        <v>64.819999999999993</v>
      </c>
      <c r="W344">
        <f t="shared" si="21"/>
        <v>434.2</v>
      </c>
      <c r="X344" s="33" t="str">
        <f t="shared" si="22"/>
        <v>High Quality</v>
      </c>
      <c r="Y344" s="27" t="str">
        <f t="shared" si="23"/>
        <v>6</v>
      </c>
    </row>
    <row r="345" spans="1:25" x14ac:dyDescent="0.25">
      <c r="A345" s="1">
        <v>45426</v>
      </c>
      <c r="B345" t="s">
        <v>28</v>
      </c>
      <c r="C345">
        <v>3</v>
      </c>
      <c r="D345" t="s">
        <v>76</v>
      </c>
      <c r="E345" t="s">
        <v>22</v>
      </c>
      <c r="F345" t="s">
        <v>44</v>
      </c>
      <c r="G345" t="s">
        <v>60</v>
      </c>
      <c r="H345" t="s">
        <v>33</v>
      </c>
      <c r="I345">
        <v>5</v>
      </c>
      <c r="J345">
        <v>12.69</v>
      </c>
      <c r="K345">
        <v>2</v>
      </c>
      <c r="L345">
        <v>415.02</v>
      </c>
      <c r="M345">
        <v>14</v>
      </c>
      <c r="N345" t="s">
        <v>55</v>
      </c>
      <c r="O345">
        <v>47</v>
      </c>
      <c r="P345">
        <v>213</v>
      </c>
      <c r="Q345" s="27" t="str">
        <f>IF(D345=Pivot!$AS$4,R344, "")</f>
        <v/>
      </c>
      <c r="R345" t="s">
        <v>57</v>
      </c>
      <c r="S345" s="5">
        <v>22.07</v>
      </c>
      <c r="T345">
        <v>50.86</v>
      </c>
      <c r="U345">
        <v>96.84</v>
      </c>
      <c r="V345" s="27">
        <f t="shared" si="20"/>
        <v>126.89999999999999</v>
      </c>
      <c r="W345">
        <f t="shared" si="21"/>
        <v>511.86</v>
      </c>
      <c r="X345" s="33" t="str">
        <f t="shared" si="22"/>
        <v>Mid Quality</v>
      </c>
      <c r="Y345" s="27" t="str">
        <f t="shared" si="23"/>
        <v>14</v>
      </c>
    </row>
    <row r="346" spans="1:25" x14ac:dyDescent="0.25">
      <c r="A346" s="1">
        <v>45419</v>
      </c>
      <c r="B346" t="s">
        <v>20</v>
      </c>
      <c r="C346">
        <v>1</v>
      </c>
      <c r="D346" t="s">
        <v>29</v>
      </c>
      <c r="E346" t="s">
        <v>22</v>
      </c>
      <c r="F346" t="s">
        <v>31</v>
      </c>
      <c r="G346" t="s">
        <v>52</v>
      </c>
      <c r="H346" t="s">
        <v>40</v>
      </c>
      <c r="I346">
        <v>3</v>
      </c>
      <c r="J346">
        <v>8.7100000000000009</v>
      </c>
      <c r="K346">
        <v>1</v>
      </c>
      <c r="L346">
        <v>64.77</v>
      </c>
      <c r="M346">
        <v>83</v>
      </c>
      <c r="N346" t="s">
        <v>41</v>
      </c>
      <c r="O346">
        <v>15</v>
      </c>
      <c r="P346">
        <v>918</v>
      </c>
      <c r="Q346" s="27" t="str">
        <f>IF(D346=Pivot!$AS$4,R345, "")</f>
        <v/>
      </c>
      <c r="R346" t="s">
        <v>34</v>
      </c>
      <c r="S346" s="5">
        <v>1.63</v>
      </c>
      <c r="T346">
        <v>93.74</v>
      </c>
      <c r="U346">
        <v>89.6</v>
      </c>
      <c r="V346" s="27">
        <f t="shared" si="20"/>
        <v>26.130000000000003</v>
      </c>
      <c r="W346">
        <f t="shared" si="21"/>
        <v>154.37</v>
      </c>
      <c r="X346" s="33" t="str">
        <f t="shared" si="22"/>
        <v>Mid Quality</v>
      </c>
      <c r="Y346" s="27" t="str">
        <f t="shared" si="23"/>
        <v>10</v>
      </c>
    </row>
    <row r="347" spans="1:25" x14ac:dyDescent="0.25">
      <c r="A347" s="1">
        <v>45439</v>
      </c>
      <c r="B347" t="s">
        <v>28</v>
      </c>
      <c r="C347">
        <v>3</v>
      </c>
      <c r="D347" t="s">
        <v>53</v>
      </c>
      <c r="E347" t="s">
        <v>51</v>
      </c>
      <c r="F347" t="s">
        <v>89</v>
      </c>
      <c r="G347" t="s">
        <v>39</v>
      </c>
      <c r="H347" t="s">
        <v>40</v>
      </c>
      <c r="I347">
        <v>1</v>
      </c>
      <c r="J347">
        <v>1.78</v>
      </c>
      <c r="K347">
        <v>3</v>
      </c>
      <c r="L347">
        <v>260.54000000000002</v>
      </c>
      <c r="M347">
        <v>84</v>
      </c>
      <c r="N347" t="s">
        <v>26</v>
      </c>
      <c r="O347">
        <v>42</v>
      </c>
      <c r="P347">
        <v>401</v>
      </c>
      <c r="Q347" s="27" t="str">
        <f>IF(D347=Pivot!$AS$4,R346, "")</f>
        <v/>
      </c>
      <c r="R347" t="s">
        <v>57</v>
      </c>
      <c r="S347" s="5">
        <v>10.47</v>
      </c>
      <c r="T347">
        <v>78.06</v>
      </c>
      <c r="U347">
        <v>364.76</v>
      </c>
      <c r="V347" s="27">
        <f t="shared" si="20"/>
        <v>5.34</v>
      </c>
      <c r="W347">
        <f t="shared" si="21"/>
        <v>625.29999999999995</v>
      </c>
      <c r="X347" s="33" t="str">
        <f t="shared" si="22"/>
        <v>High Quality</v>
      </c>
      <c r="Y347" s="27" t="str">
        <f t="shared" si="23"/>
        <v>2</v>
      </c>
    </row>
    <row r="348" spans="1:25" x14ac:dyDescent="0.25">
      <c r="A348" s="1">
        <v>45339</v>
      </c>
      <c r="B348" t="s">
        <v>35</v>
      </c>
      <c r="C348">
        <v>2</v>
      </c>
      <c r="D348" t="s">
        <v>88</v>
      </c>
      <c r="E348" t="s">
        <v>30</v>
      </c>
      <c r="F348" t="s">
        <v>73</v>
      </c>
      <c r="G348" t="s">
        <v>60</v>
      </c>
      <c r="H348" t="s">
        <v>33</v>
      </c>
      <c r="I348">
        <v>5</v>
      </c>
      <c r="J348">
        <v>7.6</v>
      </c>
      <c r="K348">
        <v>5</v>
      </c>
      <c r="L348">
        <v>340.98</v>
      </c>
      <c r="M348">
        <v>21</v>
      </c>
      <c r="N348" t="s">
        <v>63</v>
      </c>
      <c r="O348">
        <v>24</v>
      </c>
      <c r="P348">
        <v>375</v>
      </c>
      <c r="Q348" s="27" t="str">
        <f>IF(D348=Pivot!$AS$4,R347, "")</f>
        <v/>
      </c>
      <c r="R348" t="s">
        <v>57</v>
      </c>
      <c r="S348" s="5">
        <v>6.4</v>
      </c>
      <c r="T348">
        <v>82.2</v>
      </c>
      <c r="U348">
        <v>119.34</v>
      </c>
      <c r="V348" s="27">
        <f t="shared" si="20"/>
        <v>190</v>
      </c>
      <c r="W348">
        <f t="shared" si="21"/>
        <v>460.32000000000005</v>
      </c>
      <c r="X348" s="33" t="str">
        <f t="shared" si="22"/>
        <v>Mid Quality</v>
      </c>
      <c r="Y348" s="27" t="str">
        <f t="shared" si="23"/>
        <v>8</v>
      </c>
    </row>
    <row r="349" spans="1:25" x14ac:dyDescent="0.25">
      <c r="A349" s="1">
        <v>45496</v>
      </c>
      <c r="B349" t="s">
        <v>20</v>
      </c>
      <c r="C349">
        <v>3</v>
      </c>
      <c r="D349" t="s">
        <v>77</v>
      </c>
      <c r="E349" t="s">
        <v>67</v>
      </c>
      <c r="F349" t="s">
        <v>86</v>
      </c>
      <c r="G349" t="s">
        <v>52</v>
      </c>
      <c r="H349" t="s">
        <v>48</v>
      </c>
      <c r="I349">
        <v>3</v>
      </c>
      <c r="J349">
        <v>6.04</v>
      </c>
      <c r="K349">
        <v>1</v>
      </c>
      <c r="L349">
        <v>423.51</v>
      </c>
      <c r="M349">
        <v>87</v>
      </c>
      <c r="N349" t="s">
        <v>49</v>
      </c>
      <c r="O349">
        <v>26</v>
      </c>
      <c r="P349">
        <v>195</v>
      </c>
      <c r="Q349" s="27" t="str">
        <f>IF(D349=Pivot!$AS$4,R348, "")</f>
        <v/>
      </c>
      <c r="R349" t="s">
        <v>46</v>
      </c>
      <c r="S349" s="5">
        <v>13.33</v>
      </c>
      <c r="T349">
        <v>70.34</v>
      </c>
      <c r="U349">
        <v>614.09</v>
      </c>
      <c r="V349" s="27">
        <f t="shared" si="20"/>
        <v>18.12</v>
      </c>
      <c r="W349">
        <f t="shared" si="21"/>
        <v>1037.5999999999999</v>
      </c>
      <c r="X349" s="33" t="str">
        <f t="shared" si="22"/>
        <v>Mid Quality</v>
      </c>
      <c r="Y349" s="27" t="str">
        <f t="shared" si="23"/>
        <v>8</v>
      </c>
    </row>
    <row r="350" spans="1:25" x14ac:dyDescent="0.25">
      <c r="A350" s="1">
        <v>45467</v>
      </c>
      <c r="B350" t="s">
        <v>35</v>
      </c>
      <c r="C350">
        <v>2</v>
      </c>
      <c r="D350" t="s">
        <v>82</v>
      </c>
      <c r="E350" t="s">
        <v>30</v>
      </c>
      <c r="F350" t="s">
        <v>44</v>
      </c>
      <c r="G350" t="s">
        <v>60</v>
      </c>
      <c r="H350" t="s">
        <v>61</v>
      </c>
      <c r="I350">
        <v>4</v>
      </c>
      <c r="J350">
        <v>14.04</v>
      </c>
      <c r="K350">
        <v>3</v>
      </c>
      <c r="L350">
        <v>72.17</v>
      </c>
      <c r="M350">
        <v>15</v>
      </c>
      <c r="N350" t="s">
        <v>49</v>
      </c>
      <c r="O350">
        <v>26</v>
      </c>
      <c r="P350">
        <v>393</v>
      </c>
      <c r="Q350" s="27" t="str">
        <f>IF(D350=Pivot!$AS$4,R349, "")</f>
        <v/>
      </c>
      <c r="R350" t="s">
        <v>34</v>
      </c>
      <c r="S350" s="5">
        <v>6.62</v>
      </c>
      <c r="T350">
        <v>82.76</v>
      </c>
      <c r="U350">
        <v>18.04</v>
      </c>
      <c r="V350" s="27">
        <f t="shared" si="20"/>
        <v>168.48</v>
      </c>
      <c r="W350">
        <f t="shared" si="21"/>
        <v>90.210000000000008</v>
      </c>
      <c r="X350" s="33" t="str">
        <f t="shared" si="22"/>
        <v>Mid Quality</v>
      </c>
      <c r="Y350" s="27" t="str">
        <f t="shared" si="23"/>
        <v>16</v>
      </c>
    </row>
    <row r="351" spans="1:25" x14ac:dyDescent="0.25">
      <c r="A351" s="1">
        <v>45330</v>
      </c>
      <c r="B351" t="s">
        <v>75</v>
      </c>
      <c r="C351">
        <v>2</v>
      </c>
      <c r="D351" t="s">
        <v>43</v>
      </c>
      <c r="E351" t="s">
        <v>51</v>
      </c>
      <c r="F351" t="s">
        <v>73</v>
      </c>
      <c r="G351" t="s">
        <v>32</v>
      </c>
      <c r="H351" t="s">
        <v>48</v>
      </c>
      <c r="I351">
        <v>5</v>
      </c>
      <c r="J351">
        <v>19.03</v>
      </c>
      <c r="K351">
        <v>3</v>
      </c>
      <c r="L351">
        <v>433.6</v>
      </c>
      <c r="M351">
        <v>52</v>
      </c>
      <c r="N351" t="s">
        <v>49</v>
      </c>
      <c r="O351">
        <v>46</v>
      </c>
      <c r="P351">
        <v>800</v>
      </c>
      <c r="Q351" s="27" t="str">
        <f>IF(D351=Pivot!$AS$4,R350, "")</f>
        <v/>
      </c>
      <c r="R351" t="s">
        <v>57</v>
      </c>
      <c r="S351" s="5">
        <v>5.75</v>
      </c>
      <c r="T351">
        <v>83.5</v>
      </c>
      <c r="U351">
        <v>375.79</v>
      </c>
      <c r="V351" s="27">
        <f t="shared" si="20"/>
        <v>285.45000000000005</v>
      </c>
      <c r="W351">
        <f t="shared" si="21"/>
        <v>809.3900000000001</v>
      </c>
      <c r="X351" s="33" t="str">
        <f t="shared" si="22"/>
        <v>Low Quality</v>
      </c>
      <c r="Y351" s="27" t="str">
        <f t="shared" si="23"/>
        <v>20</v>
      </c>
    </row>
    <row r="352" spans="1:25" x14ac:dyDescent="0.25">
      <c r="A352" s="1">
        <v>45575</v>
      </c>
      <c r="B352" t="s">
        <v>75</v>
      </c>
      <c r="C352">
        <v>3</v>
      </c>
      <c r="D352" t="s">
        <v>77</v>
      </c>
      <c r="E352" t="s">
        <v>22</v>
      </c>
      <c r="F352" t="s">
        <v>73</v>
      </c>
      <c r="G352" t="s">
        <v>32</v>
      </c>
      <c r="H352" t="s">
        <v>25</v>
      </c>
      <c r="I352">
        <v>3</v>
      </c>
      <c r="J352">
        <v>6.09</v>
      </c>
      <c r="K352">
        <v>5</v>
      </c>
      <c r="L352">
        <v>296.77999999999997</v>
      </c>
      <c r="M352">
        <v>9</v>
      </c>
      <c r="N352" t="s">
        <v>26</v>
      </c>
      <c r="O352">
        <v>26</v>
      </c>
      <c r="P352">
        <v>459</v>
      </c>
      <c r="Q352" s="27" t="str">
        <f>IF(D352=Pivot!$AS$4,R351, "")</f>
        <v/>
      </c>
      <c r="R352" t="s">
        <v>42</v>
      </c>
      <c r="S352" s="5">
        <v>5.66</v>
      </c>
      <c r="T352">
        <v>85.68</v>
      </c>
      <c r="U352">
        <v>44.52</v>
      </c>
      <c r="V352" s="27">
        <f t="shared" si="20"/>
        <v>91.35</v>
      </c>
      <c r="W352">
        <f t="shared" si="21"/>
        <v>341.29999999999995</v>
      </c>
      <c r="X352" s="33" t="str">
        <f t="shared" si="22"/>
        <v>Mid Quality</v>
      </c>
      <c r="Y352" s="27" t="str">
        <f t="shared" si="23"/>
        <v>8</v>
      </c>
    </row>
    <row r="353" spans="1:25" x14ac:dyDescent="0.25">
      <c r="A353" s="1">
        <v>45383</v>
      </c>
      <c r="B353" t="s">
        <v>20</v>
      </c>
      <c r="C353">
        <v>1</v>
      </c>
      <c r="D353" t="s">
        <v>21</v>
      </c>
      <c r="E353" t="s">
        <v>22</v>
      </c>
      <c r="F353" t="s">
        <v>87</v>
      </c>
      <c r="G353" t="s">
        <v>32</v>
      </c>
      <c r="H353" t="s">
        <v>61</v>
      </c>
      <c r="I353">
        <v>5</v>
      </c>
      <c r="J353">
        <v>16.420000000000002</v>
      </c>
      <c r="K353">
        <v>3</v>
      </c>
      <c r="L353">
        <v>138.79</v>
      </c>
      <c r="M353">
        <v>73</v>
      </c>
      <c r="N353" t="s">
        <v>45</v>
      </c>
      <c r="O353">
        <v>10</v>
      </c>
      <c r="P353">
        <v>387</v>
      </c>
      <c r="Q353" s="27" t="str">
        <f>IF(D353=Pivot!$AS$4,R352, "")</f>
        <v/>
      </c>
      <c r="R353" t="s">
        <v>42</v>
      </c>
      <c r="S353" s="5">
        <v>2.58</v>
      </c>
      <c r="T353">
        <v>89.84</v>
      </c>
      <c r="U353">
        <v>168.86</v>
      </c>
      <c r="V353" s="27">
        <f t="shared" si="20"/>
        <v>246.3</v>
      </c>
      <c r="W353">
        <f t="shared" si="21"/>
        <v>307.64999999999998</v>
      </c>
      <c r="X353" s="33" t="str">
        <f t="shared" si="22"/>
        <v>Low Quality</v>
      </c>
      <c r="Y353" s="27" t="str">
        <f t="shared" si="23"/>
        <v>18</v>
      </c>
    </row>
    <row r="354" spans="1:25" x14ac:dyDescent="0.25">
      <c r="A354" s="1">
        <v>45535</v>
      </c>
      <c r="B354" t="s">
        <v>20</v>
      </c>
      <c r="C354">
        <v>2</v>
      </c>
      <c r="D354" t="s">
        <v>82</v>
      </c>
      <c r="E354" t="s">
        <v>51</v>
      </c>
      <c r="F354" t="s">
        <v>38</v>
      </c>
      <c r="G354" t="s">
        <v>32</v>
      </c>
      <c r="H354" t="s">
        <v>48</v>
      </c>
      <c r="I354">
        <v>2</v>
      </c>
      <c r="J354">
        <v>2.0499999999999998</v>
      </c>
      <c r="K354">
        <v>9</v>
      </c>
      <c r="L354">
        <v>192.76</v>
      </c>
      <c r="M354">
        <v>68</v>
      </c>
      <c r="N354" t="s">
        <v>63</v>
      </c>
      <c r="O354">
        <v>17</v>
      </c>
      <c r="P354">
        <v>253</v>
      </c>
      <c r="Q354" s="27" t="str">
        <f>IF(D354=Pivot!$AS$4,R353, "")</f>
        <v/>
      </c>
      <c r="R354" t="s">
        <v>34</v>
      </c>
      <c r="S354" s="5">
        <v>6.72</v>
      </c>
      <c r="T354">
        <v>84.56</v>
      </c>
      <c r="U354">
        <v>218.46</v>
      </c>
      <c r="V354" s="27">
        <f t="shared" si="20"/>
        <v>36.9</v>
      </c>
      <c r="W354">
        <f t="shared" si="21"/>
        <v>411.22</v>
      </c>
      <c r="X354" s="33" t="str">
        <f t="shared" si="22"/>
        <v>High Quality</v>
      </c>
      <c r="Y354" s="27" t="str">
        <f t="shared" si="23"/>
        <v>4</v>
      </c>
    </row>
    <row r="355" spans="1:25" x14ac:dyDescent="0.25">
      <c r="A355" s="1">
        <v>45452</v>
      </c>
      <c r="B355" t="s">
        <v>65</v>
      </c>
      <c r="C355">
        <v>1</v>
      </c>
      <c r="D355" t="s">
        <v>76</v>
      </c>
      <c r="E355" t="s">
        <v>67</v>
      </c>
      <c r="F355" t="s">
        <v>68</v>
      </c>
      <c r="G355" t="s">
        <v>24</v>
      </c>
      <c r="H355" t="s">
        <v>33</v>
      </c>
      <c r="I355">
        <v>3</v>
      </c>
      <c r="J355">
        <v>11.22</v>
      </c>
      <c r="K355">
        <v>1</v>
      </c>
      <c r="L355">
        <v>176.87</v>
      </c>
      <c r="M355">
        <v>18</v>
      </c>
      <c r="N355" t="s">
        <v>26</v>
      </c>
      <c r="O355">
        <v>14</v>
      </c>
      <c r="P355">
        <v>669</v>
      </c>
      <c r="Q355" s="27" t="str">
        <f>IF(D355=Pivot!$AS$4,R354, "")</f>
        <v/>
      </c>
      <c r="R355" t="s">
        <v>46</v>
      </c>
      <c r="S355" s="5">
        <v>2.09</v>
      </c>
      <c r="T355">
        <v>92.82</v>
      </c>
      <c r="U355">
        <v>53.06</v>
      </c>
      <c r="V355" s="27">
        <f t="shared" si="20"/>
        <v>33.660000000000004</v>
      </c>
      <c r="W355">
        <f t="shared" si="21"/>
        <v>229.93</v>
      </c>
      <c r="X355" s="33" t="str">
        <f t="shared" si="22"/>
        <v>Mid Quality</v>
      </c>
      <c r="Y355" s="27" t="str">
        <f t="shared" si="23"/>
        <v>12</v>
      </c>
    </row>
    <row r="356" spans="1:25" x14ac:dyDescent="0.25">
      <c r="A356" s="1">
        <v>45473</v>
      </c>
      <c r="B356" t="s">
        <v>28</v>
      </c>
      <c r="C356">
        <v>2</v>
      </c>
      <c r="D356" t="s">
        <v>83</v>
      </c>
      <c r="E356" t="s">
        <v>22</v>
      </c>
      <c r="F356" t="s">
        <v>62</v>
      </c>
      <c r="G356" t="s">
        <v>52</v>
      </c>
      <c r="H356" t="s">
        <v>25</v>
      </c>
      <c r="I356">
        <v>2</v>
      </c>
      <c r="J356">
        <v>2.34</v>
      </c>
      <c r="K356">
        <v>4</v>
      </c>
      <c r="L356">
        <v>288.89</v>
      </c>
      <c r="M356">
        <v>54</v>
      </c>
      <c r="N356" t="s">
        <v>63</v>
      </c>
      <c r="O356">
        <v>2</v>
      </c>
      <c r="P356">
        <v>522</v>
      </c>
      <c r="Q356" s="27" t="str">
        <f>IF(D356=Pivot!$AS$4,R355, "")</f>
        <v/>
      </c>
      <c r="R356" t="s">
        <v>46</v>
      </c>
      <c r="S356" s="5">
        <v>0.38</v>
      </c>
      <c r="T356">
        <v>97.24</v>
      </c>
      <c r="U356">
        <v>260</v>
      </c>
      <c r="V356" s="27">
        <f t="shared" si="20"/>
        <v>18.72</v>
      </c>
      <c r="W356">
        <f t="shared" si="21"/>
        <v>548.89</v>
      </c>
      <c r="X356" s="33" t="str">
        <f t="shared" si="22"/>
        <v>High Quality</v>
      </c>
      <c r="Y356" s="27" t="str">
        <f t="shared" si="23"/>
        <v>4</v>
      </c>
    </row>
    <row r="357" spans="1:25" x14ac:dyDescent="0.25">
      <c r="A357" s="1">
        <v>45403</v>
      </c>
      <c r="B357" t="s">
        <v>65</v>
      </c>
      <c r="C357">
        <v>3</v>
      </c>
      <c r="D357" t="s">
        <v>36</v>
      </c>
      <c r="E357" t="s">
        <v>37</v>
      </c>
      <c r="F357" t="s">
        <v>86</v>
      </c>
      <c r="G357" t="s">
        <v>52</v>
      </c>
      <c r="H357" t="s">
        <v>25</v>
      </c>
      <c r="I357">
        <v>2</v>
      </c>
      <c r="J357">
        <v>18.75</v>
      </c>
      <c r="K357">
        <v>4</v>
      </c>
      <c r="L357">
        <v>73.260000000000005</v>
      </c>
      <c r="M357">
        <v>30</v>
      </c>
      <c r="N357" t="s">
        <v>26</v>
      </c>
      <c r="O357">
        <v>48</v>
      </c>
      <c r="P357">
        <v>949</v>
      </c>
      <c r="Q357" s="27" t="str">
        <f>IF(D357=Pivot!$AS$4,R356, "")</f>
        <v/>
      </c>
      <c r="R357" t="s">
        <v>57</v>
      </c>
      <c r="S357" s="5">
        <v>5.0599999999999996</v>
      </c>
      <c r="T357">
        <v>87.88</v>
      </c>
      <c r="U357">
        <v>36.630000000000003</v>
      </c>
      <c r="V357" s="27">
        <f t="shared" si="20"/>
        <v>150</v>
      </c>
      <c r="W357">
        <f t="shared" si="21"/>
        <v>109.89000000000001</v>
      </c>
      <c r="X357" s="33" t="str">
        <f t="shared" si="22"/>
        <v>Low Quality</v>
      </c>
      <c r="Y357" s="27" t="str">
        <f t="shared" si="23"/>
        <v>20</v>
      </c>
    </row>
    <row r="358" spans="1:25" x14ac:dyDescent="0.25">
      <c r="A358" s="1">
        <v>45585</v>
      </c>
      <c r="B358" t="s">
        <v>28</v>
      </c>
      <c r="C358">
        <v>3</v>
      </c>
      <c r="D358" t="s">
        <v>82</v>
      </c>
      <c r="E358" t="s">
        <v>22</v>
      </c>
      <c r="F358" t="s">
        <v>78</v>
      </c>
      <c r="G358" t="s">
        <v>32</v>
      </c>
      <c r="H358" t="s">
        <v>25</v>
      </c>
      <c r="I358">
        <v>3</v>
      </c>
      <c r="J358">
        <v>15.56</v>
      </c>
      <c r="K358">
        <v>1</v>
      </c>
      <c r="L358">
        <v>121.34</v>
      </c>
      <c r="M358">
        <v>76</v>
      </c>
      <c r="N358" t="s">
        <v>26</v>
      </c>
      <c r="O358">
        <v>13</v>
      </c>
      <c r="P358">
        <v>149</v>
      </c>
      <c r="Q358" s="27" t="str">
        <f>IF(D358=Pivot!$AS$4,R357, "")</f>
        <v/>
      </c>
      <c r="R358" t="s">
        <v>34</v>
      </c>
      <c r="S358" s="5">
        <v>8.7200000000000006</v>
      </c>
      <c r="T358">
        <v>79.56</v>
      </c>
      <c r="U358">
        <v>153.69999999999999</v>
      </c>
      <c r="V358" s="27">
        <f t="shared" si="20"/>
        <v>46.68</v>
      </c>
      <c r="W358">
        <f t="shared" si="21"/>
        <v>275.03999999999996</v>
      </c>
      <c r="X358" s="33" t="str">
        <f t="shared" si="22"/>
        <v>Low Quality</v>
      </c>
      <c r="Y358" s="27" t="str">
        <f t="shared" si="23"/>
        <v>16</v>
      </c>
    </row>
    <row r="359" spans="1:25" x14ac:dyDescent="0.25">
      <c r="A359" s="1">
        <v>45429</v>
      </c>
      <c r="B359" t="s">
        <v>65</v>
      </c>
      <c r="C359">
        <v>2</v>
      </c>
      <c r="D359" t="s">
        <v>29</v>
      </c>
      <c r="E359" t="s">
        <v>37</v>
      </c>
      <c r="F359" t="s">
        <v>31</v>
      </c>
      <c r="G359" t="s">
        <v>24</v>
      </c>
      <c r="H359" t="s">
        <v>61</v>
      </c>
      <c r="I359">
        <v>1</v>
      </c>
      <c r="J359">
        <v>13.5</v>
      </c>
      <c r="K359">
        <v>2</v>
      </c>
      <c r="L359">
        <v>415.71</v>
      </c>
      <c r="M359">
        <v>73</v>
      </c>
      <c r="N359" t="s">
        <v>45</v>
      </c>
      <c r="O359">
        <v>27</v>
      </c>
      <c r="P359">
        <v>306</v>
      </c>
      <c r="Q359" s="27" t="str">
        <f>IF(D359=Pivot!$AS$4,R358, "")</f>
        <v/>
      </c>
      <c r="R359" t="s">
        <v>42</v>
      </c>
      <c r="S359" s="5">
        <v>8.82</v>
      </c>
      <c r="T359">
        <v>81.36</v>
      </c>
      <c r="U359">
        <v>505.78</v>
      </c>
      <c r="V359" s="27">
        <f t="shared" si="20"/>
        <v>27</v>
      </c>
      <c r="W359">
        <f t="shared" si="21"/>
        <v>921.49</v>
      </c>
      <c r="X359" s="33" t="str">
        <f t="shared" si="22"/>
        <v>Mid Quality</v>
      </c>
      <c r="Y359" s="27" t="str">
        <f t="shared" si="23"/>
        <v>14</v>
      </c>
    </row>
    <row r="360" spans="1:25" x14ac:dyDescent="0.25">
      <c r="A360" s="1">
        <v>45385</v>
      </c>
      <c r="B360" t="s">
        <v>35</v>
      </c>
      <c r="C360">
        <v>3</v>
      </c>
      <c r="D360" t="s">
        <v>58</v>
      </c>
      <c r="E360" t="s">
        <v>51</v>
      </c>
      <c r="F360" t="s">
        <v>70</v>
      </c>
      <c r="G360" t="s">
        <v>32</v>
      </c>
      <c r="H360" t="s">
        <v>40</v>
      </c>
      <c r="I360">
        <v>3</v>
      </c>
      <c r="J360">
        <v>16.649999999999999</v>
      </c>
      <c r="K360">
        <v>1</v>
      </c>
      <c r="L360">
        <v>109.67</v>
      </c>
      <c r="M360">
        <v>11</v>
      </c>
      <c r="N360" t="s">
        <v>63</v>
      </c>
      <c r="O360">
        <v>9</v>
      </c>
      <c r="P360">
        <v>663</v>
      </c>
      <c r="Q360" s="27" t="str">
        <f>IF(D360=Pivot!$AS$4,R359, "")</f>
        <v/>
      </c>
      <c r="R360" t="s">
        <v>57</v>
      </c>
      <c r="S360" s="5">
        <v>1.36</v>
      </c>
      <c r="T360">
        <v>94.28</v>
      </c>
      <c r="U360">
        <v>20.11</v>
      </c>
      <c r="V360" s="27">
        <f t="shared" si="20"/>
        <v>49.949999999999996</v>
      </c>
      <c r="W360">
        <f t="shared" si="21"/>
        <v>129.78</v>
      </c>
      <c r="X360" s="33" t="str">
        <f t="shared" si="22"/>
        <v>Low Quality</v>
      </c>
      <c r="Y360" s="27" t="str">
        <f t="shared" si="23"/>
        <v>18</v>
      </c>
    </row>
    <row r="361" spans="1:25" x14ac:dyDescent="0.25">
      <c r="A361" s="1">
        <v>45389</v>
      </c>
      <c r="B361" t="s">
        <v>20</v>
      </c>
      <c r="C361">
        <v>2</v>
      </c>
      <c r="D361" t="s">
        <v>64</v>
      </c>
      <c r="E361" t="s">
        <v>51</v>
      </c>
      <c r="F361" t="s">
        <v>23</v>
      </c>
      <c r="G361" t="s">
        <v>24</v>
      </c>
      <c r="H361" t="s">
        <v>61</v>
      </c>
      <c r="I361">
        <v>1</v>
      </c>
      <c r="J361">
        <v>13.3</v>
      </c>
      <c r="K361">
        <v>6</v>
      </c>
      <c r="L361">
        <v>155.03</v>
      </c>
      <c r="M361">
        <v>20</v>
      </c>
      <c r="N361" t="s">
        <v>26</v>
      </c>
      <c r="O361">
        <v>7</v>
      </c>
      <c r="P361">
        <v>953</v>
      </c>
      <c r="Q361" s="27" t="str">
        <f>IF(D361=Pivot!$AS$4,R360, "")</f>
        <v/>
      </c>
      <c r="R361" t="s">
        <v>57</v>
      </c>
      <c r="S361" s="5">
        <v>0.73</v>
      </c>
      <c r="T361">
        <v>97.54</v>
      </c>
      <c r="U361">
        <v>51.68</v>
      </c>
      <c r="V361" s="27">
        <f t="shared" si="20"/>
        <v>79.800000000000011</v>
      </c>
      <c r="W361">
        <f t="shared" si="21"/>
        <v>206.71</v>
      </c>
      <c r="X361" s="33" t="str">
        <f t="shared" si="22"/>
        <v>Mid Quality</v>
      </c>
      <c r="Y361" s="27" t="str">
        <f t="shared" si="23"/>
        <v>14</v>
      </c>
    </row>
    <row r="362" spans="1:25" x14ac:dyDescent="0.25">
      <c r="A362" s="1">
        <v>45547</v>
      </c>
      <c r="B362" t="s">
        <v>75</v>
      </c>
      <c r="C362">
        <v>3</v>
      </c>
      <c r="D362" t="s">
        <v>71</v>
      </c>
      <c r="E362" t="s">
        <v>22</v>
      </c>
      <c r="F362" t="s">
        <v>69</v>
      </c>
      <c r="G362" t="s">
        <v>32</v>
      </c>
      <c r="H362" t="s">
        <v>48</v>
      </c>
      <c r="I362">
        <v>5</v>
      </c>
      <c r="J362">
        <v>19.41</v>
      </c>
      <c r="K362">
        <v>3</v>
      </c>
      <c r="L362">
        <v>254.02</v>
      </c>
      <c r="M362">
        <v>59</v>
      </c>
      <c r="N362" t="s">
        <v>45</v>
      </c>
      <c r="O362">
        <v>48</v>
      </c>
      <c r="P362">
        <v>982</v>
      </c>
      <c r="Q362" s="27" t="str">
        <f>IF(D362=Pivot!$AS$4,R361, "")</f>
        <v/>
      </c>
      <c r="R362" t="s">
        <v>27</v>
      </c>
      <c r="S362" s="5">
        <v>4.8899999999999997</v>
      </c>
      <c r="T362">
        <v>85.22</v>
      </c>
      <c r="U362">
        <v>249.79</v>
      </c>
      <c r="V362" s="27">
        <f t="shared" si="20"/>
        <v>291.14999999999998</v>
      </c>
      <c r="W362">
        <f t="shared" si="21"/>
        <v>503.81</v>
      </c>
      <c r="X362" s="33" t="str">
        <f t="shared" si="22"/>
        <v>Low Quality</v>
      </c>
      <c r="Y362" s="27" t="str">
        <f t="shared" si="23"/>
        <v>20</v>
      </c>
    </row>
    <row r="363" spans="1:25" x14ac:dyDescent="0.25">
      <c r="A363" s="1">
        <v>45394</v>
      </c>
      <c r="B363" t="s">
        <v>28</v>
      </c>
      <c r="C363">
        <v>1</v>
      </c>
      <c r="D363" t="s">
        <v>21</v>
      </c>
      <c r="E363" t="s">
        <v>30</v>
      </c>
      <c r="F363" t="s">
        <v>81</v>
      </c>
      <c r="G363" t="s">
        <v>39</v>
      </c>
      <c r="H363" t="s">
        <v>40</v>
      </c>
      <c r="I363">
        <v>5</v>
      </c>
      <c r="J363">
        <v>14.57</v>
      </c>
      <c r="K363">
        <v>7</v>
      </c>
      <c r="L363">
        <v>282.7</v>
      </c>
      <c r="M363">
        <v>82</v>
      </c>
      <c r="N363" t="s">
        <v>55</v>
      </c>
      <c r="O363">
        <v>10</v>
      </c>
      <c r="P363">
        <v>761</v>
      </c>
      <c r="Q363" s="27" t="str">
        <f>IF(D363=Pivot!$AS$4,R362, "")</f>
        <v/>
      </c>
      <c r="R363" t="s">
        <v>34</v>
      </c>
      <c r="S363" s="5">
        <v>1.31</v>
      </c>
      <c r="T363">
        <v>92.38</v>
      </c>
      <c r="U363">
        <v>386.36</v>
      </c>
      <c r="V363" s="27">
        <f t="shared" si="20"/>
        <v>509.95</v>
      </c>
      <c r="W363">
        <f t="shared" si="21"/>
        <v>669.06</v>
      </c>
      <c r="X363" s="33" t="str">
        <f t="shared" si="22"/>
        <v>Mid Quality</v>
      </c>
      <c r="Y363" s="27" t="str">
        <f t="shared" si="23"/>
        <v>16</v>
      </c>
    </row>
    <row r="364" spans="1:25" x14ac:dyDescent="0.25">
      <c r="A364" s="1">
        <v>45412</v>
      </c>
      <c r="B364" t="s">
        <v>28</v>
      </c>
      <c r="C364">
        <v>3</v>
      </c>
      <c r="D364" t="s">
        <v>82</v>
      </c>
      <c r="E364" t="s">
        <v>37</v>
      </c>
      <c r="F364" t="s">
        <v>31</v>
      </c>
      <c r="G364" t="s">
        <v>39</v>
      </c>
      <c r="H364" t="s">
        <v>48</v>
      </c>
      <c r="I364">
        <v>3</v>
      </c>
      <c r="J364">
        <v>18.57</v>
      </c>
      <c r="K364">
        <v>5</v>
      </c>
      <c r="L364">
        <v>393.62</v>
      </c>
      <c r="M364">
        <v>60</v>
      </c>
      <c r="N364" t="s">
        <v>41</v>
      </c>
      <c r="O364">
        <v>9</v>
      </c>
      <c r="P364">
        <v>664</v>
      </c>
      <c r="Q364" s="27" t="str">
        <f>IF(D364=Pivot!$AS$4,R363, "")</f>
        <v/>
      </c>
      <c r="R364" t="s">
        <v>57</v>
      </c>
      <c r="S364" s="5">
        <v>1.36</v>
      </c>
      <c r="T364">
        <v>94.28</v>
      </c>
      <c r="U364">
        <v>393.62</v>
      </c>
      <c r="V364" s="27">
        <f t="shared" si="20"/>
        <v>278.55</v>
      </c>
      <c r="W364">
        <f t="shared" si="21"/>
        <v>787.24</v>
      </c>
      <c r="X364" s="33" t="str">
        <f t="shared" si="22"/>
        <v>Low Quality</v>
      </c>
      <c r="Y364" s="27" t="str">
        <f t="shared" si="23"/>
        <v>20</v>
      </c>
    </row>
    <row r="365" spans="1:25" x14ac:dyDescent="0.25">
      <c r="A365" s="1">
        <v>45415</v>
      </c>
      <c r="B365" t="s">
        <v>75</v>
      </c>
      <c r="C365">
        <v>1</v>
      </c>
      <c r="D365" t="s">
        <v>53</v>
      </c>
      <c r="E365" t="s">
        <v>67</v>
      </c>
      <c r="F365" t="s">
        <v>56</v>
      </c>
      <c r="G365" t="s">
        <v>60</v>
      </c>
      <c r="H365" t="s">
        <v>40</v>
      </c>
      <c r="I365">
        <v>5</v>
      </c>
      <c r="J365">
        <v>10.83</v>
      </c>
      <c r="K365">
        <v>9</v>
      </c>
      <c r="L365">
        <v>251.3</v>
      </c>
      <c r="M365">
        <v>8</v>
      </c>
      <c r="N365" t="s">
        <v>26</v>
      </c>
      <c r="O365">
        <v>22</v>
      </c>
      <c r="P365">
        <v>312</v>
      </c>
      <c r="Q365" s="27" t="str">
        <f>IF(D365=Pivot!$AS$4,R364, "")</f>
        <v/>
      </c>
      <c r="R365" t="s">
        <v>42</v>
      </c>
      <c r="S365" s="5">
        <v>7.05</v>
      </c>
      <c r="T365">
        <v>80.900000000000006</v>
      </c>
      <c r="U365">
        <v>33.51</v>
      </c>
      <c r="V365" s="27">
        <f t="shared" si="20"/>
        <v>487.35</v>
      </c>
      <c r="W365">
        <f t="shared" si="21"/>
        <v>284.81</v>
      </c>
      <c r="X365" s="33" t="str">
        <f t="shared" si="22"/>
        <v>Mid Quality</v>
      </c>
      <c r="Y365" s="27" t="str">
        <f t="shared" si="23"/>
        <v>12</v>
      </c>
    </row>
    <row r="366" spans="1:25" x14ac:dyDescent="0.25">
      <c r="A366" s="1">
        <v>45427</v>
      </c>
      <c r="B366" t="s">
        <v>65</v>
      </c>
      <c r="C366">
        <v>3</v>
      </c>
      <c r="D366" t="s">
        <v>29</v>
      </c>
      <c r="E366" t="s">
        <v>22</v>
      </c>
      <c r="F366" t="s">
        <v>38</v>
      </c>
      <c r="G366" t="s">
        <v>32</v>
      </c>
      <c r="H366" t="s">
        <v>61</v>
      </c>
      <c r="I366">
        <v>4</v>
      </c>
      <c r="J366">
        <v>3.22</v>
      </c>
      <c r="K366">
        <v>7</v>
      </c>
      <c r="L366">
        <v>405.44</v>
      </c>
      <c r="M366">
        <v>52</v>
      </c>
      <c r="N366" t="s">
        <v>49</v>
      </c>
      <c r="O366">
        <v>23</v>
      </c>
      <c r="P366">
        <v>165</v>
      </c>
      <c r="Q366" s="27" t="str">
        <f>IF(D366=Pivot!$AS$4,R365, "")</f>
        <v/>
      </c>
      <c r="R366" t="s">
        <v>27</v>
      </c>
      <c r="S366" s="5">
        <v>13.94</v>
      </c>
      <c r="T366">
        <v>68.12</v>
      </c>
      <c r="U366">
        <v>351.38</v>
      </c>
      <c r="V366" s="27">
        <f t="shared" si="20"/>
        <v>90.160000000000011</v>
      </c>
      <c r="W366">
        <f t="shared" si="21"/>
        <v>756.81999999999994</v>
      </c>
      <c r="X366" s="33" t="str">
        <f t="shared" si="22"/>
        <v>High Quality</v>
      </c>
      <c r="Y366" s="27" t="str">
        <f t="shared" si="23"/>
        <v>4</v>
      </c>
    </row>
    <row r="367" spans="1:25" x14ac:dyDescent="0.25">
      <c r="A367" s="1">
        <v>45397</v>
      </c>
      <c r="B367" t="s">
        <v>28</v>
      </c>
      <c r="C367">
        <v>1</v>
      </c>
      <c r="D367" t="s">
        <v>64</v>
      </c>
      <c r="E367" t="s">
        <v>67</v>
      </c>
      <c r="F367" t="s">
        <v>44</v>
      </c>
      <c r="G367" t="s">
        <v>52</v>
      </c>
      <c r="H367" t="s">
        <v>25</v>
      </c>
      <c r="I367">
        <v>2</v>
      </c>
      <c r="J367">
        <v>11.04</v>
      </c>
      <c r="K367">
        <v>4</v>
      </c>
      <c r="L367">
        <v>328.26</v>
      </c>
      <c r="M367">
        <v>21</v>
      </c>
      <c r="N367" t="s">
        <v>45</v>
      </c>
      <c r="O367">
        <v>7</v>
      </c>
      <c r="P367">
        <v>331</v>
      </c>
      <c r="Q367" s="27" t="str">
        <f>IF(D367=Pivot!$AS$4,R366, "")</f>
        <v/>
      </c>
      <c r="R367" t="s">
        <v>42</v>
      </c>
      <c r="S367" s="5">
        <v>2.11</v>
      </c>
      <c r="T367">
        <v>93.78</v>
      </c>
      <c r="U367">
        <v>114.89</v>
      </c>
      <c r="V367" s="27">
        <f t="shared" si="20"/>
        <v>88.32</v>
      </c>
      <c r="W367">
        <f t="shared" si="21"/>
        <v>443.15</v>
      </c>
      <c r="X367" s="33" t="str">
        <f t="shared" si="22"/>
        <v>Mid Quality</v>
      </c>
      <c r="Y367" s="27" t="str">
        <f t="shared" si="23"/>
        <v>12</v>
      </c>
    </row>
    <row r="368" spans="1:25" x14ac:dyDescent="0.25">
      <c r="A368" s="1">
        <v>45409</v>
      </c>
      <c r="B368" t="s">
        <v>35</v>
      </c>
      <c r="C368">
        <v>3</v>
      </c>
      <c r="D368" t="s">
        <v>66</v>
      </c>
      <c r="E368" t="s">
        <v>22</v>
      </c>
      <c r="F368" t="s">
        <v>56</v>
      </c>
      <c r="G368" t="s">
        <v>60</v>
      </c>
      <c r="H368" t="s">
        <v>33</v>
      </c>
      <c r="I368">
        <v>2</v>
      </c>
      <c r="J368">
        <v>3.41</v>
      </c>
      <c r="K368">
        <v>5</v>
      </c>
      <c r="L368">
        <v>100.89</v>
      </c>
      <c r="M368">
        <v>40</v>
      </c>
      <c r="N368" t="s">
        <v>45</v>
      </c>
      <c r="O368">
        <v>48</v>
      </c>
      <c r="P368">
        <v>984</v>
      </c>
      <c r="Q368" s="27" t="str">
        <f>IF(D368=Pivot!$AS$4,R367, "")</f>
        <v/>
      </c>
      <c r="R368" t="s">
        <v>46</v>
      </c>
      <c r="S368" s="5">
        <v>4.88</v>
      </c>
      <c r="T368">
        <v>88.24</v>
      </c>
      <c r="U368">
        <v>67.260000000000005</v>
      </c>
      <c r="V368" s="27">
        <f t="shared" si="20"/>
        <v>34.1</v>
      </c>
      <c r="W368">
        <f t="shared" si="21"/>
        <v>168.15</v>
      </c>
      <c r="X368" s="33" t="str">
        <f t="shared" si="22"/>
        <v>High Quality</v>
      </c>
      <c r="Y368" s="27" t="str">
        <f t="shared" si="23"/>
        <v>4</v>
      </c>
    </row>
    <row r="369" spans="1:25" x14ac:dyDescent="0.25">
      <c r="A369" s="1">
        <v>45395</v>
      </c>
      <c r="B369" t="s">
        <v>20</v>
      </c>
      <c r="C369">
        <v>1</v>
      </c>
      <c r="D369" t="s">
        <v>74</v>
      </c>
      <c r="E369" t="s">
        <v>30</v>
      </c>
      <c r="F369" t="s">
        <v>84</v>
      </c>
      <c r="G369" t="s">
        <v>39</v>
      </c>
      <c r="H369" t="s">
        <v>25</v>
      </c>
      <c r="I369">
        <v>1</v>
      </c>
      <c r="J369">
        <v>12.26</v>
      </c>
      <c r="K369">
        <v>5</v>
      </c>
      <c r="L369">
        <v>120.35</v>
      </c>
      <c r="M369">
        <v>74</v>
      </c>
      <c r="N369" t="s">
        <v>26</v>
      </c>
      <c r="O369">
        <v>9</v>
      </c>
      <c r="P369">
        <v>910</v>
      </c>
      <c r="Q369" s="27" t="str">
        <f>IF(D369=Pivot!$AS$4,R368, "")</f>
        <v/>
      </c>
      <c r="R369" t="s">
        <v>27</v>
      </c>
      <c r="S369" s="5">
        <v>0.99</v>
      </c>
      <c r="T369">
        <v>97.02</v>
      </c>
      <c r="U369">
        <v>148.43</v>
      </c>
      <c r="V369" s="27">
        <f t="shared" si="20"/>
        <v>61.3</v>
      </c>
      <c r="W369">
        <f t="shared" si="21"/>
        <v>268.77999999999997</v>
      </c>
      <c r="X369" s="33" t="str">
        <f t="shared" si="22"/>
        <v>Mid Quality</v>
      </c>
      <c r="Y369" s="27" t="str">
        <f t="shared" si="23"/>
        <v>14</v>
      </c>
    </row>
    <row r="370" spans="1:25" x14ac:dyDescent="0.25">
      <c r="A370" s="1">
        <v>45419</v>
      </c>
      <c r="B370" t="s">
        <v>75</v>
      </c>
      <c r="C370">
        <v>2</v>
      </c>
      <c r="D370" t="s">
        <v>80</v>
      </c>
      <c r="E370" t="s">
        <v>30</v>
      </c>
      <c r="F370" t="s">
        <v>62</v>
      </c>
      <c r="G370" t="s">
        <v>32</v>
      </c>
      <c r="H370" t="s">
        <v>61</v>
      </c>
      <c r="I370">
        <v>5</v>
      </c>
      <c r="J370">
        <v>10.17</v>
      </c>
      <c r="K370">
        <v>5</v>
      </c>
      <c r="L370">
        <v>246.67</v>
      </c>
      <c r="M370">
        <v>84</v>
      </c>
      <c r="N370" t="s">
        <v>45</v>
      </c>
      <c r="O370">
        <v>27</v>
      </c>
      <c r="P370">
        <v>949</v>
      </c>
      <c r="Q370" s="27" t="str">
        <f>IF(D370=Pivot!$AS$4,R369, "")</f>
        <v>Kontrol tekrarlandı</v>
      </c>
      <c r="R370" t="s">
        <v>27</v>
      </c>
      <c r="S370" s="5">
        <v>2.85</v>
      </c>
      <c r="T370">
        <v>89.3</v>
      </c>
      <c r="U370">
        <v>345.34</v>
      </c>
      <c r="V370" s="27">
        <f t="shared" si="20"/>
        <v>254.25</v>
      </c>
      <c r="W370">
        <f t="shared" si="21"/>
        <v>592.01</v>
      </c>
      <c r="X370" s="33" t="str">
        <f t="shared" si="22"/>
        <v>Mid Quality</v>
      </c>
      <c r="Y370" s="27" t="str">
        <f t="shared" si="23"/>
        <v>12</v>
      </c>
    </row>
    <row r="371" spans="1:25" x14ac:dyDescent="0.25">
      <c r="A371" s="1">
        <v>45474</v>
      </c>
      <c r="B371" t="s">
        <v>20</v>
      </c>
      <c r="C371">
        <v>2</v>
      </c>
      <c r="D371" t="s">
        <v>64</v>
      </c>
      <c r="E371" t="s">
        <v>30</v>
      </c>
      <c r="F371" t="s">
        <v>69</v>
      </c>
      <c r="G371" t="s">
        <v>60</v>
      </c>
      <c r="H371" t="s">
        <v>40</v>
      </c>
      <c r="I371">
        <v>1</v>
      </c>
      <c r="J371">
        <v>12.83</v>
      </c>
      <c r="K371">
        <v>9</v>
      </c>
      <c r="L371">
        <v>228.6</v>
      </c>
      <c r="M371">
        <v>42</v>
      </c>
      <c r="N371" t="s">
        <v>55</v>
      </c>
      <c r="O371">
        <v>24</v>
      </c>
      <c r="P371">
        <v>762</v>
      </c>
      <c r="Q371" s="27" t="str">
        <f>IF(D371=Pivot!$AS$4,R370, "")</f>
        <v/>
      </c>
      <c r="R371" t="s">
        <v>57</v>
      </c>
      <c r="S371" s="5">
        <v>3.15</v>
      </c>
      <c r="T371">
        <v>92.7</v>
      </c>
      <c r="U371">
        <v>160.02000000000001</v>
      </c>
      <c r="V371" s="27">
        <f t="shared" si="20"/>
        <v>115.47</v>
      </c>
      <c r="W371">
        <f t="shared" si="21"/>
        <v>388.62</v>
      </c>
      <c r="X371" s="33" t="str">
        <f t="shared" si="22"/>
        <v>Mid Quality</v>
      </c>
      <c r="Y371" s="27" t="str">
        <f t="shared" si="23"/>
        <v>14</v>
      </c>
    </row>
    <row r="372" spans="1:25" x14ac:dyDescent="0.25">
      <c r="A372" s="1">
        <v>45371</v>
      </c>
      <c r="B372" t="s">
        <v>28</v>
      </c>
      <c r="C372">
        <v>1</v>
      </c>
      <c r="D372" t="s">
        <v>77</v>
      </c>
      <c r="E372" t="s">
        <v>30</v>
      </c>
      <c r="F372" t="s">
        <v>70</v>
      </c>
      <c r="G372" t="s">
        <v>32</v>
      </c>
      <c r="H372" t="s">
        <v>25</v>
      </c>
      <c r="I372">
        <v>2</v>
      </c>
      <c r="J372">
        <v>1.19</v>
      </c>
      <c r="K372">
        <v>3</v>
      </c>
      <c r="L372">
        <v>384.59</v>
      </c>
      <c r="M372">
        <v>66</v>
      </c>
      <c r="N372" t="s">
        <v>45</v>
      </c>
      <c r="O372">
        <v>29</v>
      </c>
      <c r="P372">
        <v>816</v>
      </c>
      <c r="Q372" s="27" t="str">
        <f>IF(D372=Pivot!$AS$4,R371, "")</f>
        <v/>
      </c>
      <c r="R372" t="s">
        <v>46</v>
      </c>
      <c r="S372" s="5">
        <v>3.55</v>
      </c>
      <c r="T372">
        <v>90.9</v>
      </c>
      <c r="U372">
        <v>423.05</v>
      </c>
      <c r="V372" s="27">
        <f t="shared" si="20"/>
        <v>7.14</v>
      </c>
      <c r="W372">
        <f t="shared" si="21"/>
        <v>807.64</v>
      </c>
      <c r="X372" s="33" t="str">
        <f t="shared" si="22"/>
        <v>High Quality</v>
      </c>
      <c r="Y372" s="27" t="str">
        <f t="shared" si="23"/>
        <v>2</v>
      </c>
    </row>
    <row r="373" spans="1:25" x14ac:dyDescent="0.25">
      <c r="A373" s="1">
        <v>45346</v>
      </c>
      <c r="B373" t="s">
        <v>28</v>
      </c>
      <c r="C373">
        <v>3</v>
      </c>
      <c r="D373" t="s">
        <v>76</v>
      </c>
      <c r="E373" t="s">
        <v>51</v>
      </c>
      <c r="F373" t="s">
        <v>89</v>
      </c>
      <c r="G373" t="s">
        <v>39</v>
      </c>
      <c r="H373" t="s">
        <v>61</v>
      </c>
      <c r="I373">
        <v>2</v>
      </c>
      <c r="J373">
        <v>4.7</v>
      </c>
      <c r="K373">
        <v>6</v>
      </c>
      <c r="L373">
        <v>311.33</v>
      </c>
      <c r="M373">
        <v>52</v>
      </c>
      <c r="N373" t="s">
        <v>41</v>
      </c>
      <c r="O373">
        <v>17</v>
      </c>
      <c r="P373">
        <v>419</v>
      </c>
      <c r="Q373" s="27" t="str">
        <f>IF(D373=Pivot!$AS$4,R372, "")</f>
        <v/>
      </c>
      <c r="R373" t="s">
        <v>57</v>
      </c>
      <c r="S373" s="5">
        <v>4.0599999999999996</v>
      </c>
      <c r="T373">
        <v>89.88</v>
      </c>
      <c r="U373">
        <v>269.82</v>
      </c>
      <c r="V373" s="27">
        <f t="shared" si="20"/>
        <v>56.400000000000006</v>
      </c>
      <c r="W373">
        <f t="shared" si="21"/>
        <v>581.15</v>
      </c>
      <c r="X373" s="33" t="str">
        <f t="shared" si="22"/>
        <v>High Quality</v>
      </c>
      <c r="Y373" s="27" t="str">
        <f t="shared" si="23"/>
        <v>6</v>
      </c>
    </row>
    <row r="374" spans="1:25" x14ac:dyDescent="0.25">
      <c r="A374" s="1">
        <v>45353</v>
      </c>
      <c r="B374" t="s">
        <v>75</v>
      </c>
      <c r="C374">
        <v>1</v>
      </c>
      <c r="D374" t="s">
        <v>66</v>
      </c>
      <c r="E374" t="s">
        <v>51</v>
      </c>
      <c r="F374" t="s">
        <v>38</v>
      </c>
      <c r="G374" t="s">
        <v>60</v>
      </c>
      <c r="H374" t="s">
        <v>48</v>
      </c>
      <c r="I374">
        <v>5</v>
      </c>
      <c r="J374">
        <v>10.34</v>
      </c>
      <c r="K374">
        <v>8</v>
      </c>
      <c r="L374">
        <v>224.66</v>
      </c>
      <c r="M374">
        <v>14</v>
      </c>
      <c r="N374" t="s">
        <v>41</v>
      </c>
      <c r="O374">
        <v>20</v>
      </c>
      <c r="P374">
        <v>866</v>
      </c>
      <c r="Q374" s="27" t="str">
        <f>IF(D374=Pivot!$AS$4,R373, "")</f>
        <v/>
      </c>
      <c r="R374" t="s">
        <v>34</v>
      </c>
      <c r="S374" s="5">
        <v>2.31</v>
      </c>
      <c r="T374">
        <v>90.38</v>
      </c>
      <c r="U374">
        <v>52.42</v>
      </c>
      <c r="V374" s="27">
        <f t="shared" si="20"/>
        <v>413.6</v>
      </c>
      <c r="W374">
        <f t="shared" si="21"/>
        <v>277.08</v>
      </c>
      <c r="X374" s="33" t="str">
        <f t="shared" si="22"/>
        <v>Mid Quality</v>
      </c>
      <c r="Y374" s="27" t="str">
        <f t="shared" si="23"/>
        <v>12</v>
      </c>
    </row>
    <row r="375" spans="1:25" x14ac:dyDescent="0.25">
      <c r="A375" s="1">
        <v>45332</v>
      </c>
      <c r="B375" t="s">
        <v>35</v>
      </c>
      <c r="C375">
        <v>3</v>
      </c>
      <c r="D375" t="s">
        <v>80</v>
      </c>
      <c r="E375" t="s">
        <v>37</v>
      </c>
      <c r="F375" t="s">
        <v>56</v>
      </c>
      <c r="G375" t="s">
        <v>39</v>
      </c>
      <c r="H375" t="s">
        <v>33</v>
      </c>
      <c r="I375">
        <v>4</v>
      </c>
      <c r="J375">
        <v>19.059999999999999</v>
      </c>
      <c r="K375">
        <v>9</v>
      </c>
      <c r="L375">
        <v>126.84</v>
      </c>
      <c r="M375">
        <v>40</v>
      </c>
      <c r="N375" t="s">
        <v>49</v>
      </c>
      <c r="O375">
        <v>7</v>
      </c>
      <c r="P375">
        <v>236</v>
      </c>
      <c r="Q375" s="27" t="str">
        <f>IF(D375=Pivot!$AS$4,R374, "")</f>
        <v>Kritik hata</v>
      </c>
      <c r="R375" t="s">
        <v>42</v>
      </c>
      <c r="S375" s="5">
        <v>2.97</v>
      </c>
      <c r="T375">
        <v>90.06</v>
      </c>
      <c r="U375">
        <v>84.56</v>
      </c>
      <c r="V375" s="27">
        <f t="shared" si="20"/>
        <v>686.16</v>
      </c>
      <c r="W375">
        <f t="shared" si="21"/>
        <v>211.4</v>
      </c>
      <c r="X375" s="33" t="str">
        <f t="shared" si="22"/>
        <v>Low Quality</v>
      </c>
      <c r="Y375" s="27" t="str">
        <f t="shared" si="23"/>
        <v>20</v>
      </c>
    </row>
    <row r="376" spans="1:25" x14ac:dyDescent="0.25">
      <c r="A376" s="1">
        <v>45544</v>
      </c>
      <c r="B376" t="s">
        <v>50</v>
      </c>
      <c r="C376">
        <v>2</v>
      </c>
      <c r="D376" t="s">
        <v>71</v>
      </c>
      <c r="E376" t="s">
        <v>67</v>
      </c>
      <c r="F376" t="s">
        <v>89</v>
      </c>
      <c r="G376" t="s">
        <v>24</v>
      </c>
      <c r="H376" t="s">
        <v>25</v>
      </c>
      <c r="I376">
        <v>4</v>
      </c>
      <c r="J376">
        <v>8.2899999999999991</v>
      </c>
      <c r="K376">
        <v>7</v>
      </c>
      <c r="L376">
        <v>152.08000000000001</v>
      </c>
      <c r="M376">
        <v>33</v>
      </c>
      <c r="N376" t="s">
        <v>55</v>
      </c>
      <c r="O376">
        <v>43</v>
      </c>
      <c r="P376">
        <v>980</v>
      </c>
      <c r="Q376" s="27" t="str">
        <f>IF(D376=Pivot!$AS$4,R375, "")</f>
        <v/>
      </c>
      <c r="R376" t="s">
        <v>42</v>
      </c>
      <c r="S376" s="5">
        <v>4.3899999999999997</v>
      </c>
      <c r="T376">
        <v>87.22</v>
      </c>
      <c r="U376">
        <v>83.64</v>
      </c>
      <c r="V376" s="27">
        <f t="shared" si="20"/>
        <v>232.11999999999998</v>
      </c>
      <c r="W376">
        <f t="shared" si="21"/>
        <v>235.72000000000003</v>
      </c>
      <c r="X376" s="33" t="str">
        <f t="shared" si="22"/>
        <v>Mid Quality</v>
      </c>
      <c r="Y376" s="27" t="str">
        <f t="shared" si="23"/>
        <v>10</v>
      </c>
    </row>
    <row r="377" spans="1:25" x14ac:dyDescent="0.25">
      <c r="A377" s="1">
        <v>45295</v>
      </c>
      <c r="B377" t="s">
        <v>75</v>
      </c>
      <c r="C377">
        <v>3</v>
      </c>
      <c r="D377" t="s">
        <v>76</v>
      </c>
      <c r="E377" t="s">
        <v>22</v>
      </c>
      <c r="F377" t="s">
        <v>62</v>
      </c>
      <c r="G377" t="s">
        <v>39</v>
      </c>
      <c r="H377" t="s">
        <v>40</v>
      </c>
      <c r="I377">
        <v>5</v>
      </c>
      <c r="J377">
        <v>9.06</v>
      </c>
      <c r="K377">
        <v>3</v>
      </c>
      <c r="L377">
        <v>308.98</v>
      </c>
      <c r="M377">
        <v>82</v>
      </c>
      <c r="N377" t="s">
        <v>41</v>
      </c>
      <c r="O377">
        <v>40</v>
      </c>
      <c r="P377">
        <v>746</v>
      </c>
      <c r="Q377" s="27" t="str">
        <f>IF(D377=Pivot!$AS$4,R376, "")</f>
        <v/>
      </c>
      <c r="R377" t="s">
        <v>57</v>
      </c>
      <c r="S377" s="5">
        <v>5.36</v>
      </c>
      <c r="T377">
        <v>84.28</v>
      </c>
      <c r="U377">
        <v>422.27</v>
      </c>
      <c r="V377" s="27">
        <f t="shared" si="20"/>
        <v>135.9</v>
      </c>
      <c r="W377">
        <f t="shared" si="21"/>
        <v>731.25</v>
      </c>
      <c r="X377" s="33" t="str">
        <f t="shared" si="22"/>
        <v>Mid Quality</v>
      </c>
      <c r="Y377" s="27" t="str">
        <f t="shared" si="23"/>
        <v>10</v>
      </c>
    </row>
    <row r="378" spans="1:25" x14ac:dyDescent="0.25">
      <c r="A378" s="1">
        <v>45569</v>
      </c>
      <c r="B378" t="s">
        <v>50</v>
      </c>
      <c r="C378">
        <v>2</v>
      </c>
      <c r="D378" t="s">
        <v>82</v>
      </c>
      <c r="E378" t="s">
        <v>22</v>
      </c>
      <c r="F378" t="s">
        <v>68</v>
      </c>
      <c r="G378" t="s">
        <v>32</v>
      </c>
      <c r="H378" t="s">
        <v>48</v>
      </c>
      <c r="I378">
        <v>5</v>
      </c>
      <c r="J378">
        <v>14.58</v>
      </c>
      <c r="K378">
        <v>1</v>
      </c>
      <c r="L378">
        <v>240.55</v>
      </c>
      <c r="M378">
        <v>8</v>
      </c>
      <c r="N378" t="s">
        <v>26</v>
      </c>
      <c r="O378">
        <v>7</v>
      </c>
      <c r="P378">
        <v>665</v>
      </c>
      <c r="Q378" s="27" t="str">
        <f>IF(D378=Pivot!$AS$4,R377, "")</f>
        <v/>
      </c>
      <c r="R378" t="s">
        <v>42</v>
      </c>
      <c r="S378" s="5">
        <v>1.05</v>
      </c>
      <c r="T378">
        <v>92.9</v>
      </c>
      <c r="U378">
        <v>32.07</v>
      </c>
      <c r="V378" s="27">
        <f t="shared" si="20"/>
        <v>72.900000000000006</v>
      </c>
      <c r="W378">
        <f t="shared" si="21"/>
        <v>272.62</v>
      </c>
      <c r="X378" s="33" t="str">
        <f t="shared" si="22"/>
        <v>Mid Quality</v>
      </c>
      <c r="Y378" s="27" t="str">
        <f t="shared" si="23"/>
        <v>16</v>
      </c>
    </row>
    <row r="379" spans="1:25" x14ac:dyDescent="0.25">
      <c r="A379" s="1">
        <v>45313</v>
      </c>
      <c r="B379" t="s">
        <v>65</v>
      </c>
      <c r="C379">
        <v>3</v>
      </c>
      <c r="D379" t="s">
        <v>64</v>
      </c>
      <c r="E379" t="s">
        <v>51</v>
      </c>
      <c r="F379" t="s">
        <v>62</v>
      </c>
      <c r="G379" t="s">
        <v>52</v>
      </c>
      <c r="H379" t="s">
        <v>61</v>
      </c>
      <c r="I379">
        <v>1</v>
      </c>
      <c r="J379">
        <v>12.47</v>
      </c>
      <c r="K379">
        <v>4</v>
      </c>
      <c r="L379">
        <v>281.72000000000003</v>
      </c>
      <c r="M379">
        <v>48</v>
      </c>
      <c r="N379" t="s">
        <v>63</v>
      </c>
      <c r="O379">
        <v>28</v>
      </c>
      <c r="P379">
        <v>164</v>
      </c>
      <c r="Q379" s="27" t="str">
        <f>IF(D379=Pivot!$AS$4,R378, "")</f>
        <v/>
      </c>
      <c r="R379" t="s">
        <v>42</v>
      </c>
      <c r="S379" s="5">
        <v>17.07</v>
      </c>
      <c r="T379">
        <v>64.86</v>
      </c>
      <c r="U379">
        <v>225.38</v>
      </c>
      <c r="V379" s="27">
        <f t="shared" si="20"/>
        <v>49.88</v>
      </c>
      <c r="W379">
        <f t="shared" si="21"/>
        <v>507.1</v>
      </c>
      <c r="X379" s="33" t="str">
        <f t="shared" si="22"/>
        <v>Mid Quality</v>
      </c>
      <c r="Y379" s="27" t="str">
        <f t="shared" si="23"/>
        <v>14</v>
      </c>
    </row>
    <row r="380" spans="1:25" x14ac:dyDescent="0.25">
      <c r="A380" s="1">
        <v>45538</v>
      </c>
      <c r="B380" t="s">
        <v>50</v>
      </c>
      <c r="C380">
        <v>3</v>
      </c>
      <c r="D380" t="s">
        <v>53</v>
      </c>
      <c r="E380" t="s">
        <v>22</v>
      </c>
      <c r="F380" t="s">
        <v>78</v>
      </c>
      <c r="G380" t="s">
        <v>39</v>
      </c>
      <c r="H380" t="s">
        <v>33</v>
      </c>
      <c r="I380">
        <v>5</v>
      </c>
      <c r="J380">
        <v>6.68</v>
      </c>
      <c r="K380">
        <v>6</v>
      </c>
      <c r="L380">
        <v>126.8</v>
      </c>
      <c r="M380">
        <v>60</v>
      </c>
      <c r="N380" t="s">
        <v>63</v>
      </c>
      <c r="O380">
        <v>19</v>
      </c>
      <c r="P380">
        <v>613</v>
      </c>
      <c r="Q380" s="27" t="str">
        <f>IF(D380=Pivot!$AS$4,R379, "")</f>
        <v/>
      </c>
      <c r="R380" t="s">
        <v>34</v>
      </c>
      <c r="S380" s="5">
        <v>3.1</v>
      </c>
      <c r="T380">
        <v>88.8</v>
      </c>
      <c r="U380">
        <v>126.8</v>
      </c>
      <c r="V380" s="27">
        <f t="shared" si="20"/>
        <v>200.39999999999998</v>
      </c>
      <c r="W380">
        <f t="shared" si="21"/>
        <v>253.6</v>
      </c>
      <c r="X380" s="33" t="str">
        <f t="shared" si="22"/>
        <v>Mid Quality</v>
      </c>
      <c r="Y380" s="27" t="str">
        <f t="shared" si="23"/>
        <v>8</v>
      </c>
    </row>
    <row r="381" spans="1:25" x14ac:dyDescent="0.25">
      <c r="A381" s="1">
        <v>45482</v>
      </c>
      <c r="B381" t="s">
        <v>35</v>
      </c>
      <c r="C381">
        <v>3</v>
      </c>
      <c r="D381" t="s">
        <v>83</v>
      </c>
      <c r="E381" t="s">
        <v>51</v>
      </c>
      <c r="F381" t="s">
        <v>87</v>
      </c>
      <c r="G381" t="s">
        <v>52</v>
      </c>
      <c r="H381" t="s">
        <v>40</v>
      </c>
      <c r="I381">
        <v>4</v>
      </c>
      <c r="J381">
        <v>8.81</v>
      </c>
      <c r="K381">
        <v>3</v>
      </c>
      <c r="L381">
        <v>348.31</v>
      </c>
      <c r="M381">
        <v>46</v>
      </c>
      <c r="N381" t="s">
        <v>63</v>
      </c>
      <c r="O381">
        <v>20</v>
      </c>
      <c r="P381">
        <v>231</v>
      </c>
      <c r="Q381" s="27" t="str">
        <f>IF(D381=Pivot!$AS$4,R380, "")</f>
        <v/>
      </c>
      <c r="R381" t="s">
        <v>46</v>
      </c>
      <c r="S381" s="5">
        <v>8.66</v>
      </c>
      <c r="T381">
        <v>78.680000000000007</v>
      </c>
      <c r="U381">
        <v>267.04000000000002</v>
      </c>
      <c r="V381" s="27">
        <f t="shared" si="20"/>
        <v>105.72</v>
      </c>
      <c r="W381">
        <f t="shared" si="21"/>
        <v>615.35</v>
      </c>
      <c r="X381" s="33" t="str">
        <f t="shared" si="22"/>
        <v>Mid Quality</v>
      </c>
      <c r="Y381" s="27" t="str">
        <f t="shared" si="23"/>
        <v>10</v>
      </c>
    </row>
    <row r="382" spans="1:25" x14ac:dyDescent="0.25">
      <c r="A382" s="1">
        <v>45453</v>
      </c>
      <c r="B382" t="s">
        <v>65</v>
      </c>
      <c r="C382">
        <v>1</v>
      </c>
      <c r="D382" t="s">
        <v>88</v>
      </c>
      <c r="E382" t="s">
        <v>37</v>
      </c>
      <c r="F382" t="s">
        <v>44</v>
      </c>
      <c r="G382" t="s">
        <v>24</v>
      </c>
      <c r="H382" t="s">
        <v>61</v>
      </c>
      <c r="I382">
        <v>5</v>
      </c>
      <c r="J382">
        <v>5.14</v>
      </c>
      <c r="K382">
        <v>1</v>
      </c>
      <c r="L382">
        <v>433.64</v>
      </c>
      <c r="M382">
        <v>17</v>
      </c>
      <c r="N382" t="s">
        <v>26</v>
      </c>
      <c r="O382">
        <v>44</v>
      </c>
      <c r="P382">
        <v>433</v>
      </c>
      <c r="Q382" s="27" t="str">
        <f>IF(D382=Pivot!$AS$4,R381, "")</f>
        <v/>
      </c>
      <c r="R382" t="s">
        <v>27</v>
      </c>
      <c r="S382" s="5">
        <v>10.16</v>
      </c>
      <c r="T382">
        <v>74.680000000000007</v>
      </c>
      <c r="U382">
        <v>122.86</v>
      </c>
      <c r="V382" s="27">
        <f t="shared" si="20"/>
        <v>25.7</v>
      </c>
      <c r="W382">
        <f t="shared" si="21"/>
        <v>556.5</v>
      </c>
      <c r="X382" s="33" t="str">
        <f t="shared" si="22"/>
        <v>High Quality</v>
      </c>
      <c r="Y382" s="27" t="str">
        <f t="shared" si="23"/>
        <v>6</v>
      </c>
    </row>
    <row r="383" spans="1:25" x14ac:dyDescent="0.25">
      <c r="A383" s="1">
        <v>45544</v>
      </c>
      <c r="B383" t="s">
        <v>50</v>
      </c>
      <c r="C383">
        <v>1</v>
      </c>
      <c r="D383" t="s">
        <v>74</v>
      </c>
      <c r="E383" t="s">
        <v>67</v>
      </c>
      <c r="F383" t="s">
        <v>68</v>
      </c>
      <c r="G383" t="s">
        <v>60</v>
      </c>
      <c r="H383" t="s">
        <v>61</v>
      </c>
      <c r="I383">
        <v>1</v>
      </c>
      <c r="J383">
        <v>19.350000000000001</v>
      </c>
      <c r="K383">
        <v>6</v>
      </c>
      <c r="L383">
        <v>166.07</v>
      </c>
      <c r="M383">
        <v>50</v>
      </c>
      <c r="N383" t="s">
        <v>45</v>
      </c>
      <c r="O383">
        <v>39</v>
      </c>
      <c r="P383">
        <v>131</v>
      </c>
      <c r="Q383" s="27" t="str">
        <f>IF(D383=Pivot!$AS$4,R382, "")</f>
        <v/>
      </c>
      <c r="R383" t="s">
        <v>57</v>
      </c>
      <c r="S383" s="5">
        <v>29.77</v>
      </c>
      <c r="T383">
        <v>39.46</v>
      </c>
      <c r="U383">
        <v>138.38999999999999</v>
      </c>
      <c r="V383" s="27">
        <f t="shared" si="20"/>
        <v>116.10000000000001</v>
      </c>
      <c r="W383">
        <f t="shared" si="21"/>
        <v>304.45999999999998</v>
      </c>
      <c r="X383" s="33" t="str">
        <f t="shared" si="22"/>
        <v>Low Quality</v>
      </c>
      <c r="Y383" s="27" t="str">
        <f t="shared" si="23"/>
        <v>20</v>
      </c>
    </row>
    <row r="384" spans="1:25" x14ac:dyDescent="0.25">
      <c r="A384" s="1">
        <v>45586</v>
      </c>
      <c r="B384" t="s">
        <v>65</v>
      </c>
      <c r="C384">
        <v>2</v>
      </c>
      <c r="D384" t="s">
        <v>47</v>
      </c>
      <c r="E384" t="s">
        <v>37</v>
      </c>
      <c r="F384" t="s">
        <v>72</v>
      </c>
      <c r="G384" t="s">
        <v>60</v>
      </c>
      <c r="H384" t="s">
        <v>25</v>
      </c>
      <c r="I384">
        <v>1</v>
      </c>
      <c r="J384">
        <v>3.48</v>
      </c>
      <c r="K384">
        <v>1</v>
      </c>
      <c r="L384">
        <v>271.18</v>
      </c>
      <c r="M384">
        <v>86</v>
      </c>
      <c r="N384" t="s">
        <v>26</v>
      </c>
      <c r="O384">
        <v>40</v>
      </c>
      <c r="P384">
        <v>967</v>
      </c>
      <c r="Q384" s="27" t="str">
        <f>IF(D384=Pivot!$AS$4,R383, "")</f>
        <v/>
      </c>
      <c r="R384" t="s">
        <v>57</v>
      </c>
      <c r="S384" s="5">
        <v>4.1399999999999997</v>
      </c>
      <c r="T384">
        <v>90.72</v>
      </c>
      <c r="U384">
        <v>388.69</v>
      </c>
      <c r="V384" s="27">
        <f t="shared" si="20"/>
        <v>3.48</v>
      </c>
      <c r="W384">
        <f t="shared" si="21"/>
        <v>659.87</v>
      </c>
      <c r="X384" s="33" t="str">
        <f t="shared" si="22"/>
        <v>High Quality</v>
      </c>
      <c r="Y384" s="27" t="str">
        <f t="shared" si="23"/>
        <v>4</v>
      </c>
    </row>
    <row r="385" spans="1:25" x14ac:dyDescent="0.25">
      <c r="A385" s="1">
        <v>45432</v>
      </c>
      <c r="B385" t="s">
        <v>50</v>
      </c>
      <c r="C385">
        <v>2</v>
      </c>
      <c r="D385" t="s">
        <v>66</v>
      </c>
      <c r="E385" t="s">
        <v>30</v>
      </c>
      <c r="F385" t="s">
        <v>73</v>
      </c>
      <c r="G385" t="s">
        <v>52</v>
      </c>
      <c r="H385" t="s">
        <v>25</v>
      </c>
      <c r="I385">
        <v>1</v>
      </c>
      <c r="J385">
        <v>8.06</v>
      </c>
      <c r="K385">
        <v>9</v>
      </c>
      <c r="L385">
        <v>488.99</v>
      </c>
      <c r="M385">
        <v>37</v>
      </c>
      <c r="N385" t="s">
        <v>45</v>
      </c>
      <c r="O385">
        <v>7</v>
      </c>
      <c r="P385">
        <v>997</v>
      </c>
      <c r="Q385" s="27" t="str">
        <f>IF(D385=Pivot!$AS$4,R384, "")</f>
        <v/>
      </c>
      <c r="R385" t="s">
        <v>34</v>
      </c>
      <c r="S385" s="5">
        <v>0.7</v>
      </c>
      <c r="T385">
        <v>97.6</v>
      </c>
      <c r="U385">
        <v>301.54000000000002</v>
      </c>
      <c r="V385" s="27">
        <f t="shared" si="20"/>
        <v>72.540000000000006</v>
      </c>
      <c r="W385">
        <f t="shared" si="21"/>
        <v>790.53</v>
      </c>
      <c r="X385" s="33" t="str">
        <f t="shared" si="22"/>
        <v>Mid Quality</v>
      </c>
      <c r="Y385" s="27" t="str">
        <f t="shared" si="23"/>
        <v>10</v>
      </c>
    </row>
    <row r="386" spans="1:25" x14ac:dyDescent="0.25">
      <c r="A386" s="1">
        <v>45543</v>
      </c>
      <c r="B386" t="s">
        <v>35</v>
      </c>
      <c r="C386">
        <v>1</v>
      </c>
      <c r="D386" t="s">
        <v>71</v>
      </c>
      <c r="E386" t="s">
        <v>30</v>
      </c>
      <c r="F386" t="s">
        <v>81</v>
      </c>
      <c r="G386" t="s">
        <v>60</v>
      </c>
      <c r="H386" t="s">
        <v>40</v>
      </c>
      <c r="I386">
        <v>1</v>
      </c>
      <c r="J386">
        <v>1.49</v>
      </c>
      <c r="K386">
        <v>1</v>
      </c>
      <c r="L386">
        <v>199.96</v>
      </c>
      <c r="M386">
        <v>25</v>
      </c>
      <c r="N386" t="s">
        <v>63</v>
      </c>
      <c r="O386">
        <v>6</v>
      </c>
      <c r="P386">
        <v>971</v>
      </c>
      <c r="Q386" s="27" t="str">
        <f>IF(D386=Pivot!$AS$4,R385, "")</f>
        <v/>
      </c>
      <c r="R386" t="s">
        <v>34</v>
      </c>
      <c r="S386" s="5">
        <v>0.62</v>
      </c>
      <c r="T386">
        <v>97.76</v>
      </c>
      <c r="U386">
        <v>83.32</v>
      </c>
      <c r="V386" s="27">
        <f t="shared" ref="V386:V449" si="24">K386*I386*J386</f>
        <v>1.49</v>
      </c>
      <c r="W386">
        <f t="shared" ref="W386:W449" si="25">U386+L386</f>
        <v>283.27999999999997</v>
      </c>
      <c r="X386" s="33" t="str">
        <f t="shared" ref="X386:X449" si="26">_xlfn.IFS(J386&lt;6,"High Quality",J386&lt;=15,"Mid Quality",J386&gt;15,"Low Quality")</f>
        <v>High Quality</v>
      </c>
      <c r="Y386" s="27" t="str">
        <f t="shared" ref="Y386:Y449" si="27">_xlfn.IFS(J386&lt;=0,"0",J386&lt;=2,"2",J386&lt;=4,"4",J386&lt;=6,"6",J386&lt;=8,"8",J386&lt;=10,"10",J386&lt;=12,"12",J386&lt;=14,"14",J386&lt;=16,"16",J386&lt;=16,"16",J386&lt;=18,"18",J386&lt;=20,"20")</f>
        <v>2</v>
      </c>
    </row>
    <row r="387" spans="1:25" x14ac:dyDescent="0.25">
      <c r="A387" s="1">
        <v>45385</v>
      </c>
      <c r="B387" t="s">
        <v>50</v>
      </c>
      <c r="C387">
        <v>2</v>
      </c>
      <c r="D387" t="s">
        <v>66</v>
      </c>
      <c r="E387" t="s">
        <v>30</v>
      </c>
      <c r="F387" t="s">
        <v>70</v>
      </c>
      <c r="G387" t="s">
        <v>39</v>
      </c>
      <c r="H387" t="s">
        <v>61</v>
      </c>
      <c r="I387">
        <v>3</v>
      </c>
      <c r="J387">
        <v>5.21</v>
      </c>
      <c r="K387">
        <v>6</v>
      </c>
      <c r="L387">
        <v>317.77</v>
      </c>
      <c r="M387">
        <v>84</v>
      </c>
      <c r="N387" t="s">
        <v>49</v>
      </c>
      <c r="O387">
        <v>25</v>
      </c>
      <c r="P387">
        <v>597</v>
      </c>
      <c r="Q387" s="27" t="str">
        <f>IF(D387=Pivot!$AS$4,R386, "")</f>
        <v/>
      </c>
      <c r="R387" t="s">
        <v>27</v>
      </c>
      <c r="S387" s="5">
        <v>4.1900000000000004</v>
      </c>
      <c r="T387">
        <v>88.62</v>
      </c>
      <c r="U387">
        <v>444.88</v>
      </c>
      <c r="V387" s="27">
        <f t="shared" si="24"/>
        <v>93.78</v>
      </c>
      <c r="W387">
        <f t="shared" si="25"/>
        <v>762.65</v>
      </c>
      <c r="X387" s="33" t="str">
        <f t="shared" si="26"/>
        <v>High Quality</v>
      </c>
      <c r="Y387" s="27" t="str">
        <f t="shared" si="27"/>
        <v>6</v>
      </c>
    </row>
    <row r="388" spans="1:25" x14ac:dyDescent="0.25">
      <c r="A388" s="1">
        <v>45553</v>
      </c>
      <c r="B388" t="s">
        <v>50</v>
      </c>
      <c r="C388">
        <v>1</v>
      </c>
      <c r="D388" t="s">
        <v>43</v>
      </c>
      <c r="E388" t="s">
        <v>37</v>
      </c>
      <c r="F388" t="s">
        <v>31</v>
      </c>
      <c r="G388" t="s">
        <v>52</v>
      </c>
      <c r="H388" t="s">
        <v>25</v>
      </c>
      <c r="I388">
        <v>5</v>
      </c>
      <c r="J388">
        <v>15.83</v>
      </c>
      <c r="K388">
        <v>1</v>
      </c>
      <c r="L388">
        <v>90.59</v>
      </c>
      <c r="M388">
        <v>83</v>
      </c>
      <c r="N388" t="s">
        <v>49</v>
      </c>
      <c r="O388">
        <v>41</v>
      </c>
      <c r="P388">
        <v>342</v>
      </c>
      <c r="Q388" s="27" t="str">
        <f>IF(D388=Pivot!$AS$4,R387, "")</f>
        <v/>
      </c>
      <c r="R388" t="s">
        <v>46</v>
      </c>
      <c r="S388" s="5">
        <v>11.99</v>
      </c>
      <c r="T388">
        <v>71.02</v>
      </c>
      <c r="U388">
        <v>125.32</v>
      </c>
      <c r="V388" s="27">
        <f t="shared" si="24"/>
        <v>79.150000000000006</v>
      </c>
      <c r="W388">
        <f t="shared" si="25"/>
        <v>215.91</v>
      </c>
      <c r="X388" s="33" t="str">
        <f t="shared" si="26"/>
        <v>Low Quality</v>
      </c>
      <c r="Y388" s="27" t="str">
        <f t="shared" si="27"/>
        <v>16</v>
      </c>
    </row>
    <row r="389" spans="1:25" x14ac:dyDescent="0.25">
      <c r="A389" s="1">
        <v>45435</v>
      </c>
      <c r="B389" t="s">
        <v>50</v>
      </c>
      <c r="C389">
        <v>3</v>
      </c>
      <c r="D389" t="s">
        <v>77</v>
      </c>
      <c r="E389" t="s">
        <v>22</v>
      </c>
      <c r="F389" t="s">
        <v>78</v>
      </c>
      <c r="G389" t="s">
        <v>32</v>
      </c>
      <c r="H389" t="s">
        <v>33</v>
      </c>
      <c r="I389">
        <v>2</v>
      </c>
      <c r="J389">
        <v>4.82</v>
      </c>
      <c r="K389">
        <v>7</v>
      </c>
      <c r="L389">
        <v>322.70999999999998</v>
      </c>
      <c r="M389">
        <v>61</v>
      </c>
      <c r="N389" t="s">
        <v>45</v>
      </c>
      <c r="O389">
        <v>13</v>
      </c>
      <c r="P389">
        <v>291</v>
      </c>
      <c r="Q389" s="27" t="str">
        <f>IF(D389=Pivot!$AS$4,R388, "")</f>
        <v/>
      </c>
      <c r="R389" t="s">
        <v>57</v>
      </c>
      <c r="S389" s="5">
        <v>4.47</v>
      </c>
      <c r="T389">
        <v>89.06</v>
      </c>
      <c r="U389">
        <v>328.09</v>
      </c>
      <c r="V389" s="27">
        <f t="shared" si="24"/>
        <v>67.48</v>
      </c>
      <c r="W389">
        <f t="shared" si="25"/>
        <v>650.79999999999995</v>
      </c>
      <c r="X389" s="33" t="str">
        <f t="shared" si="26"/>
        <v>High Quality</v>
      </c>
      <c r="Y389" s="27" t="str">
        <f t="shared" si="27"/>
        <v>6</v>
      </c>
    </row>
    <row r="390" spans="1:25" x14ac:dyDescent="0.25">
      <c r="A390" s="1">
        <v>45495</v>
      </c>
      <c r="B390" t="s">
        <v>75</v>
      </c>
      <c r="C390">
        <v>2</v>
      </c>
      <c r="D390" t="s">
        <v>47</v>
      </c>
      <c r="E390" t="s">
        <v>67</v>
      </c>
      <c r="F390" t="s">
        <v>72</v>
      </c>
      <c r="G390" t="s">
        <v>39</v>
      </c>
      <c r="H390" t="s">
        <v>33</v>
      </c>
      <c r="I390">
        <v>5</v>
      </c>
      <c r="J390">
        <v>2.52</v>
      </c>
      <c r="K390">
        <v>3</v>
      </c>
      <c r="L390">
        <v>90.33</v>
      </c>
      <c r="M390">
        <v>73</v>
      </c>
      <c r="N390" t="s">
        <v>63</v>
      </c>
      <c r="O390">
        <v>39</v>
      </c>
      <c r="P390">
        <v>241</v>
      </c>
      <c r="Q390" s="27" t="str">
        <f>IF(D390=Pivot!$AS$4,R389, "")</f>
        <v/>
      </c>
      <c r="R390" t="s">
        <v>34</v>
      </c>
      <c r="S390" s="5">
        <v>16.18</v>
      </c>
      <c r="T390">
        <v>62.64</v>
      </c>
      <c r="U390">
        <v>109.9</v>
      </c>
      <c r="V390" s="27">
        <f t="shared" si="24"/>
        <v>37.799999999999997</v>
      </c>
      <c r="W390">
        <f t="shared" si="25"/>
        <v>200.23000000000002</v>
      </c>
      <c r="X390" s="33" t="str">
        <f t="shared" si="26"/>
        <v>High Quality</v>
      </c>
      <c r="Y390" s="27" t="str">
        <f t="shared" si="27"/>
        <v>4</v>
      </c>
    </row>
    <row r="391" spans="1:25" x14ac:dyDescent="0.25">
      <c r="A391" s="1">
        <v>45405</v>
      </c>
      <c r="B391" t="s">
        <v>75</v>
      </c>
      <c r="C391">
        <v>2</v>
      </c>
      <c r="D391" t="s">
        <v>77</v>
      </c>
      <c r="E391" t="s">
        <v>30</v>
      </c>
      <c r="F391" t="s">
        <v>38</v>
      </c>
      <c r="G391" t="s">
        <v>39</v>
      </c>
      <c r="H391" t="s">
        <v>61</v>
      </c>
      <c r="I391">
        <v>3</v>
      </c>
      <c r="J391">
        <v>10.01</v>
      </c>
      <c r="K391">
        <v>6</v>
      </c>
      <c r="L391">
        <v>481.66</v>
      </c>
      <c r="M391">
        <v>74</v>
      </c>
      <c r="N391" t="s">
        <v>26</v>
      </c>
      <c r="O391">
        <v>40</v>
      </c>
      <c r="P391">
        <v>759</v>
      </c>
      <c r="Q391" s="27" t="str">
        <f>IF(D391=Pivot!$AS$4,R390, "")</f>
        <v/>
      </c>
      <c r="R391" t="s">
        <v>57</v>
      </c>
      <c r="S391" s="5">
        <v>5.27</v>
      </c>
      <c r="T391">
        <v>86.46</v>
      </c>
      <c r="U391">
        <v>594.04999999999995</v>
      </c>
      <c r="V391" s="27">
        <f t="shared" si="24"/>
        <v>180.18</v>
      </c>
      <c r="W391">
        <f t="shared" si="25"/>
        <v>1075.71</v>
      </c>
      <c r="X391" s="33" t="str">
        <f t="shared" si="26"/>
        <v>Mid Quality</v>
      </c>
      <c r="Y391" s="27" t="str">
        <f t="shared" si="27"/>
        <v>12</v>
      </c>
    </row>
    <row r="392" spans="1:25" x14ac:dyDescent="0.25">
      <c r="A392" s="1">
        <v>45587</v>
      </c>
      <c r="B392" t="s">
        <v>75</v>
      </c>
      <c r="C392">
        <v>1</v>
      </c>
      <c r="D392" t="s">
        <v>71</v>
      </c>
      <c r="E392" t="s">
        <v>30</v>
      </c>
      <c r="F392" t="s">
        <v>62</v>
      </c>
      <c r="G392" t="s">
        <v>39</v>
      </c>
      <c r="H392" t="s">
        <v>25</v>
      </c>
      <c r="I392">
        <v>1</v>
      </c>
      <c r="J392">
        <v>1.19</v>
      </c>
      <c r="K392">
        <v>7</v>
      </c>
      <c r="L392">
        <v>372.05</v>
      </c>
      <c r="M392">
        <v>71</v>
      </c>
      <c r="N392" t="s">
        <v>49</v>
      </c>
      <c r="O392">
        <v>22</v>
      </c>
      <c r="P392">
        <v>700</v>
      </c>
      <c r="Q392" s="27" t="str">
        <f>IF(D392=Pivot!$AS$4,R391, "")</f>
        <v/>
      </c>
      <c r="R392" t="s">
        <v>42</v>
      </c>
      <c r="S392" s="5">
        <v>3.14</v>
      </c>
      <c r="T392">
        <v>92.72</v>
      </c>
      <c r="U392">
        <v>440.26</v>
      </c>
      <c r="V392" s="27">
        <f t="shared" si="24"/>
        <v>8.33</v>
      </c>
      <c r="W392">
        <f t="shared" si="25"/>
        <v>812.31</v>
      </c>
      <c r="X392" s="33" t="str">
        <f t="shared" si="26"/>
        <v>High Quality</v>
      </c>
      <c r="Y392" s="27" t="str">
        <f t="shared" si="27"/>
        <v>2</v>
      </c>
    </row>
    <row r="393" spans="1:25" x14ac:dyDescent="0.25">
      <c r="A393" s="1">
        <v>45357</v>
      </c>
      <c r="B393" t="s">
        <v>35</v>
      </c>
      <c r="C393">
        <v>2</v>
      </c>
      <c r="D393" t="s">
        <v>88</v>
      </c>
      <c r="E393" t="s">
        <v>30</v>
      </c>
      <c r="F393" t="s">
        <v>68</v>
      </c>
      <c r="G393" t="s">
        <v>32</v>
      </c>
      <c r="H393" t="s">
        <v>40</v>
      </c>
      <c r="I393">
        <v>3</v>
      </c>
      <c r="J393">
        <v>2.61</v>
      </c>
      <c r="K393">
        <v>1</v>
      </c>
      <c r="L393">
        <v>404.67</v>
      </c>
      <c r="M393">
        <v>52</v>
      </c>
      <c r="N393" t="s">
        <v>45</v>
      </c>
      <c r="O393">
        <v>49</v>
      </c>
      <c r="P393">
        <v>660</v>
      </c>
      <c r="Q393" s="27" t="str">
        <f>IF(D393=Pivot!$AS$4,R392, "")</f>
        <v/>
      </c>
      <c r="R393" t="s">
        <v>57</v>
      </c>
      <c r="S393" s="5">
        <v>7.42</v>
      </c>
      <c r="T393">
        <v>82.16</v>
      </c>
      <c r="U393">
        <v>350.71</v>
      </c>
      <c r="V393" s="27">
        <f t="shared" si="24"/>
        <v>7.83</v>
      </c>
      <c r="W393">
        <f t="shared" si="25"/>
        <v>755.38</v>
      </c>
      <c r="X393" s="33" t="str">
        <f t="shared" si="26"/>
        <v>High Quality</v>
      </c>
      <c r="Y393" s="27" t="str">
        <f t="shared" si="27"/>
        <v>4</v>
      </c>
    </row>
    <row r="394" spans="1:25" x14ac:dyDescent="0.25">
      <c r="A394" s="1">
        <v>45319</v>
      </c>
      <c r="B394" t="s">
        <v>65</v>
      </c>
      <c r="C394">
        <v>2</v>
      </c>
      <c r="D394" t="s">
        <v>47</v>
      </c>
      <c r="E394" t="s">
        <v>67</v>
      </c>
      <c r="F394" t="s">
        <v>84</v>
      </c>
      <c r="G394" t="s">
        <v>24</v>
      </c>
      <c r="H394" t="s">
        <v>40</v>
      </c>
      <c r="I394">
        <v>4</v>
      </c>
      <c r="J394">
        <v>16.34</v>
      </c>
      <c r="K394">
        <v>1</v>
      </c>
      <c r="L394">
        <v>366.85</v>
      </c>
      <c r="M394">
        <v>80</v>
      </c>
      <c r="N394" t="s">
        <v>26</v>
      </c>
      <c r="O394">
        <v>17</v>
      </c>
      <c r="P394">
        <v>747</v>
      </c>
      <c r="Q394" s="27" t="str">
        <f>IF(D394=Pivot!$AS$4,R393, "")</f>
        <v/>
      </c>
      <c r="R394" t="s">
        <v>46</v>
      </c>
      <c r="S394" s="5">
        <v>2.2799999999999998</v>
      </c>
      <c r="T394">
        <v>91.44</v>
      </c>
      <c r="U394">
        <v>489.13</v>
      </c>
      <c r="V394" s="27">
        <f t="shared" si="24"/>
        <v>65.36</v>
      </c>
      <c r="W394">
        <f t="shared" si="25"/>
        <v>855.98</v>
      </c>
      <c r="X394" s="33" t="str">
        <f t="shared" si="26"/>
        <v>Low Quality</v>
      </c>
      <c r="Y394" s="27" t="str">
        <f t="shared" si="27"/>
        <v>18</v>
      </c>
    </row>
    <row r="395" spans="1:25" x14ac:dyDescent="0.25">
      <c r="A395" s="1">
        <v>45561</v>
      </c>
      <c r="B395" t="s">
        <v>28</v>
      </c>
      <c r="C395">
        <v>3</v>
      </c>
      <c r="D395" t="s">
        <v>88</v>
      </c>
      <c r="E395" t="s">
        <v>30</v>
      </c>
      <c r="F395" t="s">
        <v>87</v>
      </c>
      <c r="G395" t="s">
        <v>60</v>
      </c>
      <c r="H395" t="s">
        <v>40</v>
      </c>
      <c r="I395">
        <v>4</v>
      </c>
      <c r="J395">
        <v>15.66</v>
      </c>
      <c r="K395">
        <v>5</v>
      </c>
      <c r="L395">
        <v>315.38</v>
      </c>
      <c r="M395">
        <v>37</v>
      </c>
      <c r="N395" t="s">
        <v>63</v>
      </c>
      <c r="O395">
        <v>48</v>
      </c>
      <c r="P395">
        <v>290</v>
      </c>
      <c r="Q395" s="27" t="str">
        <f>IF(D395=Pivot!$AS$4,R394, "")</f>
        <v/>
      </c>
      <c r="R395" t="s">
        <v>46</v>
      </c>
      <c r="S395" s="5">
        <v>16.55</v>
      </c>
      <c r="T395">
        <v>62.9</v>
      </c>
      <c r="U395">
        <v>194.48</v>
      </c>
      <c r="V395" s="27">
        <f t="shared" si="24"/>
        <v>313.2</v>
      </c>
      <c r="W395">
        <f t="shared" si="25"/>
        <v>509.86</v>
      </c>
      <c r="X395" s="33" t="str">
        <f t="shared" si="26"/>
        <v>Low Quality</v>
      </c>
      <c r="Y395" s="27" t="str">
        <f t="shared" si="27"/>
        <v>16</v>
      </c>
    </row>
    <row r="396" spans="1:25" x14ac:dyDescent="0.25">
      <c r="A396" s="1">
        <v>45508</v>
      </c>
      <c r="B396" t="s">
        <v>50</v>
      </c>
      <c r="C396">
        <v>2</v>
      </c>
      <c r="D396" t="s">
        <v>71</v>
      </c>
      <c r="E396" t="s">
        <v>67</v>
      </c>
      <c r="F396" t="s">
        <v>31</v>
      </c>
      <c r="G396" t="s">
        <v>52</v>
      </c>
      <c r="H396" t="s">
        <v>33</v>
      </c>
      <c r="I396">
        <v>5</v>
      </c>
      <c r="J396">
        <v>18.39</v>
      </c>
      <c r="K396">
        <v>6</v>
      </c>
      <c r="L396">
        <v>252.46</v>
      </c>
      <c r="M396">
        <v>40</v>
      </c>
      <c r="N396" t="s">
        <v>55</v>
      </c>
      <c r="O396">
        <v>22</v>
      </c>
      <c r="P396">
        <v>248</v>
      </c>
      <c r="Q396" s="27" t="str">
        <f>IF(D396=Pivot!$AS$4,R395, "")</f>
        <v/>
      </c>
      <c r="R396" t="s">
        <v>57</v>
      </c>
      <c r="S396" s="5">
        <v>8.8699999999999992</v>
      </c>
      <c r="T396">
        <v>77.260000000000005</v>
      </c>
      <c r="U396">
        <v>168.31</v>
      </c>
      <c r="V396" s="27">
        <f t="shared" si="24"/>
        <v>551.70000000000005</v>
      </c>
      <c r="W396">
        <f t="shared" si="25"/>
        <v>420.77</v>
      </c>
      <c r="X396" s="33" t="str">
        <f t="shared" si="26"/>
        <v>Low Quality</v>
      </c>
      <c r="Y396" s="27" t="str">
        <f t="shared" si="27"/>
        <v>20</v>
      </c>
    </row>
    <row r="397" spans="1:25" x14ac:dyDescent="0.25">
      <c r="A397" s="1">
        <v>45536</v>
      </c>
      <c r="B397" t="s">
        <v>50</v>
      </c>
      <c r="C397">
        <v>3</v>
      </c>
      <c r="D397" t="s">
        <v>83</v>
      </c>
      <c r="E397" t="s">
        <v>30</v>
      </c>
      <c r="F397" t="s">
        <v>72</v>
      </c>
      <c r="G397" t="s">
        <v>24</v>
      </c>
      <c r="H397" t="s">
        <v>25</v>
      </c>
      <c r="I397">
        <v>5</v>
      </c>
      <c r="J397">
        <v>17.239999999999998</v>
      </c>
      <c r="K397">
        <v>9</v>
      </c>
      <c r="L397">
        <v>436.27</v>
      </c>
      <c r="M397">
        <v>37</v>
      </c>
      <c r="N397" t="s">
        <v>63</v>
      </c>
      <c r="O397">
        <v>34</v>
      </c>
      <c r="P397">
        <v>698</v>
      </c>
      <c r="Q397" s="27" t="str">
        <f>IF(D397=Pivot!$AS$4,R396, "")</f>
        <v/>
      </c>
      <c r="R397" t="s">
        <v>42</v>
      </c>
      <c r="S397" s="5">
        <v>4.87</v>
      </c>
      <c r="T397">
        <v>85.26</v>
      </c>
      <c r="U397">
        <v>269.02999999999997</v>
      </c>
      <c r="V397" s="27">
        <f t="shared" si="24"/>
        <v>775.8</v>
      </c>
      <c r="W397">
        <f t="shared" si="25"/>
        <v>705.3</v>
      </c>
      <c r="X397" s="33" t="str">
        <f t="shared" si="26"/>
        <v>Low Quality</v>
      </c>
      <c r="Y397" s="27" t="str">
        <f t="shared" si="27"/>
        <v>18</v>
      </c>
    </row>
    <row r="398" spans="1:25" x14ac:dyDescent="0.25">
      <c r="A398" s="1">
        <v>45568</v>
      </c>
      <c r="B398" t="s">
        <v>35</v>
      </c>
      <c r="C398">
        <v>1</v>
      </c>
      <c r="D398" t="s">
        <v>77</v>
      </c>
      <c r="E398" t="s">
        <v>37</v>
      </c>
      <c r="F398" t="s">
        <v>23</v>
      </c>
      <c r="G398" t="s">
        <v>52</v>
      </c>
      <c r="H398" t="s">
        <v>25</v>
      </c>
      <c r="I398">
        <v>2</v>
      </c>
      <c r="J398">
        <v>13.98</v>
      </c>
      <c r="K398">
        <v>1</v>
      </c>
      <c r="L398">
        <v>480.58</v>
      </c>
      <c r="M398">
        <v>35</v>
      </c>
      <c r="N398" t="s">
        <v>63</v>
      </c>
      <c r="O398">
        <v>8</v>
      </c>
      <c r="P398">
        <v>515</v>
      </c>
      <c r="Q398" s="27" t="str">
        <f>IF(D398=Pivot!$AS$4,R397, "")</f>
        <v/>
      </c>
      <c r="R398" t="s">
        <v>46</v>
      </c>
      <c r="S398" s="5">
        <v>1.55</v>
      </c>
      <c r="T398">
        <v>94.9</v>
      </c>
      <c r="U398">
        <v>280.33999999999997</v>
      </c>
      <c r="V398" s="27">
        <f t="shared" si="24"/>
        <v>27.96</v>
      </c>
      <c r="W398">
        <f t="shared" si="25"/>
        <v>760.92</v>
      </c>
      <c r="X398" s="33" t="str">
        <f t="shared" si="26"/>
        <v>Mid Quality</v>
      </c>
      <c r="Y398" s="27" t="str">
        <f t="shared" si="27"/>
        <v>14</v>
      </c>
    </row>
    <row r="399" spans="1:25" x14ac:dyDescent="0.25">
      <c r="A399" s="1">
        <v>45308</v>
      </c>
      <c r="B399" t="s">
        <v>50</v>
      </c>
      <c r="C399">
        <v>2</v>
      </c>
      <c r="D399" t="s">
        <v>88</v>
      </c>
      <c r="E399" t="s">
        <v>37</v>
      </c>
      <c r="F399" t="s">
        <v>38</v>
      </c>
      <c r="G399" t="s">
        <v>60</v>
      </c>
      <c r="H399" t="s">
        <v>33</v>
      </c>
      <c r="I399">
        <v>2</v>
      </c>
      <c r="J399">
        <v>1.99</v>
      </c>
      <c r="K399">
        <v>4</v>
      </c>
      <c r="L399">
        <v>274.57</v>
      </c>
      <c r="M399">
        <v>25</v>
      </c>
      <c r="N399" t="s">
        <v>26</v>
      </c>
      <c r="O399">
        <v>49</v>
      </c>
      <c r="P399">
        <v>619</v>
      </c>
      <c r="Q399" s="27" t="str">
        <f>IF(D399=Pivot!$AS$4,R398, "")</f>
        <v/>
      </c>
      <c r="R399" t="s">
        <v>34</v>
      </c>
      <c r="S399" s="5">
        <v>7.92</v>
      </c>
      <c r="T399">
        <v>82.16</v>
      </c>
      <c r="U399">
        <v>114.4</v>
      </c>
      <c r="V399" s="27">
        <f t="shared" si="24"/>
        <v>15.92</v>
      </c>
      <c r="W399">
        <f t="shared" si="25"/>
        <v>388.97</v>
      </c>
      <c r="X399" s="33" t="str">
        <f t="shared" si="26"/>
        <v>High Quality</v>
      </c>
      <c r="Y399" s="27" t="str">
        <f t="shared" si="27"/>
        <v>2</v>
      </c>
    </row>
    <row r="400" spans="1:25" x14ac:dyDescent="0.25">
      <c r="A400" s="1">
        <v>45549</v>
      </c>
      <c r="B400" t="s">
        <v>75</v>
      </c>
      <c r="C400">
        <v>3</v>
      </c>
      <c r="D400" t="s">
        <v>85</v>
      </c>
      <c r="E400" t="s">
        <v>67</v>
      </c>
      <c r="F400" t="s">
        <v>70</v>
      </c>
      <c r="G400" t="s">
        <v>32</v>
      </c>
      <c r="H400" t="s">
        <v>40</v>
      </c>
      <c r="I400">
        <v>4</v>
      </c>
      <c r="J400">
        <v>15.87</v>
      </c>
      <c r="K400">
        <v>8</v>
      </c>
      <c r="L400">
        <v>469.19</v>
      </c>
      <c r="M400">
        <v>31</v>
      </c>
      <c r="N400" t="s">
        <v>26</v>
      </c>
      <c r="O400">
        <v>45</v>
      </c>
      <c r="P400">
        <v>834</v>
      </c>
      <c r="Q400" s="27" t="str">
        <f>IF(D400=Pivot!$AS$4,R399, "")</f>
        <v/>
      </c>
      <c r="R400" t="s">
        <v>57</v>
      </c>
      <c r="S400" s="5">
        <v>5.4</v>
      </c>
      <c r="T400">
        <v>85.2</v>
      </c>
      <c r="U400">
        <v>242.41</v>
      </c>
      <c r="V400" s="27">
        <f t="shared" si="24"/>
        <v>507.84</v>
      </c>
      <c r="W400">
        <f t="shared" si="25"/>
        <v>711.6</v>
      </c>
      <c r="X400" s="33" t="str">
        <f t="shared" si="26"/>
        <v>Low Quality</v>
      </c>
      <c r="Y400" s="27" t="str">
        <f t="shared" si="27"/>
        <v>16</v>
      </c>
    </row>
    <row r="401" spans="1:25" x14ac:dyDescent="0.25">
      <c r="A401" s="1">
        <v>45469</v>
      </c>
      <c r="B401" t="s">
        <v>28</v>
      </c>
      <c r="C401">
        <v>1</v>
      </c>
      <c r="D401" t="s">
        <v>66</v>
      </c>
      <c r="E401" t="s">
        <v>37</v>
      </c>
      <c r="F401" t="s">
        <v>89</v>
      </c>
      <c r="G401" t="s">
        <v>39</v>
      </c>
      <c r="H401" t="s">
        <v>40</v>
      </c>
      <c r="I401">
        <v>1</v>
      </c>
      <c r="J401">
        <v>17.059999999999999</v>
      </c>
      <c r="K401">
        <v>9</v>
      </c>
      <c r="L401">
        <v>312.5</v>
      </c>
      <c r="M401">
        <v>76</v>
      </c>
      <c r="N401" t="s">
        <v>41</v>
      </c>
      <c r="O401">
        <v>18</v>
      </c>
      <c r="P401">
        <v>968</v>
      </c>
      <c r="Q401" s="27" t="str">
        <f>IF(D401=Pivot!$AS$4,R400, "")</f>
        <v/>
      </c>
      <c r="R401" t="s">
        <v>42</v>
      </c>
      <c r="S401" s="5">
        <v>1.86</v>
      </c>
      <c r="T401">
        <v>95.28</v>
      </c>
      <c r="U401">
        <v>395.83</v>
      </c>
      <c r="V401" s="27">
        <f t="shared" si="24"/>
        <v>153.54</v>
      </c>
      <c r="W401">
        <f t="shared" si="25"/>
        <v>708.32999999999993</v>
      </c>
      <c r="X401" s="33" t="str">
        <f t="shared" si="26"/>
        <v>Low Quality</v>
      </c>
      <c r="Y401" s="27" t="str">
        <f t="shared" si="27"/>
        <v>18</v>
      </c>
    </row>
    <row r="402" spans="1:25" x14ac:dyDescent="0.25">
      <c r="A402" s="1">
        <v>45493</v>
      </c>
      <c r="B402" t="s">
        <v>20</v>
      </c>
      <c r="C402">
        <v>2</v>
      </c>
      <c r="D402" t="s">
        <v>47</v>
      </c>
      <c r="E402" t="s">
        <v>67</v>
      </c>
      <c r="F402" t="s">
        <v>69</v>
      </c>
      <c r="G402" t="s">
        <v>39</v>
      </c>
      <c r="H402" t="s">
        <v>61</v>
      </c>
      <c r="I402">
        <v>3</v>
      </c>
      <c r="J402">
        <v>16.18</v>
      </c>
      <c r="K402">
        <v>3</v>
      </c>
      <c r="L402">
        <v>292.27</v>
      </c>
      <c r="M402">
        <v>66</v>
      </c>
      <c r="N402" t="s">
        <v>41</v>
      </c>
      <c r="O402">
        <v>24</v>
      </c>
      <c r="P402">
        <v>115</v>
      </c>
      <c r="Q402" s="27" t="str">
        <f>IF(D402=Pivot!$AS$4,R401, "")</f>
        <v/>
      </c>
      <c r="R402" t="s">
        <v>34</v>
      </c>
      <c r="S402" s="5">
        <v>20.87</v>
      </c>
      <c r="T402">
        <v>55.26</v>
      </c>
      <c r="U402">
        <v>321.5</v>
      </c>
      <c r="V402" s="27">
        <f t="shared" si="24"/>
        <v>145.62</v>
      </c>
      <c r="W402">
        <f t="shared" si="25"/>
        <v>613.77</v>
      </c>
      <c r="X402" s="33" t="str">
        <f t="shared" si="26"/>
        <v>Low Quality</v>
      </c>
      <c r="Y402" s="27" t="str">
        <f t="shared" si="27"/>
        <v>18</v>
      </c>
    </row>
    <row r="403" spans="1:25" x14ac:dyDescent="0.25">
      <c r="A403" s="1">
        <v>45381</v>
      </c>
      <c r="B403" t="s">
        <v>50</v>
      </c>
      <c r="C403">
        <v>1</v>
      </c>
      <c r="D403" t="s">
        <v>64</v>
      </c>
      <c r="E403" t="s">
        <v>37</v>
      </c>
      <c r="F403" t="s">
        <v>23</v>
      </c>
      <c r="G403" t="s">
        <v>32</v>
      </c>
      <c r="H403" t="s">
        <v>48</v>
      </c>
      <c r="I403">
        <v>2</v>
      </c>
      <c r="J403">
        <v>10.66</v>
      </c>
      <c r="K403">
        <v>2</v>
      </c>
      <c r="L403">
        <v>254.52</v>
      </c>
      <c r="M403">
        <v>30</v>
      </c>
      <c r="N403" t="s">
        <v>26</v>
      </c>
      <c r="O403">
        <v>42</v>
      </c>
      <c r="P403">
        <v>907</v>
      </c>
      <c r="Q403" s="27" t="str">
        <f>IF(D403=Pivot!$AS$4,R402, "")</f>
        <v/>
      </c>
      <c r="R403" t="s">
        <v>57</v>
      </c>
      <c r="S403" s="5">
        <v>4.63</v>
      </c>
      <c r="T403">
        <v>88.74</v>
      </c>
      <c r="U403">
        <v>127.26</v>
      </c>
      <c r="V403" s="27">
        <f t="shared" si="24"/>
        <v>42.64</v>
      </c>
      <c r="W403">
        <f t="shared" si="25"/>
        <v>381.78000000000003</v>
      </c>
      <c r="X403" s="33" t="str">
        <f t="shared" si="26"/>
        <v>Mid Quality</v>
      </c>
      <c r="Y403" s="27" t="str">
        <f t="shared" si="27"/>
        <v>12</v>
      </c>
    </row>
    <row r="404" spans="1:25" x14ac:dyDescent="0.25">
      <c r="A404" s="1">
        <v>45526</v>
      </c>
      <c r="B404" t="s">
        <v>75</v>
      </c>
      <c r="C404">
        <v>2</v>
      </c>
      <c r="D404" t="s">
        <v>74</v>
      </c>
      <c r="E404" t="s">
        <v>37</v>
      </c>
      <c r="F404" t="s">
        <v>87</v>
      </c>
      <c r="G404" t="s">
        <v>24</v>
      </c>
      <c r="H404" t="s">
        <v>25</v>
      </c>
      <c r="I404">
        <v>2</v>
      </c>
      <c r="J404">
        <v>5.43</v>
      </c>
      <c r="K404">
        <v>4</v>
      </c>
      <c r="L404">
        <v>144.18</v>
      </c>
      <c r="M404">
        <v>70</v>
      </c>
      <c r="N404" t="s">
        <v>26</v>
      </c>
      <c r="O404">
        <v>2</v>
      </c>
      <c r="P404">
        <v>205</v>
      </c>
      <c r="Q404" s="27" t="str">
        <f>IF(D404=Pivot!$AS$4,R403, "")</f>
        <v/>
      </c>
      <c r="R404" t="s">
        <v>42</v>
      </c>
      <c r="S404" s="5">
        <v>0.98</v>
      </c>
      <c r="T404">
        <v>96.04</v>
      </c>
      <c r="U404">
        <v>168.21</v>
      </c>
      <c r="V404" s="27">
        <f t="shared" si="24"/>
        <v>43.44</v>
      </c>
      <c r="W404">
        <f t="shared" si="25"/>
        <v>312.39</v>
      </c>
      <c r="X404" s="33" t="str">
        <f t="shared" si="26"/>
        <v>High Quality</v>
      </c>
      <c r="Y404" s="27" t="str">
        <f t="shared" si="27"/>
        <v>6</v>
      </c>
    </row>
    <row r="405" spans="1:25" x14ac:dyDescent="0.25">
      <c r="A405" s="1">
        <v>45353</v>
      </c>
      <c r="B405" t="s">
        <v>20</v>
      </c>
      <c r="C405">
        <v>1</v>
      </c>
      <c r="D405" t="s">
        <v>53</v>
      </c>
      <c r="E405" t="s">
        <v>67</v>
      </c>
      <c r="F405" t="s">
        <v>70</v>
      </c>
      <c r="G405" t="s">
        <v>24</v>
      </c>
      <c r="H405" t="s">
        <v>25</v>
      </c>
      <c r="I405">
        <v>1</v>
      </c>
      <c r="J405">
        <v>17.059999999999999</v>
      </c>
      <c r="K405">
        <v>2</v>
      </c>
      <c r="L405">
        <v>51.67</v>
      </c>
      <c r="M405">
        <v>16</v>
      </c>
      <c r="N405" t="s">
        <v>55</v>
      </c>
      <c r="O405">
        <v>2</v>
      </c>
      <c r="P405">
        <v>382</v>
      </c>
      <c r="Q405" s="27" t="str">
        <f>IF(D405=Pivot!$AS$4,R404, "")</f>
        <v/>
      </c>
      <c r="R405" t="s">
        <v>34</v>
      </c>
      <c r="S405" s="5">
        <v>0.52</v>
      </c>
      <c r="T405">
        <v>97.96</v>
      </c>
      <c r="U405">
        <v>13.78</v>
      </c>
      <c r="V405" s="27">
        <f t="shared" si="24"/>
        <v>34.119999999999997</v>
      </c>
      <c r="W405">
        <f t="shared" si="25"/>
        <v>65.45</v>
      </c>
      <c r="X405" s="33" t="str">
        <f t="shared" si="26"/>
        <v>Low Quality</v>
      </c>
      <c r="Y405" s="27" t="str">
        <f t="shared" si="27"/>
        <v>18</v>
      </c>
    </row>
    <row r="406" spans="1:25" x14ac:dyDescent="0.25">
      <c r="A406" s="1">
        <v>45557</v>
      </c>
      <c r="B406" t="s">
        <v>28</v>
      </c>
      <c r="C406">
        <v>1</v>
      </c>
      <c r="D406" t="s">
        <v>79</v>
      </c>
      <c r="E406" t="s">
        <v>22</v>
      </c>
      <c r="F406" t="s">
        <v>68</v>
      </c>
      <c r="G406" t="s">
        <v>52</v>
      </c>
      <c r="H406" t="s">
        <v>25</v>
      </c>
      <c r="I406">
        <v>1</v>
      </c>
      <c r="J406">
        <v>14.82</v>
      </c>
      <c r="K406">
        <v>1</v>
      </c>
      <c r="L406">
        <v>158.68</v>
      </c>
      <c r="M406">
        <v>26</v>
      </c>
      <c r="N406" t="s">
        <v>55</v>
      </c>
      <c r="O406">
        <v>27</v>
      </c>
      <c r="P406">
        <v>203</v>
      </c>
      <c r="Q406" s="27" t="str">
        <f>IF(D406=Pivot!$AS$4,R405, "")</f>
        <v/>
      </c>
      <c r="R406" t="s">
        <v>46</v>
      </c>
      <c r="S406" s="5">
        <v>13.3</v>
      </c>
      <c r="T406">
        <v>72.400000000000006</v>
      </c>
      <c r="U406">
        <v>68.760000000000005</v>
      </c>
      <c r="V406" s="27">
        <f t="shared" si="24"/>
        <v>14.82</v>
      </c>
      <c r="W406">
        <f t="shared" si="25"/>
        <v>227.44</v>
      </c>
      <c r="X406" s="33" t="str">
        <f t="shared" si="26"/>
        <v>Mid Quality</v>
      </c>
      <c r="Y406" s="27" t="str">
        <f t="shared" si="27"/>
        <v>16</v>
      </c>
    </row>
    <row r="407" spans="1:25" x14ac:dyDescent="0.25">
      <c r="A407" s="1">
        <v>45527</v>
      </c>
      <c r="B407" t="s">
        <v>20</v>
      </c>
      <c r="C407">
        <v>3</v>
      </c>
      <c r="D407" t="s">
        <v>91</v>
      </c>
      <c r="E407" t="s">
        <v>37</v>
      </c>
      <c r="F407" t="s">
        <v>54</v>
      </c>
      <c r="G407" t="s">
        <v>32</v>
      </c>
      <c r="H407" t="s">
        <v>48</v>
      </c>
      <c r="I407">
        <v>5</v>
      </c>
      <c r="J407">
        <v>19.63</v>
      </c>
      <c r="K407">
        <v>3</v>
      </c>
      <c r="L407">
        <v>279.38</v>
      </c>
      <c r="M407">
        <v>21</v>
      </c>
      <c r="N407" t="s">
        <v>63</v>
      </c>
      <c r="O407">
        <v>14</v>
      </c>
      <c r="P407">
        <v>460</v>
      </c>
      <c r="Q407" s="27" t="str">
        <f>IF(D407=Pivot!$AS$4,R406, "")</f>
        <v/>
      </c>
      <c r="R407" t="s">
        <v>57</v>
      </c>
      <c r="S407" s="5">
        <v>3.04</v>
      </c>
      <c r="T407">
        <v>88.92</v>
      </c>
      <c r="U407">
        <v>97.78</v>
      </c>
      <c r="V407" s="27">
        <f t="shared" si="24"/>
        <v>294.45</v>
      </c>
      <c r="W407">
        <f t="shared" si="25"/>
        <v>377.15999999999997</v>
      </c>
      <c r="X407" s="33" t="str">
        <f t="shared" si="26"/>
        <v>Low Quality</v>
      </c>
      <c r="Y407" s="27" t="str">
        <f t="shared" si="27"/>
        <v>20</v>
      </c>
    </row>
    <row r="408" spans="1:25" x14ac:dyDescent="0.25">
      <c r="A408" s="1">
        <v>45453</v>
      </c>
      <c r="B408" t="s">
        <v>75</v>
      </c>
      <c r="C408">
        <v>1</v>
      </c>
      <c r="D408" t="s">
        <v>21</v>
      </c>
      <c r="E408" t="s">
        <v>30</v>
      </c>
      <c r="F408" t="s">
        <v>59</v>
      </c>
      <c r="G408" t="s">
        <v>24</v>
      </c>
      <c r="H408" t="s">
        <v>61</v>
      </c>
      <c r="I408">
        <v>3</v>
      </c>
      <c r="J408">
        <v>3.96</v>
      </c>
      <c r="K408">
        <v>7</v>
      </c>
      <c r="L408">
        <v>220.98</v>
      </c>
      <c r="M408">
        <v>11</v>
      </c>
      <c r="N408" t="s">
        <v>49</v>
      </c>
      <c r="O408">
        <v>48</v>
      </c>
      <c r="P408">
        <v>757</v>
      </c>
      <c r="Q408" s="27" t="str">
        <f>IF(D408=Pivot!$AS$4,R407, "")</f>
        <v/>
      </c>
      <c r="R408" t="s">
        <v>57</v>
      </c>
      <c r="S408" s="5">
        <v>6.34</v>
      </c>
      <c r="T408">
        <v>84.32</v>
      </c>
      <c r="U408">
        <v>40.51</v>
      </c>
      <c r="V408" s="27">
        <f t="shared" si="24"/>
        <v>83.16</v>
      </c>
      <c r="W408">
        <f t="shared" si="25"/>
        <v>261.49</v>
      </c>
      <c r="X408" s="33" t="str">
        <f t="shared" si="26"/>
        <v>High Quality</v>
      </c>
      <c r="Y408" s="27" t="str">
        <f t="shared" si="27"/>
        <v>4</v>
      </c>
    </row>
    <row r="409" spans="1:25" x14ac:dyDescent="0.25">
      <c r="A409" s="1">
        <v>45296</v>
      </c>
      <c r="B409" t="s">
        <v>65</v>
      </c>
      <c r="C409">
        <v>2</v>
      </c>
      <c r="D409" t="s">
        <v>91</v>
      </c>
      <c r="E409" t="s">
        <v>22</v>
      </c>
      <c r="F409" t="s">
        <v>38</v>
      </c>
      <c r="G409" t="s">
        <v>32</v>
      </c>
      <c r="H409" t="s">
        <v>48</v>
      </c>
      <c r="I409">
        <v>1</v>
      </c>
      <c r="J409">
        <v>5.29</v>
      </c>
      <c r="K409">
        <v>1</v>
      </c>
      <c r="L409">
        <v>251.82</v>
      </c>
      <c r="M409">
        <v>72</v>
      </c>
      <c r="N409" t="s">
        <v>55</v>
      </c>
      <c r="O409">
        <v>39</v>
      </c>
      <c r="P409">
        <v>134</v>
      </c>
      <c r="Q409" s="27" t="str">
        <f>IF(D409=Pivot!$AS$4,R408, "")</f>
        <v/>
      </c>
      <c r="R409" t="s">
        <v>46</v>
      </c>
      <c r="S409" s="5">
        <v>29.1</v>
      </c>
      <c r="T409">
        <v>40.799999999999997</v>
      </c>
      <c r="U409">
        <v>302.18</v>
      </c>
      <c r="V409" s="27">
        <f t="shared" si="24"/>
        <v>5.29</v>
      </c>
      <c r="W409">
        <f t="shared" si="25"/>
        <v>554</v>
      </c>
      <c r="X409" s="33" t="str">
        <f t="shared" si="26"/>
        <v>High Quality</v>
      </c>
      <c r="Y409" s="27" t="str">
        <f t="shared" si="27"/>
        <v>6</v>
      </c>
    </row>
    <row r="410" spans="1:25" x14ac:dyDescent="0.25">
      <c r="A410" s="1">
        <v>45298</v>
      </c>
      <c r="B410" t="s">
        <v>65</v>
      </c>
      <c r="C410">
        <v>2</v>
      </c>
      <c r="D410" t="s">
        <v>47</v>
      </c>
      <c r="E410" t="s">
        <v>67</v>
      </c>
      <c r="F410" t="s">
        <v>73</v>
      </c>
      <c r="G410" t="s">
        <v>60</v>
      </c>
      <c r="H410" t="s">
        <v>40</v>
      </c>
      <c r="I410">
        <v>2</v>
      </c>
      <c r="J410">
        <v>5.0199999999999996</v>
      </c>
      <c r="K410">
        <v>2</v>
      </c>
      <c r="L410">
        <v>491.29</v>
      </c>
      <c r="M410">
        <v>41</v>
      </c>
      <c r="N410" t="s">
        <v>63</v>
      </c>
      <c r="O410">
        <v>12</v>
      </c>
      <c r="P410">
        <v>212</v>
      </c>
      <c r="Q410" s="27" t="str">
        <f>IF(D410=Pivot!$AS$4,R409, "")</f>
        <v/>
      </c>
      <c r="R410" t="s">
        <v>27</v>
      </c>
      <c r="S410" s="5">
        <v>5.66</v>
      </c>
      <c r="T410">
        <v>86.68</v>
      </c>
      <c r="U410">
        <v>335.71</v>
      </c>
      <c r="V410" s="27">
        <f t="shared" si="24"/>
        <v>20.079999999999998</v>
      </c>
      <c r="W410">
        <f t="shared" si="25"/>
        <v>827</v>
      </c>
      <c r="X410" s="33" t="str">
        <f t="shared" si="26"/>
        <v>High Quality</v>
      </c>
      <c r="Y410" s="27" t="str">
        <f t="shared" si="27"/>
        <v>6</v>
      </c>
    </row>
    <row r="411" spans="1:25" x14ac:dyDescent="0.25">
      <c r="A411" s="1">
        <v>45399</v>
      </c>
      <c r="B411" t="s">
        <v>20</v>
      </c>
      <c r="C411">
        <v>3</v>
      </c>
      <c r="D411" t="s">
        <v>83</v>
      </c>
      <c r="E411" t="s">
        <v>22</v>
      </c>
      <c r="F411" t="s">
        <v>84</v>
      </c>
      <c r="G411" t="s">
        <v>39</v>
      </c>
      <c r="H411" t="s">
        <v>40</v>
      </c>
      <c r="I411">
        <v>2</v>
      </c>
      <c r="J411">
        <v>16.059999999999999</v>
      </c>
      <c r="K411">
        <v>1</v>
      </c>
      <c r="L411">
        <v>207.62</v>
      </c>
      <c r="M411">
        <v>42</v>
      </c>
      <c r="N411" t="s">
        <v>45</v>
      </c>
      <c r="O411">
        <v>32</v>
      </c>
      <c r="P411">
        <v>407</v>
      </c>
      <c r="Q411" s="27" t="str">
        <f>IF(D411=Pivot!$AS$4,R410, "")</f>
        <v/>
      </c>
      <c r="R411" t="s">
        <v>34</v>
      </c>
      <c r="S411" s="5">
        <v>7.86</v>
      </c>
      <c r="T411">
        <v>82.28</v>
      </c>
      <c r="U411">
        <v>145.33000000000001</v>
      </c>
      <c r="V411" s="27">
        <f t="shared" si="24"/>
        <v>32.119999999999997</v>
      </c>
      <c r="W411">
        <f t="shared" si="25"/>
        <v>352.95000000000005</v>
      </c>
      <c r="X411" s="33" t="str">
        <f t="shared" si="26"/>
        <v>Low Quality</v>
      </c>
      <c r="Y411" s="27" t="str">
        <f t="shared" si="27"/>
        <v>18</v>
      </c>
    </row>
    <row r="412" spans="1:25" x14ac:dyDescent="0.25">
      <c r="A412" s="1">
        <v>45486</v>
      </c>
      <c r="B412" t="s">
        <v>35</v>
      </c>
      <c r="C412">
        <v>2</v>
      </c>
      <c r="D412" t="s">
        <v>91</v>
      </c>
      <c r="E412" t="s">
        <v>51</v>
      </c>
      <c r="F412" t="s">
        <v>86</v>
      </c>
      <c r="G412" t="s">
        <v>39</v>
      </c>
      <c r="H412" t="s">
        <v>25</v>
      </c>
      <c r="I412">
        <v>4</v>
      </c>
      <c r="J412">
        <v>4.55</v>
      </c>
      <c r="K412">
        <v>8</v>
      </c>
      <c r="L412">
        <v>253.48</v>
      </c>
      <c r="M412">
        <v>15</v>
      </c>
      <c r="N412" t="s">
        <v>41</v>
      </c>
      <c r="O412">
        <v>28</v>
      </c>
      <c r="P412">
        <v>152</v>
      </c>
      <c r="Q412" s="27" t="str">
        <f>IF(D412=Pivot!$AS$4,R411, "")</f>
        <v/>
      </c>
      <c r="R412" t="s">
        <v>46</v>
      </c>
      <c r="S412" s="5">
        <v>18.420000000000002</v>
      </c>
      <c r="T412">
        <v>59.16</v>
      </c>
      <c r="U412">
        <v>63.37</v>
      </c>
      <c r="V412" s="27">
        <f t="shared" si="24"/>
        <v>145.6</v>
      </c>
      <c r="W412">
        <f t="shared" si="25"/>
        <v>316.84999999999997</v>
      </c>
      <c r="X412" s="33" t="str">
        <f t="shared" si="26"/>
        <v>High Quality</v>
      </c>
      <c r="Y412" s="27" t="str">
        <f t="shared" si="27"/>
        <v>6</v>
      </c>
    </row>
    <row r="413" spans="1:25" x14ac:dyDescent="0.25">
      <c r="A413" s="1">
        <v>45589</v>
      </c>
      <c r="B413" t="s">
        <v>20</v>
      </c>
      <c r="C413">
        <v>2</v>
      </c>
      <c r="D413" t="s">
        <v>47</v>
      </c>
      <c r="E413" t="s">
        <v>51</v>
      </c>
      <c r="F413" t="s">
        <v>44</v>
      </c>
      <c r="G413" t="s">
        <v>39</v>
      </c>
      <c r="H413" t="s">
        <v>33</v>
      </c>
      <c r="I413">
        <v>1</v>
      </c>
      <c r="J413">
        <v>2.27</v>
      </c>
      <c r="K413">
        <v>5</v>
      </c>
      <c r="L413">
        <v>110.08</v>
      </c>
      <c r="M413">
        <v>5</v>
      </c>
      <c r="N413" t="s">
        <v>49</v>
      </c>
      <c r="O413">
        <v>28</v>
      </c>
      <c r="P413">
        <v>958</v>
      </c>
      <c r="Q413" s="27" t="str">
        <f>IF(D413=Pivot!$AS$4,R412, "")</f>
        <v/>
      </c>
      <c r="R413" t="s">
        <v>57</v>
      </c>
      <c r="S413" s="5">
        <v>2.92</v>
      </c>
      <c r="T413">
        <v>93.16</v>
      </c>
      <c r="U413">
        <v>9.17</v>
      </c>
      <c r="V413" s="27">
        <f t="shared" si="24"/>
        <v>11.35</v>
      </c>
      <c r="W413">
        <f t="shared" si="25"/>
        <v>119.25</v>
      </c>
      <c r="X413" s="33" t="str">
        <f t="shared" si="26"/>
        <v>High Quality</v>
      </c>
      <c r="Y413" s="27" t="str">
        <f t="shared" si="27"/>
        <v>4</v>
      </c>
    </row>
    <row r="414" spans="1:25" x14ac:dyDescent="0.25">
      <c r="A414" s="1">
        <v>45343</v>
      </c>
      <c r="B414" t="s">
        <v>50</v>
      </c>
      <c r="C414">
        <v>2</v>
      </c>
      <c r="D414" t="s">
        <v>66</v>
      </c>
      <c r="E414" t="s">
        <v>37</v>
      </c>
      <c r="F414" t="s">
        <v>68</v>
      </c>
      <c r="G414" t="s">
        <v>32</v>
      </c>
      <c r="H414" t="s">
        <v>25</v>
      </c>
      <c r="I414">
        <v>5</v>
      </c>
      <c r="J414">
        <v>19.97</v>
      </c>
      <c r="K414">
        <v>8</v>
      </c>
      <c r="L414">
        <v>71.58</v>
      </c>
      <c r="M414">
        <v>29</v>
      </c>
      <c r="N414" t="s">
        <v>63</v>
      </c>
      <c r="O414">
        <v>46</v>
      </c>
      <c r="P414">
        <v>180</v>
      </c>
      <c r="Q414" s="27" t="str">
        <f>IF(D414=Pivot!$AS$4,R413, "")</f>
        <v/>
      </c>
      <c r="R414" t="s">
        <v>34</v>
      </c>
      <c r="S414" s="5">
        <v>25.56</v>
      </c>
      <c r="T414">
        <v>43.88</v>
      </c>
      <c r="U414">
        <v>34.6</v>
      </c>
      <c r="V414" s="27">
        <f t="shared" si="24"/>
        <v>798.8</v>
      </c>
      <c r="W414">
        <f t="shared" si="25"/>
        <v>106.18</v>
      </c>
      <c r="X414" s="33" t="str">
        <f t="shared" si="26"/>
        <v>Low Quality</v>
      </c>
      <c r="Y414" s="27" t="str">
        <f t="shared" si="27"/>
        <v>20</v>
      </c>
    </row>
    <row r="415" spans="1:25" x14ac:dyDescent="0.25">
      <c r="A415" s="1">
        <v>45458</v>
      </c>
      <c r="B415" t="s">
        <v>50</v>
      </c>
      <c r="C415">
        <v>1</v>
      </c>
      <c r="D415" t="s">
        <v>85</v>
      </c>
      <c r="E415" t="s">
        <v>37</v>
      </c>
      <c r="F415" t="s">
        <v>90</v>
      </c>
      <c r="G415" t="s">
        <v>32</v>
      </c>
      <c r="H415" t="s">
        <v>33</v>
      </c>
      <c r="I415">
        <v>3</v>
      </c>
      <c r="J415">
        <v>1.47</v>
      </c>
      <c r="K415">
        <v>3</v>
      </c>
      <c r="L415">
        <v>398.93</v>
      </c>
      <c r="M415">
        <v>46</v>
      </c>
      <c r="N415" t="s">
        <v>26</v>
      </c>
      <c r="O415">
        <v>25</v>
      </c>
      <c r="P415">
        <v>715</v>
      </c>
      <c r="Q415" s="27" t="str">
        <f>IF(D415=Pivot!$AS$4,R414, "")</f>
        <v/>
      </c>
      <c r="R415" t="s">
        <v>34</v>
      </c>
      <c r="S415" s="5">
        <v>3.5</v>
      </c>
      <c r="T415">
        <v>90</v>
      </c>
      <c r="U415">
        <v>305.85000000000002</v>
      </c>
      <c r="V415" s="27">
        <f t="shared" si="24"/>
        <v>13.23</v>
      </c>
      <c r="W415">
        <f t="shared" si="25"/>
        <v>704.78</v>
      </c>
      <c r="X415" s="33" t="str">
        <f t="shared" si="26"/>
        <v>High Quality</v>
      </c>
      <c r="Y415" s="27" t="str">
        <f t="shared" si="27"/>
        <v>2</v>
      </c>
    </row>
    <row r="416" spans="1:25" x14ac:dyDescent="0.25">
      <c r="A416" s="1">
        <v>45477</v>
      </c>
      <c r="B416" t="s">
        <v>65</v>
      </c>
      <c r="C416">
        <v>1</v>
      </c>
      <c r="D416" t="s">
        <v>77</v>
      </c>
      <c r="E416" t="s">
        <v>30</v>
      </c>
      <c r="F416" t="s">
        <v>62</v>
      </c>
      <c r="G416" t="s">
        <v>52</v>
      </c>
      <c r="H416" t="s">
        <v>48</v>
      </c>
      <c r="I416">
        <v>5</v>
      </c>
      <c r="J416">
        <v>16.87</v>
      </c>
      <c r="K416">
        <v>7</v>
      </c>
      <c r="L416">
        <v>306.81</v>
      </c>
      <c r="M416">
        <v>56</v>
      </c>
      <c r="N416" t="s">
        <v>45</v>
      </c>
      <c r="O416">
        <v>4</v>
      </c>
      <c r="P416">
        <v>933</v>
      </c>
      <c r="Q416" s="27" t="str">
        <f>IF(D416=Pivot!$AS$4,R415, "")</f>
        <v/>
      </c>
      <c r="R416" t="s">
        <v>27</v>
      </c>
      <c r="S416" s="5">
        <v>0.43</v>
      </c>
      <c r="T416">
        <v>94.14</v>
      </c>
      <c r="U416">
        <v>286.36</v>
      </c>
      <c r="V416" s="27">
        <f t="shared" si="24"/>
        <v>590.45000000000005</v>
      </c>
      <c r="W416">
        <f t="shared" si="25"/>
        <v>593.17000000000007</v>
      </c>
      <c r="X416" s="33" t="str">
        <f t="shared" si="26"/>
        <v>Low Quality</v>
      </c>
      <c r="Y416" s="27" t="str">
        <f t="shared" si="27"/>
        <v>18</v>
      </c>
    </row>
    <row r="417" spans="1:25" x14ac:dyDescent="0.25">
      <c r="A417" s="1">
        <v>45424</v>
      </c>
      <c r="B417" t="s">
        <v>35</v>
      </c>
      <c r="C417">
        <v>2</v>
      </c>
      <c r="D417" t="s">
        <v>91</v>
      </c>
      <c r="E417" t="s">
        <v>22</v>
      </c>
      <c r="F417" t="s">
        <v>81</v>
      </c>
      <c r="G417" t="s">
        <v>39</v>
      </c>
      <c r="H417" t="s">
        <v>40</v>
      </c>
      <c r="I417">
        <v>2</v>
      </c>
      <c r="J417">
        <v>7.94</v>
      </c>
      <c r="K417">
        <v>8</v>
      </c>
      <c r="L417">
        <v>392.32</v>
      </c>
      <c r="M417">
        <v>28</v>
      </c>
      <c r="N417" t="s">
        <v>41</v>
      </c>
      <c r="O417">
        <v>26</v>
      </c>
      <c r="P417">
        <v>468</v>
      </c>
      <c r="Q417" s="27" t="str">
        <f>IF(D417=Pivot!$AS$4,R416, "")</f>
        <v/>
      </c>
      <c r="R417" t="s">
        <v>57</v>
      </c>
      <c r="S417" s="5">
        <v>5.56</v>
      </c>
      <c r="T417">
        <v>86.88</v>
      </c>
      <c r="U417">
        <v>183.08</v>
      </c>
      <c r="V417" s="27">
        <f t="shared" si="24"/>
        <v>127.04</v>
      </c>
      <c r="W417">
        <f t="shared" si="25"/>
        <v>575.4</v>
      </c>
      <c r="X417" s="33" t="str">
        <f t="shared" si="26"/>
        <v>Mid Quality</v>
      </c>
      <c r="Y417" s="27" t="str">
        <f t="shared" si="27"/>
        <v>8</v>
      </c>
    </row>
    <row r="418" spans="1:25" x14ac:dyDescent="0.25">
      <c r="A418" s="1">
        <v>45387</v>
      </c>
      <c r="B418" t="s">
        <v>75</v>
      </c>
      <c r="C418">
        <v>3</v>
      </c>
      <c r="D418" t="s">
        <v>53</v>
      </c>
      <c r="E418" t="s">
        <v>51</v>
      </c>
      <c r="F418" t="s">
        <v>89</v>
      </c>
      <c r="G418" t="s">
        <v>52</v>
      </c>
      <c r="H418" t="s">
        <v>33</v>
      </c>
      <c r="I418">
        <v>5</v>
      </c>
      <c r="J418">
        <v>16.989999999999998</v>
      </c>
      <c r="K418">
        <v>6</v>
      </c>
      <c r="L418">
        <v>117.44</v>
      </c>
      <c r="M418">
        <v>57</v>
      </c>
      <c r="N418" t="s">
        <v>45</v>
      </c>
      <c r="O418">
        <v>36</v>
      </c>
      <c r="P418">
        <v>341</v>
      </c>
      <c r="Q418" s="27" t="str">
        <f>IF(D418=Pivot!$AS$4,R417, "")</f>
        <v/>
      </c>
      <c r="R418" t="s">
        <v>42</v>
      </c>
      <c r="S418" s="5">
        <v>10.56</v>
      </c>
      <c r="T418">
        <v>73.88</v>
      </c>
      <c r="U418">
        <v>111.57</v>
      </c>
      <c r="V418" s="27">
        <f t="shared" si="24"/>
        <v>509.69999999999993</v>
      </c>
      <c r="W418">
        <f t="shared" si="25"/>
        <v>229.01</v>
      </c>
      <c r="X418" s="33" t="str">
        <f t="shared" si="26"/>
        <v>Low Quality</v>
      </c>
      <c r="Y418" s="27" t="str">
        <f t="shared" si="27"/>
        <v>18</v>
      </c>
    </row>
    <row r="419" spans="1:25" x14ac:dyDescent="0.25">
      <c r="A419" s="1">
        <v>45572</v>
      </c>
      <c r="B419" t="s">
        <v>50</v>
      </c>
      <c r="C419">
        <v>1</v>
      </c>
      <c r="D419" t="s">
        <v>58</v>
      </c>
      <c r="E419" t="s">
        <v>37</v>
      </c>
      <c r="F419" t="s">
        <v>62</v>
      </c>
      <c r="G419" t="s">
        <v>39</v>
      </c>
      <c r="H419" t="s">
        <v>48</v>
      </c>
      <c r="I419">
        <v>2</v>
      </c>
      <c r="J419">
        <v>11.54</v>
      </c>
      <c r="K419">
        <v>7</v>
      </c>
      <c r="L419">
        <v>307.32</v>
      </c>
      <c r="M419">
        <v>60</v>
      </c>
      <c r="N419" t="s">
        <v>63</v>
      </c>
      <c r="O419">
        <v>3</v>
      </c>
      <c r="P419">
        <v>130</v>
      </c>
      <c r="Q419" s="27" t="str">
        <f>IF(D419=Pivot!$AS$4,R418, "")</f>
        <v/>
      </c>
      <c r="R419" t="s">
        <v>27</v>
      </c>
      <c r="S419" s="5">
        <v>2.31</v>
      </c>
      <c r="T419">
        <v>93.38</v>
      </c>
      <c r="U419">
        <v>307.32</v>
      </c>
      <c r="V419" s="27">
        <f t="shared" si="24"/>
        <v>161.56</v>
      </c>
      <c r="W419">
        <f t="shared" si="25"/>
        <v>614.64</v>
      </c>
      <c r="X419" s="33" t="str">
        <f t="shared" si="26"/>
        <v>Mid Quality</v>
      </c>
      <c r="Y419" s="27" t="str">
        <f t="shared" si="27"/>
        <v>12</v>
      </c>
    </row>
    <row r="420" spans="1:25" x14ac:dyDescent="0.25">
      <c r="A420" s="1">
        <v>45426</v>
      </c>
      <c r="B420" t="s">
        <v>65</v>
      </c>
      <c r="C420">
        <v>3</v>
      </c>
      <c r="D420" t="s">
        <v>66</v>
      </c>
      <c r="E420" t="s">
        <v>22</v>
      </c>
      <c r="F420" t="s">
        <v>23</v>
      </c>
      <c r="G420" t="s">
        <v>52</v>
      </c>
      <c r="H420" t="s">
        <v>40</v>
      </c>
      <c r="I420">
        <v>2</v>
      </c>
      <c r="J420">
        <v>18.13</v>
      </c>
      <c r="K420">
        <v>2</v>
      </c>
      <c r="L420">
        <v>164.14</v>
      </c>
      <c r="M420">
        <v>67</v>
      </c>
      <c r="N420" t="s">
        <v>55</v>
      </c>
      <c r="O420">
        <v>1</v>
      </c>
      <c r="P420">
        <v>928</v>
      </c>
      <c r="Q420" s="27" t="str">
        <f>IF(D420=Pivot!$AS$4,R419, "")</f>
        <v/>
      </c>
      <c r="R420" t="s">
        <v>27</v>
      </c>
      <c r="S420" s="5">
        <v>0.11</v>
      </c>
      <c r="T420">
        <v>97.78</v>
      </c>
      <c r="U420">
        <v>183.29</v>
      </c>
      <c r="V420" s="27">
        <f t="shared" si="24"/>
        <v>72.52</v>
      </c>
      <c r="W420">
        <f t="shared" si="25"/>
        <v>347.42999999999995</v>
      </c>
      <c r="X420" s="33" t="str">
        <f t="shared" si="26"/>
        <v>Low Quality</v>
      </c>
      <c r="Y420" s="27" t="str">
        <f t="shared" si="27"/>
        <v>20</v>
      </c>
    </row>
    <row r="421" spans="1:25" x14ac:dyDescent="0.25">
      <c r="A421" s="1">
        <v>45413</v>
      </c>
      <c r="B421" t="s">
        <v>28</v>
      </c>
      <c r="C421">
        <v>2</v>
      </c>
      <c r="D421" t="s">
        <v>74</v>
      </c>
      <c r="E421" t="s">
        <v>37</v>
      </c>
      <c r="F421" t="s">
        <v>81</v>
      </c>
      <c r="G421" t="s">
        <v>52</v>
      </c>
      <c r="H421" t="s">
        <v>33</v>
      </c>
      <c r="I421">
        <v>2</v>
      </c>
      <c r="J421">
        <v>18.600000000000001</v>
      </c>
      <c r="K421">
        <v>8</v>
      </c>
      <c r="L421">
        <v>152.63</v>
      </c>
      <c r="M421">
        <v>85</v>
      </c>
      <c r="N421" t="s">
        <v>41</v>
      </c>
      <c r="O421">
        <v>17</v>
      </c>
      <c r="P421">
        <v>803</v>
      </c>
      <c r="Q421" s="27" t="str">
        <f>IF(D421=Pivot!$AS$4,R420, "")</f>
        <v/>
      </c>
      <c r="R421" t="s">
        <v>42</v>
      </c>
      <c r="S421" s="5">
        <v>2.12</v>
      </c>
      <c r="T421">
        <v>93.76</v>
      </c>
      <c r="U421">
        <v>216.23</v>
      </c>
      <c r="V421" s="27">
        <f t="shared" si="24"/>
        <v>297.60000000000002</v>
      </c>
      <c r="W421">
        <f t="shared" si="25"/>
        <v>368.86</v>
      </c>
      <c r="X421" s="33" t="str">
        <f t="shared" si="26"/>
        <v>Low Quality</v>
      </c>
      <c r="Y421" s="27" t="str">
        <f t="shared" si="27"/>
        <v>20</v>
      </c>
    </row>
    <row r="422" spans="1:25" x14ac:dyDescent="0.25">
      <c r="A422" s="1">
        <v>45429</v>
      </c>
      <c r="B422" t="s">
        <v>65</v>
      </c>
      <c r="C422">
        <v>2</v>
      </c>
      <c r="D422" t="s">
        <v>85</v>
      </c>
      <c r="E422" t="s">
        <v>37</v>
      </c>
      <c r="F422" t="s">
        <v>56</v>
      </c>
      <c r="G422" t="s">
        <v>60</v>
      </c>
      <c r="H422" t="s">
        <v>25</v>
      </c>
      <c r="I422">
        <v>2</v>
      </c>
      <c r="J422">
        <v>1.17</v>
      </c>
      <c r="K422">
        <v>5</v>
      </c>
      <c r="L422">
        <v>55.19</v>
      </c>
      <c r="M422">
        <v>12</v>
      </c>
      <c r="N422" t="s">
        <v>45</v>
      </c>
      <c r="O422">
        <v>7</v>
      </c>
      <c r="P422">
        <v>968</v>
      </c>
      <c r="Q422" s="27" t="str">
        <f>IF(D422=Pivot!$AS$4,R421, "")</f>
        <v/>
      </c>
      <c r="R422" t="s">
        <v>42</v>
      </c>
      <c r="S422" s="5">
        <v>0.72</v>
      </c>
      <c r="T422">
        <v>96.56</v>
      </c>
      <c r="U422">
        <v>11.04</v>
      </c>
      <c r="V422" s="27">
        <f t="shared" si="24"/>
        <v>11.7</v>
      </c>
      <c r="W422">
        <f t="shared" si="25"/>
        <v>66.22999999999999</v>
      </c>
      <c r="X422" s="33" t="str">
        <f t="shared" si="26"/>
        <v>High Quality</v>
      </c>
      <c r="Y422" s="27" t="str">
        <f t="shared" si="27"/>
        <v>2</v>
      </c>
    </row>
    <row r="423" spans="1:25" x14ac:dyDescent="0.25">
      <c r="A423" s="1">
        <v>45533</v>
      </c>
      <c r="B423" t="s">
        <v>50</v>
      </c>
      <c r="C423">
        <v>1</v>
      </c>
      <c r="D423" t="s">
        <v>66</v>
      </c>
      <c r="E423" t="s">
        <v>51</v>
      </c>
      <c r="F423" t="s">
        <v>59</v>
      </c>
      <c r="G423" t="s">
        <v>52</v>
      </c>
      <c r="H423" t="s">
        <v>25</v>
      </c>
      <c r="I423">
        <v>2</v>
      </c>
      <c r="J423">
        <v>2.4300000000000002</v>
      </c>
      <c r="K423">
        <v>7</v>
      </c>
      <c r="L423">
        <v>108.65</v>
      </c>
      <c r="M423">
        <v>63</v>
      </c>
      <c r="N423" t="s">
        <v>55</v>
      </c>
      <c r="O423">
        <v>48</v>
      </c>
      <c r="P423">
        <v>460</v>
      </c>
      <c r="Q423" s="27" t="str">
        <f>IF(D423=Pivot!$AS$4,R422, "")</f>
        <v/>
      </c>
      <c r="R423" t="s">
        <v>27</v>
      </c>
      <c r="S423" s="5">
        <v>10.43</v>
      </c>
      <c r="T423">
        <v>77.14</v>
      </c>
      <c r="U423">
        <v>114.08</v>
      </c>
      <c r="V423" s="27">
        <f t="shared" si="24"/>
        <v>34.020000000000003</v>
      </c>
      <c r="W423">
        <f t="shared" si="25"/>
        <v>222.73000000000002</v>
      </c>
      <c r="X423" s="33" t="str">
        <f t="shared" si="26"/>
        <v>High Quality</v>
      </c>
      <c r="Y423" s="27" t="str">
        <f t="shared" si="27"/>
        <v>4</v>
      </c>
    </row>
    <row r="424" spans="1:25" x14ac:dyDescent="0.25">
      <c r="A424" s="1">
        <v>45467</v>
      </c>
      <c r="B424" t="s">
        <v>50</v>
      </c>
      <c r="C424">
        <v>2</v>
      </c>
      <c r="D424" t="s">
        <v>47</v>
      </c>
      <c r="E424" t="s">
        <v>51</v>
      </c>
      <c r="F424" t="s">
        <v>72</v>
      </c>
      <c r="G424" t="s">
        <v>32</v>
      </c>
      <c r="H424" t="s">
        <v>25</v>
      </c>
      <c r="I424">
        <v>4</v>
      </c>
      <c r="J424">
        <v>5.76</v>
      </c>
      <c r="K424">
        <v>1</v>
      </c>
      <c r="L424">
        <v>189.17</v>
      </c>
      <c r="M424">
        <v>49</v>
      </c>
      <c r="N424" t="s">
        <v>49</v>
      </c>
      <c r="O424">
        <v>5</v>
      </c>
      <c r="P424">
        <v>332</v>
      </c>
      <c r="Q424" s="27" t="str">
        <f>IF(D424=Pivot!$AS$4,R423, "")</f>
        <v/>
      </c>
      <c r="R424" t="s">
        <v>34</v>
      </c>
      <c r="S424" s="5">
        <v>1.51</v>
      </c>
      <c r="T424">
        <v>92.98</v>
      </c>
      <c r="U424">
        <v>154.49</v>
      </c>
      <c r="V424" s="27">
        <f t="shared" si="24"/>
        <v>23.04</v>
      </c>
      <c r="W424">
        <f t="shared" si="25"/>
        <v>343.65999999999997</v>
      </c>
      <c r="X424" s="33" t="str">
        <f t="shared" si="26"/>
        <v>High Quality</v>
      </c>
      <c r="Y424" s="27" t="str">
        <f t="shared" si="27"/>
        <v>6</v>
      </c>
    </row>
    <row r="425" spans="1:25" x14ac:dyDescent="0.25">
      <c r="A425" s="1">
        <v>45479</v>
      </c>
      <c r="B425" t="s">
        <v>65</v>
      </c>
      <c r="C425">
        <v>1</v>
      </c>
      <c r="D425" t="s">
        <v>80</v>
      </c>
      <c r="E425" t="s">
        <v>37</v>
      </c>
      <c r="F425" t="s">
        <v>62</v>
      </c>
      <c r="G425" t="s">
        <v>52</v>
      </c>
      <c r="H425" t="s">
        <v>48</v>
      </c>
      <c r="I425">
        <v>5</v>
      </c>
      <c r="J425">
        <v>13.72</v>
      </c>
      <c r="K425">
        <v>5</v>
      </c>
      <c r="L425">
        <v>102.6</v>
      </c>
      <c r="M425">
        <v>31</v>
      </c>
      <c r="N425" t="s">
        <v>63</v>
      </c>
      <c r="O425">
        <v>19</v>
      </c>
      <c r="P425">
        <v>709</v>
      </c>
      <c r="Q425" s="27" t="str">
        <f>IF(D425=Pivot!$AS$4,R424, "")</f>
        <v>Kritik hata</v>
      </c>
      <c r="R425" t="s">
        <v>46</v>
      </c>
      <c r="S425" s="5">
        <v>2.68</v>
      </c>
      <c r="T425">
        <v>89.64</v>
      </c>
      <c r="U425">
        <v>53.01</v>
      </c>
      <c r="V425" s="27">
        <f t="shared" si="24"/>
        <v>343</v>
      </c>
      <c r="W425">
        <f t="shared" si="25"/>
        <v>155.60999999999999</v>
      </c>
      <c r="X425" s="33" t="str">
        <f t="shared" si="26"/>
        <v>Mid Quality</v>
      </c>
      <c r="Y425" s="27" t="str">
        <f t="shared" si="27"/>
        <v>14</v>
      </c>
    </row>
    <row r="426" spans="1:25" x14ac:dyDescent="0.25">
      <c r="A426" s="1">
        <v>45386</v>
      </c>
      <c r="B426" t="s">
        <v>75</v>
      </c>
      <c r="C426">
        <v>2</v>
      </c>
      <c r="D426" t="s">
        <v>85</v>
      </c>
      <c r="E426" t="s">
        <v>67</v>
      </c>
      <c r="F426" t="s">
        <v>90</v>
      </c>
      <c r="G426" t="s">
        <v>39</v>
      </c>
      <c r="H426" t="s">
        <v>25</v>
      </c>
      <c r="I426">
        <v>4</v>
      </c>
      <c r="J426">
        <v>17.88</v>
      </c>
      <c r="K426">
        <v>1</v>
      </c>
      <c r="L426">
        <v>493.64</v>
      </c>
      <c r="M426">
        <v>56</v>
      </c>
      <c r="N426" t="s">
        <v>63</v>
      </c>
      <c r="O426">
        <v>39</v>
      </c>
      <c r="P426">
        <v>133</v>
      </c>
      <c r="Q426" s="27" t="str">
        <f>IF(D426=Pivot!$AS$4,R425, "")</f>
        <v/>
      </c>
      <c r="R426" t="s">
        <v>46</v>
      </c>
      <c r="S426" s="5">
        <v>29.32</v>
      </c>
      <c r="T426">
        <v>37.36</v>
      </c>
      <c r="U426">
        <v>460.73</v>
      </c>
      <c r="V426" s="27">
        <f t="shared" si="24"/>
        <v>71.52</v>
      </c>
      <c r="W426">
        <f t="shared" si="25"/>
        <v>954.37</v>
      </c>
      <c r="X426" s="33" t="str">
        <f t="shared" si="26"/>
        <v>Low Quality</v>
      </c>
      <c r="Y426" s="27" t="str">
        <f t="shared" si="27"/>
        <v>18</v>
      </c>
    </row>
    <row r="427" spans="1:25" x14ac:dyDescent="0.25">
      <c r="A427" s="1">
        <v>45547</v>
      </c>
      <c r="B427" t="s">
        <v>20</v>
      </c>
      <c r="C427">
        <v>2</v>
      </c>
      <c r="D427" t="s">
        <v>71</v>
      </c>
      <c r="E427" t="s">
        <v>37</v>
      </c>
      <c r="F427" t="s">
        <v>89</v>
      </c>
      <c r="G427" t="s">
        <v>52</v>
      </c>
      <c r="H427" t="s">
        <v>61</v>
      </c>
      <c r="I427">
        <v>4</v>
      </c>
      <c r="J427">
        <v>9.74</v>
      </c>
      <c r="K427">
        <v>8</v>
      </c>
      <c r="L427">
        <v>188.88</v>
      </c>
      <c r="M427">
        <v>22</v>
      </c>
      <c r="N427" t="s">
        <v>41</v>
      </c>
      <c r="O427">
        <v>46</v>
      </c>
      <c r="P427">
        <v>342</v>
      </c>
      <c r="Q427" s="27" t="str">
        <f>IF(D427=Pivot!$AS$4,R426, "")</f>
        <v/>
      </c>
      <c r="R427" t="s">
        <v>27</v>
      </c>
      <c r="S427" s="5">
        <v>13.45</v>
      </c>
      <c r="T427">
        <v>69.099999999999994</v>
      </c>
      <c r="U427">
        <v>69.260000000000005</v>
      </c>
      <c r="V427" s="27">
        <f t="shared" si="24"/>
        <v>311.68</v>
      </c>
      <c r="W427">
        <f t="shared" si="25"/>
        <v>258.14</v>
      </c>
      <c r="X427" s="33" t="str">
        <f t="shared" si="26"/>
        <v>Mid Quality</v>
      </c>
      <c r="Y427" s="27" t="str">
        <f t="shared" si="27"/>
        <v>10</v>
      </c>
    </row>
    <row r="428" spans="1:25" x14ac:dyDescent="0.25">
      <c r="A428" s="1">
        <v>45509</v>
      </c>
      <c r="B428" t="s">
        <v>50</v>
      </c>
      <c r="C428">
        <v>1</v>
      </c>
      <c r="D428" t="s">
        <v>43</v>
      </c>
      <c r="E428" t="s">
        <v>37</v>
      </c>
      <c r="F428" t="s">
        <v>78</v>
      </c>
      <c r="G428" t="s">
        <v>24</v>
      </c>
      <c r="H428" t="s">
        <v>40</v>
      </c>
      <c r="I428">
        <v>1</v>
      </c>
      <c r="J428">
        <v>12.53</v>
      </c>
      <c r="K428">
        <v>4</v>
      </c>
      <c r="L428">
        <v>108.65</v>
      </c>
      <c r="M428">
        <v>20</v>
      </c>
      <c r="N428" t="s">
        <v>45</v>
      </c>
      <c r="O428">
        <v>34</v>
      </c>
      <c r="P428">
        <v>158</v>
      </c>
      <c r="Q428" s="27" t="str">
        <f>IF(D428=Pivot!$AS$4,R427, "")</f>
        <v/>
      </c>
      <c r="R428" t="s">
        <v>34</v>
      </c>
      <c r="S428" s="5">
        <v>21.52</v>
      </c>
      <c r="T428">
        <v>55.96</v>
      </c>
      <c r="U428">
        <v>36.22</v>
      </c>
      <c r="V428" s="27">
        <f t="shared" si="24"/>
        <v>50.12</v>
      </c>
      <c r="W428">
        <f t="shared" si="25"/>
        <v>144.87</v>
      </c>
      <c r="X428" s="33" t="str">
        <f t="shared" si="26"/>
        <v>Mid Quality</v>
      </c>
      <c r="Y428" s="27" t="str">
        <f t="shared" si="27"/>
        <v>14</v>
      </c>
    </row>
    <row r="429" spans="1:25" x14ac:dyDescent="0.25">
      <c r="A429" s="1">
        <v>45399</v>
      </c>
      <c r="B429" t="s">
        <v>65</v>
      </c>
      <c r="C429">
        <v>1</v>
      </c>
      <c r="D429" t="s">
        <v>66</v>
      </c>
      <c r="E429" t="s">
        <v>30</v>
      </c>
      <c r="F429" t="s">
        <v>23</v>
      </c>
      <c r="G429" t="s">
        <v>39</v>
      </c>
      <c r="H429" t="s">
        <v>48</v>
      </c>
      <c r="I429">
        <v>1</v>
      </c>
      <c r="J429">
        <v>4.58</v>
      </c>
      <c r="K429">
        <v>4</v>
      </c>
      <c r="L429">
        <v>139.59</v>
      </c>
      <c r="M429">
        <v>70</v>
      </c>
      <c r="N429" t="s">
        <v>49</v>
      </c>
      <c r="O429">
        <v>35</v>
      </c>
      <c r="P429">
        <v>870</v>
      </c>
      <c r="Q429" s="27" t="str">
        <f>IF(D429=Pivot!$AS$4,R428, "")</f>
        <v/>
      </c>
      <c r="R429" t="s">
        <v>42</v>
      </c>
      <c r="S429" s="5">
        <v>4.0199999999999996</v>
      </c>
      <c r="T429">
        <v>90.96</v>
      </c>
      <c r="U429">
        <v>162.86000000000001</v>
      </c>
      <c r="V429" s="27">
        <f t="shared" si="24"/>
        <v>18.32</v>
      </c>
      <c r="W429">
        <f t="shared" si="25"/>
        <v>302.45000000000005</v>
      </c>
      <c r="X429" s="33" t="str">
        <f t="shared" si="26"/>
        <v>High Quality</v>
      </c>
      <c r="Y429" s="27" t="str">
        <f t="shared" si="27"/>
        <v>6</v>
      </c>
    </row>
    <row r="430" spans="1:25" x14ac:dyDescent="0.25">
      <c r="A430" s="1">
        <v>45506</v>
      </c>
      <c r="B430" t="s">
        <v>65</v>
      </c>
      <c r="C430">
        <v>1</v>
      </c>
      <c r="D430" t="s">
        <v>82</v>
      </c>
      <c r="E430" t="s">
        <v>30</v>
      </c>
      <c r="F430" t="s">
        <v>81</v>
      </c>
      <c r="G430" t="s">
        <v>24</v>
      </c>
      <c r="H430" t="s">
        <v>25</v>
      </c>
      <c r="I430">
        <v>1</v>
      </c>
      <c r="J430">
        <v>16.29</v>
      </c>
      <c r="K430">
        <v>2</v>
      </c>
      <c r="L430">
        <v>314.47000000000003</v>
      </c>
      <c r="M430">
        <v>9</v>
      </c>
      <c r="N430" t="s">
        <v>26</v>
      </c>
      <c r="O430">
        <v>49</v>
      </c>
      <c r="P430">
        <v>628</v>
      </c>
      <c r="Q430" s="27" t="str">
        <f>IF(D430=Pivot!$AS$4,R429, "")</f>
        <v/>
      </c>
      <c r="R430" t="s">
        <v>27</v>
      </c>
      <c r="S430" s="5">
        <v>7.8</v>
      </c>
      <c r="T430">
        <v>83.4</v>
      </c>
      <c r="U430">
        <v>47.17</v>
      </c>
      <c r="V430" s="27">
        <f t="shared" si="24"/>
        <v>32.58</v>
      </c>
      <c r="W430">
        <f t="shared" si="25"/>
        <v>361.64000000000004</v>
      </c>
      <c r="X430" s="33" t="str">
        <f t="shared" si="26"/>
        <v>Low Quality</v>
      </c>
      <c r="Y430" s="27" t="str">
        <f t="shared" si="27"/>
        <v>18</v>
      </c>
    </row>
    <row r="431" spans="1:25" x14ac:dyDescent="0.25">
      <c r="A431" s="1">
        <v>45482</v>
      </c>
      <c r="B431" t="s">
        <v>35</v>
      </c>
      <c r="C431">
        <v>2</v>
      </c>
      <c r="D431" t="s">
        <v>80</v>
      </c>
      <c r="E431" t="s">
        <v>30</v>
      </c>
      <c r="F431" t="s">
        <v>23</v>
      </c>
      <c r="G431" t="s">
        <v>39</v>
      </c>
      <c r="H431" t="s">
        <v>40</v>
      </c>
      <c r="I431">
        <v>3</v>
      </c>
      <c r="J431">
        <v>19.38</v>
      </c>
      <c r="K431">
        <v>5</v>
      </c>
      <c r="L431">
        <v>78.819999999999993</v>
      </c>
      <c r="M431">
        <v>86</v>
      </c>
      <c r="N431" t="s">
        <v>41</v>
      </c>
      <c r="O431">
        <v>16</v>
      </c>
      <c r="P431">
        <v>177</v>
      </c>
      <c r="Q431" s="27" t="str">
        <f>IF(D431=Pivot!$AS$4,R430, "")</f>
        <v>Kontrol tekrarlandı</v>
      </c>
      <c r="R431" t="s">
        <v>57</v>
      </c>
      <c r="S431" s="5">
        <v>9.0399999999999991</v>
      </c>
      <c r="T431">
        <v>78.92</v>
      </c>
      <c r="U431">
        <v>112.98</v>
      </c>
      <c r="V431" s="27">
        <f t="shared" si="24"/>
        <v>290.7</v>
      </c>
      <c r="W431">
        <f t="shared" si="25"/>
        <v>191.8</v>
      </c>
      <c r="X431" s="33" t="str">
        <f t="shared" si="26"/>
        <v>Low Quality</v>
      </c>
      <c r="Y431" s="27" t="str">
        <f t="shared" si="27"/>
        <v>20</v>
      </c>
    </row>
    <row r="432" spans="1:25" x14ac:dyDescent="0.25">
      <c r="A432" s="1">
        <v>45478</v>
      </c>
      <c r="B432" t="s">
        <v>20</v>
      </c>
      <c r="C432">
        <v>2</v>
      </c>
      <c r="D432" t="s">
        <v>91</v>
      </c>
      <c r="E432" t="s">
        <v>67</v>
      </c>
      <c r="F432" t="s">
        <v>54</v>
      </c>
      <c r="G432" t="s">
        <v>32</v>
      </c>
      <c r="H432" t="s">
        <v>33</v>
      </c>
      <c r="I432">
        <v>1</v>
      </c>
      <c r="J432">
        <v>6.1</v>
      </c>
      <c r="K432">
        <v>1</v>
      </c>
      <c r="L432">
        <v>438.1</v>
      </c>
      <c r="M432">
        <v>7</v>
      </c>
      <c r="N432" t="s">
        <v>26</v>
      </c>
      <c r="O432">
        <v>40</v>
      </c>
      <c r="P432">
        <v>817</v>
      </c>
      <c r="Q432" s="27" t="str">
        <f>IF(D432=Pivot!$AS$4,R431, "")</f>
        <v/>
      </c>
      <c r="R432" t="s">
        <v>34</v>
      </c>
      <c r="S432" s="5">
        <v>4.9000000000000004</v>
      </c>
      <c r="T432">
        <v>89.2</v>
      </c>
      <c r="U432">
        <v>51.11</v>
      </c>
      <c r="V432" s="27">
        <f t="shared" si="24"/>
        <v>6.1</v>
      </c>
      <c r="W432">
        <f t="shared" si="25"/>
        <v>489.21000000000004</v>
      </c>
      <c r="X432" s="33" t="str">
        <f t="shared" si="26"/>
        <v>Mid Quality</v>
      </c>
      <c r="Y432" s="27" t="str">
        <f t="shared" si="27"/>
        <v>8</v>
      </c>
    </row>
    <row r="433" spans="1:25" x14ac:dyDescent="0.25">
      <c r="A433" s="1">
        <v>45497</v>
      </c>
      <c r="B433" t="s">
        <v>28</v>
      </c>
      <c r="C433">
        <v>3</v>
      </c>
      <c r="D433" t="s">
        <v>47</v>
      </c>
      <c r="E433" t="s">
        <v>67</v>
      </c>
      <c r="F433" t="s">
        <v>90</v>
      </c>
      <c r="G433" t="s">
        <v>32</v>
      </c>
      <c r="H433" t="s">
        <v>25</v>
      </c>
      <c r="I433">
        <v>5</v>
      </c>
      <c r="J433">
        <v>10.4</v>
      </c>
      <c r="K433">
        <v>9</v>
      </c>
      <c r="L433">
        <v>482.67</v>
      </c>
      <c r="M433">
        <v>85</v>
      </c>
      <c r="N433" t="s">
        <v>41</v>
      </c>
      <c r="O433">
        <v>47</v>
      </c>
      <c r="P433">
        <v>401</v>
      </c>
      <c r="Q433" s="27" t="str">
        <f>IF(D433=Pivot!$AS$4,R432, "")</f>
        <v/>
      </c>
      <c r="R433" t="s">
        <v>57</v>
      </c>
      <c r="S433" s="5">
        <v>11.72</v>
      </c>
      <c r="T433">
        <v>71.56</v>
      </c>
      <c r="U433">
        <v>683.78</v>
      </c>
      <c r="V433" s="27">
        <f t="shared" si="24"/>
        <v>468</v>
      </c>
      <c r="W433">
        <f t="shared" si="25"/>
        <v>1166.45</v>
      </c>
      <c r="X433" s="33" t="str">
        <f t="shared" si="26"/>
        <v>Mid Quality</v>
      </c>
      <c r="Y433" s="27" t="str">
        <f t="shared" si="27"/>
        <v>12</v>
      </c>
    </row>
    <row r="434" spans="1:25" x14ac:dyDescent="0.25">
      <c r="A434" s="1">
        <v>45435</v>
      </c>
      <c r="B434" t="s">
        <v>75</v>
      </c>
      <c r="C434">
        <v>1</v>
      </c>
      <c r="D434" t="s">
        <v>71</v>
      </c>
      <c r="E434" t="s">
        <v>37</v>
      </c>
      <c r="F434" t="s">
        <v>72</v>
      </c>
      <c r="G434" t="s">
        <v>32</v>
      </c>
      <c r="H434" t="s">
        <v>40</v>
      </c>
      <c r="I434">
        <v>4</v>
      </c>
      <c r="J434">
        <v>2.64</v>
      </c>
      <c r="K434">
        <v>5</v>
      </c>
      <c r="L434">
        <v>161.04</v>
      </c>
      <c r="M434">
        <v>84</v>
      </c>
      <c r="N434" t="s">
        <v>45</v>
      </c>
      <c r="O434">
        <v>39</v>
      </c>
      <c r="P434">
        <v>777</v>
      </c>
      <c r="Q434" s="27" t="str">
        <f>IF(D434=Pivot!$AS$4,R433, "")</f>
        <v/>
      </c>
      <c r="R434" t="s">
        <v>57</v>
      </c>
      <c r="S434" s="5">
        <v>5.0199999999999996</v>
      </c>
      <c r="T434">
        <v>85.96</v>
      </c>
      <c r="U434">
        <v>225.46</v>
      </c>
      <c r="V434" s="27">
        <f t="shared" si="24"/>
        <v>52.800000000000004</v>
      </c>
      <c r="W434">
        <f t="shared" si="25"/>
        <v>386.5</v>
      </c>
      <c r="X434" s="33" t="str">
        <f t="shared" si="26"/>
        <v>High Quality</v>
      </c>
      <c r="Y434" s="27" t="str">
        <f t="shared" si="27"/>
        <v>4</v>
      </c>
    </row>
    <row r="435" spans="1:25" x14ac:dyDescent="0.25">
      <c r="A435" s="1">
        <v>45522</v>
      </c>
      <c r="B435" t="s">
        <v>28</v>
      </c>
      <c r="C435">
        <v>2</v>
      </c>
      <c r="D435" t="s">
        <v>85</v>
      </c>
      <c r="E435" t="s">
        <v>30</v>
      </c>
      <c r="F435" t="s">
        <v>23</v>
      </c>
      <c r="G435" t="s">
        <v>24</v>
      </c>
      <c r="H435" t="s">
        <v>61</v>
      </c>
      <c r="I435">
        <v>5</v>
      </c>
      <c r="J435">
        <v>11.62</v>
      </c>
      <c r="K435">
        <v>6</v>
      </c>
      <c r="L435">
        <v>252.54</v>
      </c>
      <c r="M435">
        <v>74</v>
      </c>
      <c r="N435" t="s">
        <v>49</v>
      </c>
      <c r="O435">
        <v>27</v>
      </c>
      <c r="P435">
        <v>902</v>
      </c>
      <c r="Q435" s="27" t="str">
        <f>IF(D435=Pivot!$AS$4,R434, "")</f>
        <v/>
      </c>
      <c r="R435" t="s">
        <v>27</v>
      </c>
      <c r="S435" s="5">
        <v>2.99</v>
      </c>
      <c r="T435">
        <v>89.02</v>
      </c>
      <c r="U435">
        <v>311.47000000000003</v>
      </c>
      <c r="V435" s="27">
        <f t="shared" si="24"/>
        <v>348.59999999999997</v>
      </c>
      <c r="W435">
        <f t="shared" si="25"/>
        <v>564.01</v>
      </c>
      <c r="X435" s="33" t="str">
        <f t="shared" si="26"/>
        <v>Mid Quality</v>
      </c>
      <c r="Y435" s="27" t="str">
        <f t="shared" si="27"/>
        <v>12</v>
      </c>
    </row>
    <row r="436" spans="1:25" x14ac:dyDescent="0.25">
      <c r="A436" s="1">
        <v>45384</v>
      </c>
      <c r="B436" t="s">
        <v>20</v>
      </c>
      <c r="C436">
        <v>2</v>
      </c>
      <c r="D436" t="s">
        <v>88</v>
      </c>
      <c r="E436" t="s">
        <v>67</v>
      </c>
      <c r="F436" t="s">
        <v>44</v>
      </c>
      <c r="G436" t="s">
        <v>60</v>
      </c>
      <c r="H436" t="s">
        <v>33</v>
      </c>
      <c r="I436">
        <v>1</v>
      </c>
      <c r="J436">
        <v>10.55</v>
      </c>
      <c r="K436">
        <v>2</v>
      </c>
      <c r="L436">
        <v>59.96</v>
      </c>
      <c r="M436">
        <v>11</v>
      </c>
      <c r="N436" t="s">
        <v>45</v>
      </c>
      <c r="O436">
        <v>41</v>
      </c>
      <c r="P436">
        <v>996</v>
      </c>
      <c r="Q436" s="27" t="str">
        <f>IF(D436=Pivot!$AS$4,R435, "")</f>
        <v/>
      </c>
      <c r="R436" t="s">
        <v>34</v>
      </c>
      <c r="S436" s="5">
        <v>4.12</v>
      </c>
      <c r="T436">
        <v>90.76</v>
      </c>
      <c r="U436">
        <v>10.99</v>
      </c>
      <c r="V436" s="27">
        <f t="shared" si="24"/>
        <v>21.1</v>
      </c>
      <c r="W436">
        <f t="shared" si="25"/>
        <v>70.95</v>
      </c>
      <c r="X436" s="33" t="str">
        <f t="shared" si="26"/>
        <v>Mid Quality</v>
      </c>
      <c r="Y436" s="27" t="str">
        <f t="shared" si="27"/>
        <v>12</v>
      </c>
    </row>
    <row r="437" spans="1:25" x14ac:dyDescent="0.25">
      <c r="A437" s="1">
        <v>45584</v>
      </c>
      <c r="B437" t="s">
        <v>20</v>
      </c>
      <c r="C437">
        <v>1</v>
      </c>
      <c r="D437" t="s">
        <v>29</v>
      </c>
      <c r="E437" t="s">
        <v>51</v>
      </c>
      <c r="F437" t="s">
        <v>44</v>
      </c>
      <c r="G437" t="s">
        <v>39</v>
      </c>
      <c r="H437" t="s">
        <v>61</v>
      </c>
      <c r="I437">
        <v>3</v>
      </c>
      <c r="J437">
        <v>3.74</v>
      </c>
      <c r="K437">
        <v>1</v>
      </c>
      <c r="L437">
        <v>338.32</v>
      </c>
      <c r="M437">
        <v>54</v>
      </c>
      <c r="N437" t="s">
        <v>63</v>
      </c>
      <c r="O437">
        <v>38</v>
      </c>
      <c r="P437">
        <v>211</v>
      </c>
      <c r="Q437" s="27" t="str">
        <f>IF(D437=Pivot!$AS$4,R436, "")</f>
        <v/>
      </c>
      <c r="R437" t="s">
        <v>57</v>
      </c>
      <c r="S437" s="5">
        <v>18.010000000000002</v>
      </c>
      <c r="T437">
        <v>60.98</v>
      </c>
      <c r="U437">
        <v>304.49</v>
      </c>
      <c r="V437" s="27">
        <f t="shared" si="24"/>
        <v>11.22</v>
      </c>
      <c r="W437">
        <f t="shared" si="25"/>
        <v>642.80999999999995</v>
      </c>
      <c r="X437" s="33" t="str">
        <f t="shared" si="26"/>
        <v>High Quality</v>
      </c>
      <c r="Y437" s="27" t="str">
        <f t="shared" si="27"/>
        <v>4</v>
      </c>
    </row>
    <row r="438" spans="1:25" x14ac:dyDescent="0.25">
      <c r="A438" s="1">
        <v>45359</v>
      </c>
      <c r="B438" t="s">
        <v>20</v>
      </c>
      <c r="C438">
        <v>3</v>
      </c>
      <c r="D438" t="s">
        <v>64</v>
      </c>
      <c r="E438" t="s">
        <v>37</v>
      </c>
      <c r="F438" t="s">
        <v>81</v>
      </c>
      <c r="G438" t="s">
        <v>32</v>
      </c>
      <c r="H438" t="s">
        <v>40</v>
      </c>
      <c r="I438">
        <v>3</v>
      </c>
      <c r="J438">
        <v>9.4</v>
      </c>
      <c r="K438">
        <v>4</v>
      </c>
      <c r="L438">
        <v>236.27</v>
      </c>
      <c r="M438">
        <v>18</v>
      </c>
      <c r="N438" t="s">
        <v>26</v>
      </c>
      <c r="O438">
        <v>25</v>
      </c>
      <c r="P438">
        <v>512</v>
      </c>
      <c r="Q438" s="27" t="str">
        <f>IF(D438=Pivot!$AS$4,R437, "")</f>
        <v/>
      </c>
      <c r="R438" t="s">
        <v>34</v>
      </c>
      <c r="S438" s="5">
        <v>4.88</v>
      </c>
      <c r="T438">
        <v>87.24</v>
      </c>
      <c r="U438">
        <v>70.88</v>
      </c>
      <c r="V438" s="27">
        <f t="shared" si="24"/>
        <v>112.80000000000001</v>
      </c>
      <c r="W438">
        <f t="shared" si="25"/>
        <v>307.14999999999998</v>
      </c>
      <c r="X438" s="33" t="str">
        <f t="shared" si="26"/>
        <v>Mid Quality</v>
      </c>
      <c r="Y438" s="27" t="str">
        <f t="shared" si="27"/>
        <v>10</v>
      </c>
    </row>
    <row r="439" spans="1:25" x14ac:dyDescent="0.25">
      <c r="A439" s="1">
        <v>45586</v>
      </c>
      <c r="B439" t="s">
        <v>28</v>
      </c>
      <c r="C439">
        <v>1</v>
      </c>
      <c r="D439" t="s">
        <v>80</v>
      </c>
      <c r="E439" t="s">
        <v>22</v>
      </c>
      <c r="F439" t="s">
        <v>31</v>
      </c>
      <c r="G439" t="s">
        <v>39</v>
      </c>
      <c r="H439" t="s">
        <v>61</v>
      </c>
      <c r="I439">
        <v>4</v>
      </c>
      <c r="J439">
        <v>7.35</v>
      </c>
      <c r="K439">
        <v>7</v>
      </c>
      <c r="L439">
        <v>171.53</v>
      </c>
      <c r="M439">
        <v>42</v>
      </c>
      <c r="N439" t="s">
        <v>55</v>
      </c>
      <c r="O439">
        <v>26</v>
      </c>
      <c r="P439">
        <v>999</v>
      </c>
      <c r="Q439" s="27" t="str">
        <f>IF(D439=Pivot!$AS$4,R438, "")</f>
        <v>Kritik hata</v>
      </c>
      <c r="R439" t="s">
        <v>46</v>
      </c>
      <c r="S439" s="5">
        <v>2.6</v>
      </c>
      <c r="T439">
        <v>90.8</v>
      </c>
      <c r="U439">
        <v>120.07</v>
      </c>
      <c r="V439" s="27">
        <f t="shared" si="24"/>
        <v>205.79999999999998</v>
      </c>
      <c r="W439">
        <f t="shared" si="25"/>
        <v>291.60000000000002</v>
      </c>
      <c r="X439" s="33" t="str">
        <f t="shared" si="26"/>
        <v>Mid Quality</v>
      </c>
      <c r="Y439" s="27" t="str">
        <f t="shared" si="27"/>
        <v>8</v>
      </c>
    </row>
    <row r="440" spans="1:25" x14ac:dyDescent="0.25">
      <c r="A440" s="1">
        <v>45409</v>
      </c>
      <c r="B440" t="s">
        <v>20</v>
      </c>
      <c r="C440">
        <v>3</v>
      </c>
      <c r="D440" t="s">
        <v>43</v>
      </c>
      <c r="E440" t="s">
        <v>37</v>
      </c>
      <c r="F440" t="s">
        <v>62</v>
      </c>
      <c r="G440" t="s">
        <v>24</v>
      </c>
      <c r="H440" t="s">
        <v>40</v>
      </c>
      <c r="I440">
        <v>5</v>
      </c>
      <c r="J440">
        <v>10.91</v>
      </c>
      <c r="K440">
        <v>6</v>
      </c>
      <c r="L440">
        <v>143.08000000000001</v>
      </c>
      <c r="M440">
        <v>83</v>
      </c>
      <c r="N440" t="s">
        <v>63</v>
      </c>
      <c r="O440">
        <v>14</v>
      </c>
      <c r="P440">
        <v>416</v>
      </c>
      <c r="Q440" s="27" t="str">
        <f>IF(D440=Pivot!$AS$4,R439, "")</f>
        <v/>
      </c>
      <c r="R440" t="s">
        <v>57</v>
      </c>
      <c r="S440" s="5">
        <v>3.37</v>
      </c>
      <c r="T440">
        <v>88.26</v>
      </c>
      <c r="U440">
        <v>197.93</v>
      </c>
      <c r="V440" s="27">
        <f t="shared" si="24"/>
        <v>327.3</v>
      </c>
      <c r="W440">
        <f t="shared" si="25"/>
        <v>341.01</v>
      </c>
      <c r="X440" s="33" t="str">
        <f t="shared" si="26"/>
        <v>Mid Quality</v>
      </c>
      <c r="Y440" s="27" t="str">
        <f t="shared" si="27"/>
        <v>12</v>
      </c>
    </row>
    <row r="441" spans="1:25" x14ac:dyDescent="0.25">
      <c r="A441" s="1">
        <v>45343</v>
      </c>
      <c r="B441" t="s">
        <v>65</v>
      </c>
      <c r="C441">
        <v>2</v>
      </c>
      <c r="D441" t="s">
        <v>53</v>
      </c>
      <c r="E441" t="s">
        <v>22</v>
      </c>
      <c r="F441" t="s">
        <v>54</v>
      </c>
      <c r="G441" t="s">
        <v>60</v>
      </c>
      <c r="H441" t="s">
        <v>40</v>
      </c>
      <c r="I441">
        <v>2</v>
      </c>
      <c r="J441">
        <v>12.13</v>
      </c>
      <c r="K441">
        <v>1</v>
      </c>
      <c r="L441">
        <v>344.31</v>
      </c>
      <c r="M441">
        <v>51</v>
      </c>
      <c r="N441" t="s">
        <v>63</v>
      </c>
      <c r="O441">
        <v>14</v>
      </c>
      <c r="P441">
        <v>964</v>
      </c>
      <c r="Q441" s="27" t="str">
        <f>IF(D441=Pivot!$AS$4,R440, "")</f>
        <v/>
      </c>
      <c r="R441" t="s">
        <v>57</v>
      </c>
      <c r="S441" s="5">
        <v>1.45</v>
      </c>
      <c r="T441">
        <v>95.1</v>
      </c>
      <c r="U441">
        <v>292.66000000000003</v>
      </c>
      <c r="V441" s="27">
        <f t="shared" si="24"/>
        <v>24.26</v>
      </c>
      <c r="W441">
        <f t="shared" si="25"/>
        <v>636.97</v>
      </c>
      <c r="X441" s="33" t="str">
        <f t="shared" si="26"/>
        <v>Mid Quality</v>
      </c>
      <c r="Y441" s="27" t="str">
        <f t="shared" si="27"/>
        <v>14</v>
      </c>
    </row>
    <row r="442" spans="1:25" x14ac:dyDescent="0.25">
      <c r="A442" s="1">
        <v>45430</v>
      </c>
      <c r="B442" t="s">
        <v>28</v>
      </c>
      <c r="C442">
        <v>3</v>
      </c>
      <c r="D442" t="s">
        <v>88</v>
      </c>
      <c r="E442" t="s">
        <v>30</v>
      </c>
      <c r="F442" t="s">
        <v>23</v>
      </c>
      <c r="G442" t="s">
        <v>24</v>
      </c>
      <c r="H442" t="s">
        <v>61</v>
      </c>
      <c r="I442">
        <v>5</v>
      </c>
      <c r="J442">
        <v>1.1599999999999999</v>
      </c>
      <c r="K442">
        <v>1</v>
      </c>
      <c r="L442">
        <v>237.3</v>
      </c>
      <c r="M442">
        <v>37</v>
      </c>
      <c r="N442" t="s">
        <v>26</v>
      </c>
      <c r="O442">
        <v>14</v>
      </c>
      <c r="P442">
        <v>244</v>
      </c>
      <c r="Q442" s="27" t="str">
        <f>IF(D442=Pivot!$AS$4,R441, "")</f>
        <v/>
      </c>
      <c r="R442" t="s">
        <v>34</v>
      </c>
      <c r="S442" s="5">
        <v>5.74</v>
      </c>
      <c r="T442">
        <v>83.52</v>
      </c>
      <c r="U442">
        <v>146.34</v>
      </c>
      <c r="V442" s="27">
        <f t="shared" si="24"/>
        <v>5.8</v>
      </c>
      <c r="W442">
        <f t="shared" si="25"/>
        <v>383.64</v>
      </c>
      <c r="X442" s="33" t="str">
        <f t="shared" si="26"/>
        <v>High Quality</v>
      </c>
      <c r="Y442" s="27" t="str">
        <f t="shared" si="27"/>
        <v>2</v>
      </c>
    </row>
    <row r="443" spans="1:25" x14ac:dyDescent="0.25">
      <c r="A443" s="1">
        <v>45412</v>
      </c>
      <c r="B443" t="s">
        <v>20</v>
      </c>
      <c r="C443">
        <v>2</v>
      </c>
      <c r="D443" t="s">
        <v>76</v>
      </c>
      <c r="E443" t="s">
        <v>22</v>
      </c>
      <c r="F443" t="s">
        <v>62</v>
      </c>
      <c r="G443" t="s">
        <v>39</v>
      </c>
      <c r="H443" t="s">
        <v>40</v>
      </c>
      <c r="I443">
        <v>1</v>
      </c>
      <c r="J443">
        <v>15.46</v>
      </c>
      <c r="K443">
        <v>8</v>
      </c>
      <c r="L443">
        <v>130.85</v>
      </c>
      <c r="M443">
        <v>47</v>
      </c>
      <c r="N443" t="s">
        <v>41</v>
      </c>
      <c r="O443">
        <v>25</v>
      </c>
      <c r="P443">
        <v>767</v>
      </c>
      <c r="Q443" s="27" t="str">
        <f>IF(D443=Pivot!$AS$4,R442, "")</f>
        <v/>
      </c>
      <c r="R443" t="s">
        <v>46</v>
      </c>
      <c r="S443" s="5">
        <v>3.26</v>
      </c>
      <c r="T443">
        <v>92.48</v>
      </c>
      <c r="U443">
        <v>102.5</v>
      </c>
      <c r="V443" s="27">
        <f t="shared" si="24"/>
        <v>123.68</v>
      </c>
      <c r="W443">
        <f t="shared" si="25"/>
        <v>233.35</v>
      </c>
      <c r="X443" s="33" t="str">
        <f t="shared" si="26"/>
        <v>Low Quality</v>
      </c>
      <c r="Y443" s="27" t="str">
        <f t="shared" si="27"/>
        <v>16</v>
      </c>
    </row>
    <row r="444" spans="1:25" x14ac:dyDescent="0.25">
      <c r="A444" s="1">
        <v>45576</v>
      </c>
      <c r="B444" t="s">
        <v>65</v>
      </c>
      <c r="C444">
        <v>1</v>
      </c>
      <c r="D444" t="s">
        <v>88</v>
      </c>
      <c r="E444" t="s">
        <v>30</v>
      </c>
      <c r="F444" t="s">
        <v>44</v>
      </c>
      <c r="G444" t="s">
        <v>60</v>
      </c>
      <c r="H444" t="s">
        <v>25</v>
      </c>
      <c r="I444">
        <v>2</v>
      </c>
      <c r="J444">
        <v>14.55</v>
      </c>
      <c r="K444">
        <v>4</v>
      </c>
      <c r="L444">
        <v>360.1</v>
      </c>
      <c r="M444">
        <v>33</v>
      </c>
      <c r="N444" t="s">
        <v>63</v>
      </c>
      <c r="O444">
        <v>36</v>
      </c>
      <c r="P444">
        <v>789</v>
      </c>
      <c r="Q444" s="27" t="str">
        <f>IF(D444=Pivot!$AS$4,R443, "")</f>
        <v/>
      </c>
      <c r="R444" t="s">
        <v>57</v>
      </c>
      <c r="S444" s="5">
        <v>4.5599999999999996</v>
      </c>
      <c r="T444">
        <v>88.88</v>
      </c>
      <c r="U444">
        <v>198.06</v>
      </c>
      <c r="V444" s="27">
        <f t="shared" si="24"/>
        <v>116.4</v>
      </c>
      <c r="W444">
        <f t="shared" si="25"/>
        <v>558.16000000000008</v>
      </c>
      <c r="X444" s="33" t="str">
        <f t="shared" si="26"/>
        <v>Mid Quality</v>
      </c>
      <c r="Y444" s="27" t="str">
        <f t="shared" si="27"/>
        <v>16</v>
      </c>
    </row>
    <row r="445" spans="1:25" x14ac:dyDescent="0.25">
      <c r="A445" s="1">
        <v>45513</v>
      </c>
      <c r="B445" t="s">
        <v>35</v>
      </c>
      <c r="C445">
        <v>1</v>
      </c>
      <c r="D445" t="s">
        <v>76</v>
      </c>
      <c r="E445" t="s">
        <v>51</v>
      </c>
      <c r="F445" t="s">
        <v>86</v>
      </c>
      <c r="G445" t="s">
        <v>60</v>
      </c>
      <c r="H445" t="s">
        <v>40</v>
      </c>
      <c r="I445">
        <v>3</v>
      </c>
      <c r="J445">
        <v>7.96</v>
      </c>
      <c r="K445">
        <v>5</v>
      </c>
      <c r="L445">
        <v>304.27999999999997</v>
      </c>
      <c r="M445">
        <v>61</v>
      </c>
      <c r="N445" t="s">
        <v>49</v>
      </c>
      <c r="O445">
        <v>4</v>
      </c>
      <c r="P445">
        <v>957</v>
      </c>
      <c r="Q445" s="27" t="str">
        <f>IF(D445=Pivot!$AS$4,R444, "")</f>
        <v/>
      </c>
      <c r="R445" t="s">
        <v>27</v>
      </c>
      <c r="S445" s="5">
        <v>0.42</v>
      </c>
      <c r="T445">
        <v>96.16</v>
      </c>
      <c r="U445">
        <v>309.35000000000002</v>
      </c>
      <c r="V445" s="27">
        <f t="shared" si="24"/>
        <v>119.4</v>
      </c>
      <c r="W445">
        <f t="shared" si="25"/>
        <v>613.63</v>
      </c>
      <c r="X445" s="33" t="str">
        <f t="shared" si="26"/>
        <v>Mid Quality</v>
      </c>
      <c r="Y445" s="27" t="str">
        <f t="shared" si="27"/>
        <v>8</v>
      </c>
    </row>
    <row r="446" spans="1:25" x14ac:dyDescent="0.25">
      <c r="A446" s="1">
        <v>45487</v>
      </c>
      <c r="B446" t="s">
        <v>20</v>
      </c>
      <c r="C446">
        <v>1</v>
      </c>
      <c r="D446" t="s">
        <v>80</v>
      </c>
      <c r="E446" t="s">
        <v>22</v>
      </c>
      <c r="F446" t="s">
        <v>59</v>
      </c>
      <c r="G446" t="s">
        <v>24</v>
      </c>
      <c r="H446" t="s">
        <v>48</v>
      </c>
      <c r="I446">
        <v>4</v>
      </c>
      <c r="J446">
        <v>2.0099999999999998</v>
      </c>
      <c r="K446">
        <v>7</v>
      </c>
      <c r="L446">
        <v>436.4</v>
      </c>
      <c r="M446">
        <v>9</v>
      </c>
      <c r="N446" t="s">
        <v>63</v>
      </c>
      <c r="O446">
        <v>47</v>
      </c>
      <c r="P446">
        <v>747</v>
      </c>
      <c r="Q446" s="27" t="str">
        <f>IF(D446=Pivot!$AS$4,R445, "")</f>
        <v>Kontrol tekrarlandı</v>
      </c>
      <c r="R446" t="s">
        <v>34</v>
      </c>
      <c r="S446" s="5">
        <v>6.29</v>
      </c>
      <c r="T446">
        <v>83.42</v>
      </c>
      <c r="U446">
        <v>65.459999999999994</v>
      </c>
      <c r="V446" s="27">
        <f t="shared" si="24"/>
        <v>56.279999999999994</v>
      </c>
      <c r="W446">
        <f t="shared" si="25"/>
        <v>501.85999999999996</v>
      </c>
      <c r="X446" s="33" t="str">
        <f t="shared" si="26"/>
        <v>High Quality</v>
      </c>
      <c r="Y446" s="27" t="str">
        <f t="shared" si="27"/>
        <v>4</v>
      </c>
    </row>
    <row r="447" spans="1:25" x14ac:dyDescent="0.25">
      <c r="A447" s="1">
        <v>45392</v>
      </c>
      <c r="B447" t="s">
        <v>28</v>
      </c>
      <c r="C447">
        <v>3</v>
      </c>
      <c r="D447" t="s">
        <v>36</v>
      </c>
      <c r="E447" t="s">
        <v>37</v>
      </c>
      <c r="F447" t="s">
        <v>81</v>
      </c>
      <c r="G447" t="s">
        <v>32</v>
      </c>
      <c r="H447" t="s">
        <v>40</v>
      </c>
      <c r="I447">
        <v>4</v>
      </c>
      <c r="J447">
        <v>15.34</v>
      </c>
      <c r="K447">
        <v>8</v>
      </c>
      <c r="L447">
        <v>102.86</v>
      </c>
      <c r="M447">
        <v>64</v>
      </c>
      <c r="N447" t="s">
        <v>49</v>
      </c>
      <c r="O447">
        <v>15</v>
      </c>
      <c r="P447">
        <v>926</v>
      </c>
      <c r="Q447" s="27" t="str">
        <f>IF(D447=Pivot!$AS$4,R446, "")</f>
        <v/>
      </c>
      <c r="R447" t="s">
        <v>34</v>
      </c>
      <c r="S447" s="5">
        <v>1.62</v>
      </c>
      <c r="T447">
        <v>92.76</v>
      </c>
      <c r="U447">
        <v>109.72</v>
      </c>
      <c r="V447" s="27">
        <f t="shared" si="24"/>
        <v>490.88</v>
      </c>
      <c r="W447">
        <f t="shared" si="25"/>
        <v>212.57999999999998</v>
      </c>
      <c r="X447" s="33" t="str">
        <f t="shared" si="26"/>
        <v>Low Quality</v>
      </c>
      <c r="Y447" s="27" t="str">
        <f t="shared" si="27"/>
        <v>16</v>
      </c>
    </row>
    <row r="448" spans="1:25" x14ac:dyDescent="0.25">
      <c r="A448" s="1">
        <v>45366</v>
      </c>
      <c r="B448" t="s">
        <v>50</v>
      </c>
      <c r="C448">
        <v>2</v>
      </c>
      <c r="D448" t="s">
        <v>77</v>
      </c>
      <c r="E448" t="s">
        <v>30</v>
      </c>
      <c r="F448" t="s">
        <v>70</v>
      </c>
      <c r="G448" t="s">
        <v>39</v>
      </c>
      <c r="H448" t="s">
        <v>48</v>
      </c>
      <c r="I448">
        <v>3</v>
      </c>
      <c r="J448">
        <v>19.149999999999999</v>
      </c>
      <c r="K448">
        <v>7</v>
      </c>
      <c r="L448">
        <v>403.55</v>
      </c>
      <c r="M448">
        <v>74</v>
      </c>
      <c r="N448" t="s">
        <v>45</v>
      </c>
      <c r="O448">
        <v>32</v>
      </c>
      <c r="P448">
        <v>117</v>
      </c>
      <c r="Q448" s="27" t="str">
        <f>IF(D448=Pivot!$AS$4,R447, "")</f>
        <v/>
      </c>
      <c r="R448" t="s">
        <v>57</v>
      </c>
      <c r="S448" s="5">
        <v>27.35</v>
      </c>
      <c r="T448">
        <v>42.3</v>
      </c>
      <c r="U448">
        <v>497.71</v>
      </c>
      <c r="V448" s="27">
        <f t="shared" si="24"/>
        <v>402.15</v>
      </c>
      <c r="W448">
        <f t="shared" si="25"/>
        <v>901.26</v>
      </c>
      <c r="X448" s="33" t="str">
        <f t="shared" si="26"/>
        <v>Low Quality</v>
      </c>
      <c r="Y448" s="27" t="str">
        <f t="shared" si="27"/>
        <v>20</v>
      </c>
    </row>
    <row r="449" spans="1:25" x14ac:dyDescent="0.25">
      <c r="A449" s="1">
        <v>45368</v>
      </c>
      <c r="B449" t="s">
        <v>20</v>
      </c>
      <c r="C449">
        <v>1</v>
      </c>
      <c r="D449" t="s">
        <v>85</v>
      </c>
      <c r="E449" t="s">
        <v>37</v>
      </c>
      <c r="F449" t="s">
        <v>44</v>
      </c>
      <c r="G449" t="s">
        <v>52</v>
      </c>
      <c r="H449" t="s">
        <v>40</v>
      </c>
      <c r="I449">
        <v>1</v>
      </c>
      <c r="J449">
        <v>5.56</v>
      </c>
      <c r="K449">
        <v>2</v>
      </c>
      <c r="L449">
        <v>353.08</v>
      </c>
      <c r="M449">
        <v>6</v>
      </c>
      <c r="N449" t="s">
        <v>41</v>
      </c>
      <c r="O449">
        <v>18</v>
      </c>
      <c r="P449">
        <v>450</v>
      </c>
      <c r="Q449" s="27" t="str">
        <f>IF(D449=Pivot!$AS$4,R448, "")</f>
        <v/>
      </c>
      <c r="R449" t="s">
        <v>46</v>
      </c>
      <c r="S449" s="5">
        <v>4</v>
      </c>
      <c r="T449">
        <v>91</v>
      </c>
      <c r="U449">
        <v>35.31</v>
      </c>
      <c r="V449" s="27">
        <f t="shared" si="24"/>
        <v>11.12</v>
      </c>
      <c r="W449">
        <f t="shared" si="25"/>
        <v>388.39</v>
      </c>
      <c r="X449" s="33" t="str">
        <f t="shared" si="26"/>
        <v>High Quality</v>
      </c>
      <c r="Y449" s="27" t="str">
        <f t="shared" si="27"/>
        <v>6</v>
      </c>
    </row>
    <row r="450" spans="1:25" x14ac:dyDescent="0.25">
      <c r="A450" s="1">
        <v>45534</v>
      </c>
      <c r="B450" t="s">
        <v>50</v>
      </c>
      <c r="C450">
        <v>1</v>
      </c>
      <c r="D450" t="s">
        <v>64</v>
      </c>
      <c r="E450" t="s">
        <v>67</v>
      </c>
      <c r="F450" t="s">
        <v>59</v>
      </c>
      <c r="G450" t="s">
        <v>52</v>
      </c>
      <c r="H450" t="s">
        <v>40</v>
      </c>
      <c r="I450">
        <v>3</v>
      </c>
      <c r="J450">
        <v>7.15</v>
      </c>
      <c r="K450">
        <v>4</v>
      </c>
      <c r="L450">
        <v>101.75</v>
      </c>
      <c r="M450">
        <v>74</v>
      </c>
      <c r="N450" t="s">
        <v>49</v>
      </c>
      <c r="O450">
        <v>14</v>
      </c>
      <c r="P450">
        <v>254</v>
      </c>
      <c r="Q450" s="27" t="str">
        <f>IF(D450=Pivot!$AS$4,R449, "")</f>
        <v/>
      </c>
      <c r="R450" t="s">
        <v>57</v>
      </c>
      <c r="S450" s="5">
        <v>5.51</v>
      </c>
      <c r="T450">
        <v>85.98</v>
      </c>
      <c r="U450">
        <v>125.49</v>
      </c>
      <c r="V450" s="27">
        <f t="shared" ref="V450:V513" si="28">K450*I450*J450</f>
        <v>85.800000000000011</v>
      </c>
      <c r="W450">
        <f t="shared" ref="W450:W513" si="29">U450+L450</f>
        <v>227.24</v>
      </c>
      <c r="X450" s="33" t="str">
        <f t="shared" ref="X450:X513" si="30">_xlfn.IFS(J450&lt;6,"High Quality",J450&lt;=15,"Mid Quality",J450&gt;15,"Low Quality")</f>
        <v>Mid Quality</v>
      </c>
      <c r="Y450" s="27" t="str">
        <f t="shared" ref="Y450:Y513" si="31">_xlfn.IFS(J450&lt;=0,"0",J450&lt;=2,"2",J450&lt;=4,"4",J450&lt;=6,"6",J450&lt;=8,"8",J450&lt;=10,"10",J450&lt;=12,"12",J450&lt;=14,"14",J450&lt;=16,"16",J450&lt;=16,"16",J450&lt;=18,"18",J450&lt;=20,"20")</f>
        <v>8</v>
      </c>
    </row>
    <row r="451" spans="1:25" x14ac:dyDescent="0.25">
      <c r="A451" s="1">
        <v>45296</v>
      </c>
      <c r="B451" t="s">
        <v>65</v>
      </c>
      <c r="C451">
        <v>2</v>
      </c>
      <c r="D451" t="s">
        <v>43</v>
      </c>
      <c r="E451" t="s">
        <v>30</v>
      </c>
      <c r="F451" t="s">
        <v>87</v>
      </c>
      <c r="G451" t="s">
        <v>24</v>
      </c>
      <c r="H451" t="s">
        <v>61</v>
      </c>
      <c r="I451">
        <v>1</v>
      </c>
      <c r="J451">
        <v>4.49</v>
      </c>
      <c r="K451">
        <v>1</v>
      </c>
      <c r="L451">
        <v>362.67</v>
      </c>
      <c r="M451">
        <v>47</v>
      </c>
      <c r="N451" t="s">
        <v>63</v>
      </c>
      <c r="O451">
        <v>1</v>
      </c>
      <c r="P451">
        <v>883</v>
      </c>
      <c r="Q451" s="27" t="str">
        <f>IF(D451=Pivot!$AS$4,R450, "")</f>
        <v/>
      </c>
      <c r="R451" t="s">
        <v>42</v>
      </c>
      <c r="S451" s="5">
        <v>0.11</v>
      </c>
      <c r="T451">
        <v>98.78</v>
      </c>
      <c r="U451">
        <v>284.08999999999997</v>
      </c>
      <c r="V451" s="27">
        <f t="shared" si="28"/>
        <v>4.49</v>
      </c>
      <c r="W451">
        <f t="shared" si="29"/>
        <v>646.76</v>
      </c>
      <c r="X451" s="33" t="str">
        <f t="shared" si="30"/>
        <v>High Quality</v>
      </c>
      <c r="Y451" s="27" t="str">
        <f t="shared" si="31"/>
        <v>6</v>
      </c>
    </row>
    <row r="452" spans="1:25" x14ac:dyDescent="0.25">
      <c r="A452" s="1">
        <v>45382</v>
      </c>
      <c r="B452" t="s">
        <v>35</v>
      </c>
      <c r="C452">
        <v>1</v>
      </c>
      <c r="D452" t="s">
        <v>71</v>
      </c>
      <c r="E452" t="s">
        <v>22</v>
      </c>
      <c r="F452" t="s">
        <v>23</v>
      </c>
      <c r="G452" t="s">
        <v>39</v>
      </c>
      <c r="H452" t="s">
        <v>25</v>
      </c>
      <c r="I452">
        <v>2</v>
      </c>
      <c r="J452">
        <v>11.96</v>
      </c>
      <c r="K452">
        <v>9</v>
      </c>
      <c r="L452">
        <v>248.7</v>
      </c>
      <c r="M452">
        <v>8</v>
      </c>
      <c r="N452" t="s">
        <v>41</v>
      </c>
      <c r="O452">
        <v>42</v>
      </c>
      <c r="P452">
        <v>605</v>
      </c>
      <c r="Q452" s="27" t="str">
        <f>IF(D452=Pivot!$AS$4,R451, "")</f>
        <v/>
      </c>
      <c r="R452" t="s">
        <v>57</v>
      </c>
      <c r="S452" s="5">
        <v>6.94</v>
      </c>
      <c r="T452">
        <v>84.12</v>
      </c>
      <c r="U452">
        <v>33.159999999999997</v>
      </c>
      <c r="V452" s="27">
        <f t="shared" si="28"/>
        <v>215.28000000000003</v>
      </c>
      <c r="W452">
        <f t="shared" si="29"/>
        <v>281.86</v>
      </c>
      <c r="X452" s="33" t="str">
        <f t="shared" si="30"/>
        <v>Mid Quality</v>
      </c>
      <c r="Y452" s="27" t="str">
        <f t="shared" si="31"/>
        <v>12</v>
      </c>
    </row>
    <row r="453" spans="1:25" x14ac:dyDescent="0.25">
      <c r="A453" s="1">
        <v>45507</v>
      </c>
      <c r="B453" t="s">
        <v>75</v>
      </c>
      <c r="C453">
        <v>2</v>
      </c>
      <c r="D453" t="s">
        <v>77</v>
      </c>
      <c r="E453" t="s">
        <v>30</v>
      </c>
      <c r="F453" t="s">
        <v>70</v>
      </c>
      <c r="G453" t="s">
        <v>39</v>
      </c>
      <c r="H453" t="s">
        <v>25</v>
      </c>
      <c r="I453">
        <v>3</v>
      </c>
      <c r="J453">
        <v>3.94</v>
      </c>
      <c r="K453">
        <v>3</v>
      </c>
      <c r="L453">
        <v>475.24</v>
      </c>
      <c r="M453">
        <v>60</v>
      </c>
      <c r="N453" t="s">
        <v>41</v>
      </c>
      <c r="O453">
        <v>20</v>
      </c>
      <c r="P453">
        <v>877</v>
      </c>
      <c r="Q453" s="27" t="str">
        <f>IF(D453=Pivot!$AS$4,R452, "")</f>
        <v/>
      </c>
      <c r="R453" t="s">
        <v>42</v>
      </c>
      <c r="S453" s="5">
        <v>2.2799999999999998</v>
      </c>
      <c r="T453">
        <v>92.44</v>
      </c>
      <c r="U453">
        <v>475.24</v>
      </c>
      <c r="V453" s="27">
        <f t="shared" si="28"/>
        <v>35.46</v>
      </c>
      <c r="W453">
        <f t="shared" si="29"/>
        <v>950.48</v>
      </c>
      <c r="X453" s="33" t="str">
        <f t="shared" si="30"/>
        <v>High Quality</v>
      </c>
      <c r="Y453" s="27" t="str">
        <f t="shared" si="31"/>
        <v>4</v>
      </c>
    </row>
    <row r="454" spans="1:25" x14ac:dyDescent="0.25">
      <c r="A454" s="1">
        <v>45547</v>
      </c>
      <c r="B454" t="s">
        <v>35</v>
      </c>
      <c r="C454">
        <v>2</v>
      </c>
      <c r="D454" t="s">
        <v>36</v>
      </c>
      <c r="E454" t="s">
        <v>37</v>
      </c>
      <c r="F454" t="s">
        <v>87</v>
      </c>
      <c r="G454" t="s">
        <v>24</v>
      </c>
      <c r="H454" t="s">
        <v>33</v>
      </c>
      <c r="I454">
        <v>1</v>
      </c>
      <c r="J454">
        <v>7.77</v>
      </c>
      <c r="K454">
        <v>3</v>
      </c>
      <c r="L454">
        <v>113.73</v>
      </c>
      <c r="M454">
        <v>63</v>
      </c>
      <c r="N454" t="s">
        <v>49</v>
      </c>
      <c r="O454">
        <v>10</v>
      </c>
      <c r="P454">
        <v>459</v>
      </c>
      <c r="Q454" s="27" t="str">
        <f>IF(D454=Pivot!$AS$4,R453, "")</f>
        <v/>
      </c>
      <c r="R454" t="s">
        <v>27</v>
      </c>
      <c r="S454" s="5">
        <v>2.1800000000000002</v>
      </c>
      <c r="T454">
        <v>94.64</v>
      </c>
      <c r="U454">
        <v>119.42</v>
      </c>
      <c r="V454" s="27">
        <f t="shared" si="28"/>
        <v>23.31</v>
      </c>
      <c r="W454">
        <f t="shared" si="29"/>
        <v>233.15</v>
      </c>
      <c r="X454" s="33" t="str">
        <f t="shared" si="30"/>
        <v>Mid Quality</v>
      </c>
      <c r="Y454" s="27" t="str">
        <f t="shared" si="31"/>
        <v>8</v>
      </c>
    </row>
    <row r="455" spans="1:25" x14ac:dyDescent="0.25">
      <c r="A455" s="1">
        <v>45360</v>
      </c>
      <c r="B455" t="s">
        <v>20</v>
      </c>
      <c r="C455">
        <v>2</v>
      </c>
      <c r="D455" t="s">
        <v>79</v>
      </c>
      <c r="E455" t="s">
        <v>51</v>
      </c>
      <c r="F455" t="s">
        <v>68</v>
      </c>
      <c r="G455" t="s">
        <v>39</v>
      </c>
      <c r="H455" t="s">
        <v>61</v>
      </c>
      <c r="I455">
        <v>2</v>
      </c>
      <c r="J455">
        <v>14.24</v>
      </c>
      <c r="K455">
        <v>9</v>
      </c>
      <c r="L455">
        <v>339.28</v>
      </c>
      <c r="M455">
        <v>13</v>
      </c>
      <c r="N455" t="s">
        <v>49</v>
      </c>
      <c r="O455">
        <v>10</v>
      </c>
      <c r="P455">
        <v>431</v>
      </c>
      <c r="Q455" s="27" t="str">
        <f>IF(D455=Pivot!$AS$4,R454, "")</f>
        <v/>
      </c>
      <c r="R455" t="s">
        <v>34</v>
      </c>
      <c r="S455" s="5">
        <v>2.3199999999999998</v>
      </c>
      <c r="T455">
        <v>93.36</v>
      </c>
      <c r="U455">
        <v>73.510000000000005</v>
      </c>
      <c r="V455" s="27">
        <f t="shared" si="28"/>
        <v>256.32</v>
      </c>
      <c r="W455">
        <f t="shared" si="29"/>
        <v>412.78999999999996</v>
      </c>
      <c r="X455" s="33" t="str">
        <f t="shared" si="30"/>
        <v>Mid Quality</v>
      </c>
      <c r="Y455" s="27" t="str">
        <f t="shared" si="31"/>
        <v>16</v>
      </c>
    </row>
    <row r="456" spans="1:25" x14ac:dyDescent="0.25">
      <c r="A456" s="1">
        <v>45556</v>
      </c>
      <c r="B456" t="s">
        <v>50</v>
      </c>
      <c r="C456">
        <v>2</v>
      </c>
      <c r="D456" t="s">
        <v>74</v>
      </c>
      <c r="E456" t="s">
        <v>30</v>
      </c>
      <c r="F456" t="s">
        <v>78</v>
      </c>
      <c r="G456" t="s">
        <v>32</v>
      </c>
      <c r="H456" t="s">
        <v>61</v>
      </c>
      <c r="I456">
        <v>3</v>
      </c>
      <c r="J456">
        <v>11.64</v>
      </c>
      <c r="K456">
        <v>3</v>
      </c>
      <c r="L456">
        <v>221.89</v>
      </c>
      <c r="M456">
        <v>7</v>
      </c>
      <c r="N456" t="s">
        <v>55</v>
      </c>
      <c r="O456">
        <v>24</v>
      </c>
      <c r="P456">
        <v>627</v>
      </c>
      <c r="Q456" s="27" t="str">
        <f>IF(D456=Pivot!$AS$4,R455, "")</f>
        <v/>
      </c>
      <c r="R456" t="s">
        <v>34</v>
      </c>
      <c r="S456" s="5">
        <v>3.83</v>
      </c>
      <c r="T456">
        <v>89.34</v>
      </c>
      <c r="U456">
        <v>25.89</v>
      </c>
      <c r="V456" s="27">
        <f t="shared" si="28"/>
        <v>104.76</v>
      </c>
      <c r="W456">
        <f t="shared" si="29"/>
        <v>247.77999999999997</v>
      </c>
      <c r="X456" s="33" t="str">
        <f t="shared" si="30"/>
        <v>Mid Quality</v>
      </c>
      <c r="Y456" s="27" t="str">
        <f t="shared" si="31"/>
        <v>12</v>
      </c>
    </row>
    <row r="457" spans="1:25" x14ac:dyDescent="0.25">
      <c r="A457" s="1">
        <v>45565</v>
      </c>
      <c r="B457" t="s">
        <v>50</v>
      </c>
      <c r="C457">
        <v>2</v>
      </c>
      <c r="D457" t="s">
        <v>85</v>
      </c>
      <c r="E457" t="s">
        <v>22</v>
      </c>
      <c r="F457" t="s">
        <v>68</v>
      </c>
      <c r="G457" t="s">
        <v>24</v>
      </c>
      <c r="H457" t="s">
        <v>25</v>
      </c>
      <c r="I457">
        <v>4</v>
      </c>
      <c r="J457">
        <v>8.34</v>
      </c>
      <c r="K457">
        <v>8</v>
      </c>
      <c r="L457">
        <v>480.57</v>
      </c>
      <c r="M457">
        <v>52</v>
      </c>
      <c r="N457" t="s">
        <v>55</v>
      </c>
      <c r="O457">
        <v>34</v>
      </c>
      <c r="P457">
        <v>111</v>
      </c>
      <c r="Q457" s="27" t="str">
        <f>IF(D457=Pivot!$AS$4,R456, "")</f>
        <v/>
      </c>
      <c r="R457" t="s">
        <v>46</v>
      </c>
      <c r="S457" s="5">
        <v>30.63</v>
      </c>
      <c r="T457">
        <v>34.74</v>
      </c>
      <c r="U457">
        <v>416.49</v>
      </c>
      <c r="V457" s="27">
        <f t="shared" si="28"/>
        <v>266.88</v>
      </c>
      <c r="W457">
        <f t="shared" si="29"/>
        <v>897.06</v>
      </c>
      <c r="X457" s="33" t="str">
        <f t="shared" si="30"/>
        <v>Mid Quality</v>
      </c>
      <c r="Y457" s="27" t="str">
        <f t="shared" si="31"/>
        <v>10</v>
      </c>
    </row>
    <row r="458" spans="1:25" x14ac:dyDescent="0.25">
      <c r="A458" s="1">
        <v>45453</v>
      </c>
      <c r="B458" t="s">
        <v>28</v>
      </c>
      <c r="C458">
        <v>3</v>
      </c>
      <c r="D458" t="s">
        <v>21</v>
      </c>
      <c r="E458" t="s">
        <v>67</v>
      </c>
      <c r="F458" t="s">
        <v>78</v>
      </c>
      <c r="G458" t="s">
        <v>32</v>
      </c>
      <c r="H458" t="s">
        <v>61</v>
      </c>
      <c r="I458">
        <v>3</v>
      </c>
      <c r="J458">
        <v>8.98</v>
      </c>
      <c r="K458">
        <v>2</v>
      </c>
      <c r="L458">
        <v>198.49</v>
      </c>
      <c r="M458">
        <v>47</v>
      </c>
      <c r="N458" t="s">
        <v>41</v>
      </c>
      <c r="O458">
        <v>28</v>
      </c>
      <c r="P458">
        <v>174</v>
      </c>
      <c r="Q458" s="27" t="str">
        <f>IF(D458=Pivot!$AS$4,R457, "")</f>
        <v/>
      </c>
      <c r="R458" t="s">
        <v>57</v>
      </c>
      <c r="S458" s="5">
        <v>16.09</v>
      </c>
      <c r="T458">
        <v>64.819999999999993</v>
      </c>
      <c r="U458">
        <v>155.47999999999999</v>
      </c>
      <c r="V458" s="27">
        <f t="shared" si="28"/>
        <v>53.88</v>
      </c>
      <c r="W458">
        <f t="shared" si="29"/>
        <v>353.97</v>
      </c>
      <c r="X458" s="33" t="str">
        <f t="shared" si="30"/>
        <v>Mid Quality</v>
      </c>
      <c r="Y458" s="27" t="str">
        <f t="shared" si="31"/>
        <v>10</v>
      </c>
    </row>
    <row r="459" spans="1:25" x14ac:dyDescent="0.25">
      <c r="A459" s="1">
        <v>45541</v>
      </c>
      <c r="B459" t="s">
        <v>50</v>
      </c>
      <c r="C459">
        <v>1</v>
      </c>
      <c r="D459" t="s">
        <v>47</v>
      </c>
      <c r="E459" t="s">
        <v>51</v>
      </c>
      <c r="F459" t="s">
        <v>70</v>
      </c>
      <c r="G459" t="s">
        <v>39</v>
      </c>
      <c r="H459" t="s">
        <v>25</v>
      </c>
      <c r="I459">
        <v>5</v>
      </c>
      <c r="J459">
        <v>11.68</v>
      </c>
      <c r="K459">
        <v>3</v>
      </c>
      <c r="L459">
        <v>482.98</v>
      </c>
      <c r="M459">
        <v>5</v>
      </c>
      <c r="N459" t="s">
        <v>26</v>
      </c>
      <c r="O459">
        <v>27</v>
      </c>
      <c r="P459">
        <v>311</v>
      </c>
      <c r="Q459" s="27" t="str">
        <f>IF(D459=Pivot!$AS$4,R458, "")</f>
        <v/>
      </c>
      <c r="R459" t="s">
        <v>27</v>
      </c>
      <c r="S459" s="5">
        <v>8.68</v>
      </c>
      <c r="T459">
        <v>77.64</v>
      </c>
      <c r="U459">
        <v>40.25</v>
      </c>
      <c r="V459" s="27">
        <f t="shared" si="28"/>
        <v>175.2</v>
      </c>
      <c r="W459">
        <f t="shared" si="29"/>
        <v>523.23</v>
      </c>
      <c r="X459" s="33" t="str">
        <f t="shared" si="30"/>
        <v>Mid Quality</v>
      </c>
      <c r="Y459" s="27" t="str">
        <f t="shared" si="31"/>
        <v>12</v>
      </c>
    </row>
    <row r="460" spans="1:25" x14ac:dyDescent="0.25">
      <c r="A460" s="1">
        <v>45445</v>
      </c>
      <c r="B460" t="s">
        <v>28</v>
      </c>
      <c r="C460">
        <v>3</v>
      </c>
      <c r="D460" t="s">
        <v>79</v>
      </c>
      <c r="E460" t="s">
        <v>67</v>
      </c>
      <c r="F460" t="s">
        <v>38</v>
      </c>
      <c r="G460" t="s">
        <v>24</v>
      </c>
      <c r="H460" t="s">
        <v>61</v>
      </c>
      <c r="I460">
        <v>3</v>
      </c>
      <c r="J460">
        <v>1.1100000000000001</v>
      </c>
      <c r="K460">
        <v>2</v>
      </c>
      <c r="L460">
        <v>455.67</v>
      </c>
      <c r="M460">
        <v>61</v>
      </c>
      <c r="N460" t="s">
        <v>26</v>
      </c>
      <c r="O460">
        <v>40</v>
      </c>
      <c r="P460">
        <v>790</v>
      </c>
      <c r="Q460" s="27" t="str">
        <f>IF(D460=Pivot!$AS$4,R459, "")</f>
        <v/>
      </c>
      <c r="R460" t="s">
        <v>42</v>
      </c>
      <c r="S460" s="5">
        <v>5.0599999999999996</v>
      </c>
      <c r="T460">
        <v>86.88</v>
      </c>
      <c r="U460">
        <v>463.26</v>
      </c>
      <c r="V460" s="27">
        <f t="shared" si="28"/>
        <v>6.66</v>
      </c>
      <c r="W460">
        <f t="shared" si="29"/>
        <v>918.93000000000006</v>
      </c>
      <c r="X460" s="33" t="str">
        <f t="shared" si="30"/>
        <v>High Quality</v>
      </c>
      <c r="Y460" s="27" t="str">
        <f t="shared" si="31"/>
        <v>2</v>
      </c>
    </row>
    <row r="461" spans="1:25" x14ac:dyDescent="0.25">
      <c r="A461" s="1">
        <v>45420</v>
      </c>
      <c r="B461" t="s">
        <v>65</v>
      </c>
      <c r="C461">
        <v>1</v>
      </c>
      <c r="D461" t="s">
        <v>83</v>
      </c>
      <c r="E461" t="s">
        <v>30</v>
      </c>
      <c r="F461" t="s">
        <v>68</v>
      </c>
      <c r="G461" t="s">
        <v>39</v>
      </c>
      <c r="H461" t="s">
        <v>40</v>
      </c>
      <c r="I461">
        <v>5</v>
      </c>
      <c r="J461">
        <v>2.4900000000000002</v>
      </c>
      <c r="K461">
        <v>1</v>
      </c>
      <c r="L461">
        <v>171.67</v>
      </c>
      <c r="M461">
        <v>57</v>
      </c>
      <c r="N461" t="s">
        <v>55</v>
      </c>
      <c r="O461">
        <v>1</v>
      </c>
      <c r="P461">
        <v>740</v>
      </c>
      <c r="Q461" s="27" t="str">
        <f>IF(D461=Pivot!$AS$4,R460, "")</f>
        <v/>
      </c>
      <c r="R461" t="s">
        <v>46</v>
      </c>
      <c r="S461" s="5">
        <v>0.14000000000000001</v>
      </c>
      <c r="T461">
        <v>94.72</v>
      </c>
      <c r="U461">
        <v>163.09</v>
      </c>
      <c r="V461" s="27">
        <f t="shared" si="28"/>
        <v>12.450000000000001</v>
      </c>
      <c r="W461">
        <f t="shared" si="29"/>
        <v>334.76</v>
      </c>
      <c r="X461" s="33" t="str">
        <f t="shared" si="30"/>
        <v>High Quality</v>
      </c>
      <c r="Y461" s="27" t="str">
        <f t="shared" si="31"/>
        <v>4</v>
      </c>
    </row>
    <row r="462" spans="1:25" x14ac:dyDescent="0.25">
      <c r="A462" s="1">
        <v>45579</v>
      </c>
      <c r="B462" t="s">
        <v>75</v>
      </c>
      <c r="C462">
        <v>3</v>
      </c>
      <c r="D462" t="s">
        <v>21</v>
      </c>
      <c r="E462" t="s">
        <v>37</v>
      </c>
      <c r="F462" t="s">
        <v>31</v>
      </c>
      <c r="G462" t="s">
        <v>24</v>
      </c>
      <c r="H462" t="s">
        <v>25</v>
      </c>
      <c r="I462">
        <v>2</v>
      </c>
      <c r="J462">
        <v>17.739999999999998</v>
      </c>
      <c r="K462">
        <v>2</v>
      </c>
      <c r="L462">
        <v>411.59</v>
      </c>
      <c r="M462">
        <v>20</v>
      </c>
      <c r="N462" t="s">
        <v>63</v>
      </c>
      <c r="O462">
        <v>33</v>
      </c>
      <c r="P462">
        <v>382</v>
      </c>
      <c r="Q462" s="27" t="str">
        <f>IF(D462=Pivot!$AS$4,R461, "")</f>
        <v/>
      </c>
      <c r="R462" t="s">
        <v>27</v>
      </c>
      <c r="S462" s="5">
        <v>8.64</v>
      </c>
      <c r="T462">
        <v>80.72</v>
      </c>
      <c r="U462">
        <v>137.19999999999999</v>
      </c>
      <c r="V462" s="27">
        <f t="shared" si="28"/>
        <v>70.959999999999994</v>
      </c>
      <c r="W462">
        <f t="shared" si="29"/>
        <v>548.79</v>
      </c>
      <c r="X462" s="33" t="str">
        <f t="shared" si="30"/>
        <v>Low Quality</v>
      </c>
      <c r="Y462" s="27" t="str">
        <f t="shared" si="31"/>
        <v>18</v>
      </c>
    </row>
    <row r="463" spans="1:25" x14ac:dyDescent="0.25">
      <c r="A463" s="1">
        <v>45582</v>
      </c>
      <c r="B463" t="s">
        <v>20</v>
      </c>
      <c r="C463">
        <v>2</v>
      </c>
      <c r="D463" t="s">
        <v>71</v>
      </c>
      <c r="E463" t="s">
        <v>37</v>
      </c>
      <c r="F463" t="s">
        <v>78</v>
      </c>
      <c r="G463" t="s">
        <v>39</v>
      </c>
      <c r="H463" t="s">
        <v>25</v>
      </c>
      <c r="I463">
        <v>3</v>
      </c>
      <c r="J463">
        <v>2.48</v>
      </c>
      <c r="K463">
        <v>8</v>
      </c>
      <c r="L463">
        <v>498.02</v>
      </c>
      <c r="M463">
        <v>55</v>
      </c>
      <c r="N463" t="s">
        <v>45</v>
      </c>
      <c r="O463">
        <v>4</v>
      </c>
      <c r="P463">
        <v>294</v>
      </c>
      <c r="Q463" s="27" t="str">
        <f>IF(D463=Pivot!$AS$4,R462, "")</f>
        <v/>
      </c>
      <c r="R463" t="s">
        <v>27</v>
      </c>
      <c r="S463" s="5">
        <v>1.36</v>
      </c>
      <c r="T463">
        <v>94.28</v>
      </c>
      <c r="U463">
        <v>456.52</v>
      </c>
      <c r="V463" s="27">
        <f t="shared" si="28"/>
        <v>59.519999999999996</v>
      </c>
      <c r="W463">
        <f t="shared" si="29"/>
        <v>954.54</v>
      </c>
      <c r="X463" s="33" t="str">
        <f t="shared" si="30"/>
        <v>High Quality</v>
      </c>
      <c r="Y463" s="27" t="str">
        <f t="shared" si="31"/>
        <v>4</v>
      </c>
    </row>
    <row r="464" spans="1:25" x14ac:dyDescent="0.25">
      <c r="A464" s="1">
        <v>45316</v>
      </c>
      <c r="B464" t="s">
        <v>28</v>
      </c>
      <c r="C464">
        <v>1</v>
      </c>
      <c r="D464" t="s">
        <v>43</v>
      </c>
      <c r="E464" t="s">
        <v>22</v>
      </c>
      <c r="F464" t="s">
        <v>68</v>
      </c>
      <c r="G464" t="s">
        <v>32</v>
      </c>
      <c r="H464" t="s">
        <v>48</v>
      </c>
      <c r="I464">
        <v>2</v>
      </c>
      <c r="J464">
        <v>14.43</v>
      </c>
      <c r="K464">
        <v>9</v>
      </c>
      <c r="L464">
        <v>163.69999999999999</v>
      </c>
      <c r="M464">
        <v>79</v>
      </c>
      <c r="N464" t="s">
        <v>41</v>
      </c>
      <c r="O464">
        <v>7</v>
      </c>
      <c r="P464">
        <v>879</v>
      </c>
      <c r="Q464" s="27" t="str">
        <f>IF(D464=Pivot!$AS$4,R463, "")</f>
        <v/>
      </c>
      <c r="R464" t="s">
        <v>42</v>
      </c>
      <c r="S464" s="5">
        <v>0.8</v>
      </c>
      <c r="T464">
        <v>96.4</v>
      </c>
      <c r="U464">
        <v>215.54</v>
      </c>
      <c r="V464" s="27">
        <f t="shared" si="28"/>
        <v>259.74</v>
      </c>
      <c r="W464">
        <f t="shared" si="29"/>
        <v>379.24</v>
      </c>
      <c r="X464" s="33" t="str">
        <f t="shared" si="30"/>
        <v>Mid Quality</v>
      </c>
      <c r="Y464" s="27" t="str">
        <f t="shared" si="31"/>
        <v>16</v>
      </c>
    </row>
    <row r="465" spans="1:25" x14ac:dyDescent="0.25">
      <c r="A465" s="1">
        <v>45495</v>
      </c>
      <c r="B465" t="s">
        <v>75</v>
      </c>
      <c r="C465">
        <v>1</v>
      </c>
      <c r="D465" t="s">
        <v>53</v>
      </c>
      <c r="E465" t="s">
        <v>37</v>
      </c>
      <c r="F465" t="s">
        <v>78</v>
      </c>
      <c r="G465" t="s">
        <v>32</v>
      </c>
      <c r="H465" t="s">
        <v>61</v>
      </c>
      <c r="I465">
        <v>2</v>
      </c>
      <c r="J465">
        <v>18.48</v>
      </c>
      <c r="K465">
        <v>2</v>
      </c>
      <c r="L465">
        <v>246.55</v>
      </c>
      <c r="M465">
        <v>59</v>
      </c>
      <c r="N465" t="s">
        <v>45</v>
      </c>
      <c r="O465">
        <v>9</v>
      </c>
      <c r="P465">
        <v>129</v>
      </c>
      <c r="Q465" s="27" t="str">
        <f>IF(D465=Pivot!$AS$4,R464, "")</f>
        <v/>
      </c>
      <c r="R465" t="s">
        <v>42</v>
      </c>
      <c r="S465" s="5">
        <v>6.98</v>
      </c>
      <c r="T465">
        <v>84.04</v>
      </c>
      <c r="U465">
        <v>242.44</v>
      </c>
      <c r="V465" s="27">
        <f t="shared" si="28"/>
        <v>73.92</v>
      </c>
      <c r="W465">
        <f t="shared" si="29"/>
        <v>488.99</v>
      </c>
      <c r="X465" s="33" t="str">
        <f t="shared" si="30"/>
        <v>Low Quality</v>
      </c>
      <c r="Y465" s="27" t="str">
        <f t="shared" si="31"/>
        <v>20</v>
      </c>
    </row>
    <row r="466" spans="1:25" x14ac:dyDescent="0.25">
      <c r="A466" s="1">
        <v>45342</v>
      </c>
      <c r="B466" t="s">
        <v>50</v>
      </c>
      <c r="C466">
        <v>3</v>
      </c>
      <c r="D466" t="s">
        <v>77</v>
      </c>
      <c r="E466" t="s">
        <v>51</v>
      </c>
      <c r="F466" t="s">
        <v>44</v>
      </c>
      <c r="G466" t="s">
        <v>39</v>
      </c>
      <c r="H466" t="s">
        <v>61</v>
      </c>
      <c r="I466">
        <v>1</v>
      </c>
      <c r="J466">
        <v>6.14</v>
      </c>
      <c r="K466">
        <v>7</v>
      </c>
      <c r="L466">
        <v>284.08</v>
      </c>
      <c r="M466">
        <v>5</v>
      </c>
      <c r="N466" t="s">
        <v>55</v>
      </c>
      <c r="O466">
        <v>16</v>
      </c>
      <c r="P466">
        <v>108</v>
      </c>
      <c r="Q466" s="27" t="str">
        <f>IF(D466=Pivot!$AS$4,R465, "")</f>
        <v/>
      </c>
      <c r="R466" t="s">
        <v>34</v>
      </c>
      <c r="S466" s="5">
        <v>14.81</v>
      </c>
      <c r="T466">
        <v>69.38</v>
      </c>
      <c r="U466">
        <v>23.67</v>
      </c>
      <c r="V466" s="27">
        <f t="shared" si="28"/>
        <v>42.98</v>
      </c>
      <c r="W466">
        <f t="shared" si="29"/>
        <v>307.75</v>
      </c>
      <c r="X466" s="33" t="str">
        <f t="shared" si="30"/>
        <v>Mid Quality</v>
      </c>
      <c r="Y466" s="27" t="str">
        <f t="shared" si="31"/>
        <v>8</v>
      </c>
    </row>
    <row r="467" spans="1:25" x14ac:dyDescent="0.25">
      <c r="A467" s="1">
        <v>45375</v>
      </c>
      <c r="B467" t="s">
        <v>50</v>
      </c>
      <c r="C467">
        <v>3</v>
      </c>
      <c r="D467" t="s">
        <v>21</v>
      </c>
      <c r="E467" t="s">
        <v>37</v>
      </c>
      <c r="F467" t="s">
        <v>68</v>
      </c>
      <c r="G467" t="s">
        <v>24</v>
      </c>
      <c r="H467" t="s">
        <v>25</v>
      </c>
      <c r="I467">
        <v>2</v>
      </c>
      <c r="J467">
        <v>8.0399999999999991</v>
      </c>
      <c r="K467">
        <v>5</v>
      </c>
      <c r="L467">
        <v>182.72</v>
      </c>
      <c r="M467">
        <v>32</v>
      </c>
      <c r="N467" t="s">
        <v>49</v>
      </c>
      <c r="O467">
        <v>5</v>
      </c>
      <c r="P467">
        <v>408</v>
      </c>
      <c r="Q467" s="27" t="str">
        <f>IF(D467=Pivot!$AS$4,R466, "")</f>
        <v/>
      </c>
      <c r="R467" t="s">
        <v>57</v>
      </c>
      <c r="S467" s="5">
        <v>1.23</v>
      </c>
      <c r="T467">
        <v>95.54</v>
      </c>
      <c r="U467">
        <v>97.45</v>
      </c>
      <c r="V467" s="27">
        <f t="shared" si="28"/>
        <v>80.399999999999991</v>
      </c>
      <c r="W467">
        <f t="shared" si="29"/>
        <v>280.17</v>
      </c>
      <c r="X467" s="33" t="str">
        <f t="shared" si="30"/>
        <v>Mid Quality</v>
      </c>
      <c r="Y467" s="27" t="str">
        <f t="shared" si="31"/>
        <v>10</v>
      </c>
    </row>
    <row r="468" spans="1:25" x14ac:dyDescent="0.25">
      <c r="A468" s="1">
        <v>45322</v>
      </c>
      <c r="B468" t="s">
        <v>75</v>
      </c>
      <c r="C468">
        <v>1</v>
      </c>
      <c r="D468" t="s">
        <v>29</v>
      </c>
      <c r="E468" t="s">
        <v>22</v>
      </c>
      <c r="F468" t="s">
        <v>68</v>
      </c>
      <c r="G468" t="s">
        <v>52</v>
      </c>
      <c r="H468" t="s">
        <v>40</v>
      </c>
      <c r="I468">
        <v>2</v>
      </c>
      <c r="J468">
        <v>11.81</v>
      </c>
      <c r="K468">
        <v>3</v>
      </c>
      <c r="L468">
        <v>56.87</v>
      </c>
      <c r="M468">
        <v>57</v>
      </c>
      <c r="N468" t="s">
        <v>41</v>
      </c>
      <c r="O468">
        <v>34</v>
      </c>
      <c r="P468">
        <v>544</v>
      </c>
      <c r="Q468" s="27" t="str">
        <f>IF(D468=Pivot!$AS$4,R467, "")</f>
        <v/>
      </c>
      <c r="R468" t="s">
        <v>46</v>
      </c>
      <c r="S468" s="5">
        <v>6.25</v>
      </c>
      <c r="T468">
        <v>85.5</v>
      </c>
      <c r="U468">
        <v>54.03</v>
      </c>
      <c r="V468" s="27">
        <f t="shared" si="28"/>
        <v>70.86</v>
      </c>
      <c r="W468">
        <f t="shared" si="29"/>
        <v>110.9</v>
      </c>
      <c r="X468" s="33" t="str">
        <f t="shared" si="30"/>
        <v>Mid Quality</v>
      </c>
      <c r="Y468" s="27" t="str">
        <f t="shared" si="31"/>
        <v>12</v>
      </c>
    </row>
    <row r="469" spans="1:25" x14ac:dyDescent="0.25">
      <c r="A469" s="1">
        <v>45402</v>
      </c>
      <c r="B469" t="s">
        <v>50</v>
      </c>
      <c r="C469">
        <v>3</v>
      </c>
      <c r="D469" t="s">
        <v>71</v>
      </c>
      <c r="E469" t="s">
        <v>30</v>
      </c>
      <c r="F469" t="s">
        <v>90</v>
      </c>
      <c r="G469" t="s">
        <v>32</v>
      </c>
      <c r="H469" t="s">
        <v>40</v>
      </c>
      <c r="I469">
        <v>3</v>
      </c>
      <c r="J469">
        <v>17.75</v>
      </c>
      <c r="K469">
        <v>9</v>
      </c>
      <c r="L469">
        <v>149.06</v>
      </c>
      <c r="M469">
        <v>62</v>
      </c>
      <c r="N469" t="s">
        <v>55</v>
      </c>
      <c r="O469">
        <v>23</v>
      </c>
      <c r="P469">
        <v>409</v>
      </c>
      <c r="Q469" s="27" t="str">
        <f>IF(D469=Pivot!$AS$4,R468, "")</f>
        <v/>
      </c>
      <c r="R469" t="s">
        <v>57</v>
      </c>
      <c r="S469" s="5">
        <v>5.62</v>
      </c>
      <c r="T469">
        <v>85.76</v>
      </c>
      <c r="U469">
        <v>154.03</v>
      </c>
      <c r="V469" s="27">
        <f t="shared" si="28"/>
        <v>479.25</v>
      </c>
      <c r="W469">
        <f t="shared" si="29"/>
        <v>303.09000000000003</v>
      </c>
      <c r="X469" s="33" t="str">
        <f t="shared" si="30"/>
        <v>Low Quality</v>
      </c>
      <c r="Y469" s="27" t="str">
        <f t="shared" si="31"/>
        <v>18</v>
      </c>
    </row>
    <row r="470" spans="1:25" x14ac:dyDescent="0.25">
      <c r="A470" s="1">
        <v>45422</v>
      </c>
      <c r="B470" t="s">
        <v>65</v>
      </c>
      <c r="C470">
        <v>3</v>
      </c>
      <c r="D470" t="s">
        <v>77</v>
      </c>
      <c r="E470" t="s">
        <v>30</v>
      </c>
      <c r="F470" t="s">
        <v>31</v>
      </c>
      <c r="G470" t="s">
        <v>32</v>
      </c>
      <c r="H470" t="s">
        <v>40</v>
      </c>
      <c r="I470">
        <v>3</v>
      </c>
      <c r="J470">
        <v>18.899999999999999</v>
      </c>
      <c r="K470">
        <v>6</v>
      </c>
      <c r="L470">
        <v>176.87</v>
      </c>
      <c r="M470">
        <v>77</v>
      </c>
      <c r="N470" t="s">
        <v>63</v>
      </c>
      <c r="O470">
        <v>43</v>
      </c>
      <c r="P470">
        <v>776</v>
      </c>
      <c r="Q470" s="27" t="str">
        <f>IF(D470=Pivot!$AS$4,R469, "")</f>
        <v/>
      </c>
      <c r="R470" t="s">
        <v>46</v>
      </c>
      <c r="S470" s="5">
        <v>5.54</v>
      </c>
      <c r="T470">
        <v>85.92</v>
      </c>
      <c r="U470">
        <v>226.98</v>
      </c>
      <c r="V470" s="27">
        <f t="shared" si="28"/>
        <v>340.2</v>
      </c>
      <c r="W470">
        <f t="shared" si="29"/>
        <v>403.85</v>
      </c>
      <c r="X470" s="33" t="str">
        <f t="shared" si="30"/>
        <v>Low Quality</v>
      </c>
      <c r="Y470" s="27" t="str">
        <f t="shared" si="31"/>
        <v>20</v>
      </c>
    </row>
    <row r="471" spans="1:25" x14ac:dyDescent="0.25">
      <c r="A471" s="1">
        <v>45535</v>
      </c>
      <c r="B471" t="s">
        <v>65</v>
      </c>
      <c r="C471">
        <v>3</v>
      </c>
      <c r="D471" t="s">
        <v>91</v>
      </c>
      <c r="E471" t="s">
        <v>37</v>
      </c>
      <c r="F471" t="s">
        <v>23</v>
      </c>
      <c r="G471" t="s">
        <v>52</v>
      </c>
      <c r="H471" t="s">
        <v>61</v>
      </c>
      <c r="I471">
        <v>4</v>
      </c>
      <c r="J471">
        <v>15.05</v>
      </c>
      <c r="K471">
        <v>1</v>
      </c>
      <c r="L471">
        <v>249.62</v>
      </c>
      <c r="M471">
        <v>64</v>
      </c>
      <c r="N471" t="s">
        <v>41</v>
      </c>
      <c r="O471">
        <v>25</v>
      </c>
      <c r="P471">
        <v>804</v>
      </c>
      <c r="Q471" s="27" t="str">
        <f>IF(D471=Pivot!$AS$4,R470, "")</f>
        <v/>
      </c>
      <c r="R471" t="s">
        <v>27</v>
      </c>
      <c r="S471" s="5">
        <v>3.11</v>
      </c>
      <c r="T471">
        <v>89.78</v>
      </c>
      <c r="U471">
        <v>266.26</v>
      </c>
      <c r="V471" s="27">
        <f t="shared" si="28"/>
        <v>60.2</v>
      </c>
      <c r="W471">
        <f t="shared" si="29"/>
        <v>515.88</v>
      </c>
      <c r="X471" s="33" t="str">
        <f t="shared" si="30"/>
        <v>Low Quality</v>
      </c>
      <c r="Y471" s="27" t="str">
        <f t="shared" si="31"/>
        <v>16</v>
      </c>
    </row>
    <row r="472" spans="1:25" x14ac:dyDescent="0.25">
      <c r="A472" s="1">
        <v>45341</v>
      </c>
      <c r="B472" t="s">
        <v>75</v>
      </c>
      <c r="C472">
        <v>2</v>
      </c>
      <c r="D472" t="s">
        <v>82</v>
      </c>
      <c r="E472" t="s">
        <v>67</v>
      </c>
      <c r="F472" t="s">
        <v>90</v>
      </c>
      <c r="G472" t="s">
        <v>39</v>
      </c>
      <c r="H472" t="s">
        <v>48</v>
      </c>
      <c r="I472">
        <v>1</v>
      </c>
      <c r="J472">
        <v>2.65</v>
      </c>
      <c r="K472">
        <v>5</v>
      </c>
      <c r="L472">
        <v>127</v>
      </c>
      <c r="M472">
        <v>63</v>
      </c>
      <c r="N472" t="s">
        <v>41</v>
      </c>
      <c r="O472">
        <v>13</v>
      </c>
      <c r="P472">
        <v>525</v>
      </c>
      <c r="Q472" s="27" t="str">
        <f>IF(D472=Pivot!$AS$4,R471, "")</f>
        <v/>
      </c>
      <c r="R472" t="s">
        <v>42</v>
      </c>
      <c r="S472" s="5">
        <v>2.48</v>
      </c>
      <c r="T472">
        <v>94.04</v>
      </c>
      <c r="U472">
        <v>133.35</v>
      </c>
      <c r="V472" s="27">
        <f t="shared" si="28"/>
        <v>13.25</v>
      </c>
      <c r="W472">
        <f t="shared" si="29"/>
        <v>260.35000000000002</v>
      </c>
      <c r="X472" s="33" t="str">
        <f t="shared" si="30"/>
        <v>High Quality</v>
      </c>
      <c r="Y472" s="27" t="str">
        <f t="shared" si="31"/>
        <v>4</v>
      </c>
    </row>
    <row r="473" spans="1:25" x14ac:dyDescent="0.25">
      <c r="A473" s="1">
        <v>45522</v>
      </c>
      <c r="B473" t="s">
        <v>28</v>
      </c>
      <c r="C473">
        <v>2</v>
      </c>
      <c r="D473" t="s">
        <v>85</v>
      </c>
      <c r="E473" t="s">
        <v>30</v>
      </c>
      <c r="F473" t="s">
        <v>87</v>
      </c>
      <c r="G473" t="s">
        <v>24</v>
      </c>
      <c r="H473" t="s">
        <v>25</v>
      </c>
      <c r="I473">
        <v>2</v>
      </c>
      <c r="J473">
        <v>13.71</v>
      </c>
      <c r="K473">
        <v>7</v>
      </c>
      <c r="L473">
        <v>442.96</v>
      </c>
      <c r="M473">
        <v>26</v>
      </c>
      <c r="N473" t="s">
        <v>26</v>
      </c>
      <c r="O473">
        <v>24</v>
      </c>
      <c r="P473">
        <v>916</v>
      </c>
      <c r="Q473" s="27" t="str">
        <f>IF(D473=Pivot!$AS$4,R472, "")</f>
        <v/>
      </c>
      <c r="R473" t="s">
        <v>42</v>
      </c>
      <c r="S473" s="5">
        <v>2.62</v>
      </c>
      <c r="T473">
        <v>92.76</v>
      </c>
      <c r="U473">
        <v>191.95</v>
      </c>
      <c r="V473" s="27">
        <f t="shared" si="28"/>
        <v>191.94</v>
      </c>
      <c r="W473">
        <f t="shared" si="29"/>
        <v>634.91</v>
      </c>
      <c r="X473" s="33" t="str">
        <f t="shared" si="30"/>
        <v>Mid Quality</v>
      </c>
      <c r="Y473" s="27" t="str">
        <f t="shared" si="31"/>
        <v>14</v>
      </c>
    </row>
    <row r="474" spans="1:25" x14ac:dyDescent="0.25">
      <c r="A474" s="1">
        <v>45463</v>
      </c>
      <c r="B474" t="s">
        <v>28</v>
      </c>
      <c r="C474">
        <v>3</v>
      </c>
      <c r="D474" t="s">
        <v>29</v>
      </c>
      <c r="E474" t="s">
        <v>37</v>
      </c>
      <c r="F474" t="s">
        <v>72</v>
      </c>
      <c r="G474" t="s">
        <v>39</v>
      </c>
      <c r="H474" t="s">
        <v>33</v>
      </c>
      <c r="I474">
        <v>1</v>
      </c>
      <c r="J474">
        <v>8.8000000000000007</v>
      </c>
      <c r="K474">
        <v>4</v>
      </c>
      <c r="L474">
        <v>367.21</v>
      </c>
      <c r="M474">
        <v>12</v>
      </c>
      <c r="N474" t="s">
        <v>49</v>
      </c>
      <c r="O474">
        <v>11</v>
      </c>
      <c r="P474">
        <v>871</v>
      </c>
      <c r="Q474" s="27" t="str">
        <f>IF(D474=Pivot!$AS$4,R473, "")</f>
        <v/>
      </c>
      <c r="R474" t="s">
        <v>27</v>
      </c>
      <c r="S474" s="5">
        <v>1.26</v>
      </c>
      <c r="T474">
        <v>96.48</v>
      </c>
      <c r="U474">
        <v>73.44</v>
      </c>
      <c r="V474" s="27">
        <f t="shared" si="28"/>
        <v>35.200000000000003</v>
      </c>
      <c r="W474">
        <f t="shared" si="29"/>
        <v>440.65</v>
      </c>
      <c r="X474" s="33" t="str">
        <f t="shared" si="30"/>
        <v>Mid Quality</v>
      </c>
      <c r="Y474" s="27" t="str">
        <f t="shared" si="31"/>
        <v>10</v>
      </c>
    </row>
    <row r="475" spans="1:25" x14ac:dyDescent="0.25">
      <c r="A475" s="1">
        <v>45425</v>
      </c>
      <c r="B475" t="s">
        <v>75</v>
      </c>
      <c r="C475">
        <v>3</v>
      </c>
      <c r="D475" t="s">
        <v>76</v>
      </c>
      <c r="E475" t="s">
        <v>22</v>
      </c>
      <c r="F475" t="s">
        <v>44</v>
      </c>
      <c r="G475" t="s">
        <v>60</v>
      </c>
      <c r="H475" t="s">
        <v>48</v>
      </c>
      <c r="I475">
        <v>5</v>
      </c>
      <c r="J475">
        <v>9.94</v>
      </c>
      <c r="K475">
        <v>8</v>
      </c>
      <c r="L475">
        <v>88.34</v>
      </c>
      <c r="M475">
        <v>53</v>
      </c>
      <c r="N475" t="s">
        <v>41</v>
      </c>
      <c r="O475">
        <v>17</v>
      </c>
      <c r="P475">
        <v>803</v>
      </c>
      <c r="Q475" s="27" t="str">
        <f>IF(D475=Pivot!$AS$4,R474, "")</f>
        <v/>
      </c>
      <c r="R475" t="s">
        <v>27</v>
      </c>
      <c r="S475" s="5">
        <v>2.12</v>
      </c>
      <c r="T475">
        <v>90.76</v>
      </c>
      <c r="U475">
        <v>78.03</v>
      </c>
      <c r="V475" s="27">
        <f t="shared" si="28"/>
        <v>397.59999999999997</v>
      </c>
      <c r="W475">
        <f t="shared" si="29"/>
        <v>166.37</v>
      </c>
      <c r="X475" s="33" t="str">
        <f t="shared" si="30"/>
        <v>Mid Quality</v>
      </c>
      <c r="Y475" s="27" t="str">
        <f t="shared" si="31"/>
        <v>10</v>
      </c>
    </row>
    <row r="476" spans="1:25" x14ac:dyDescent="0.25">
      <c r="A476" s="1">
        <v>45476</v>
      </c>
      <c r="B476" t="s">
        <v>28</v>
      </c>
      <c r="C476">
        <v>2</v>
      </c>
      <c r="D476" t="s">
        <v>79</v>
      </c>
      <c r="E476" t="s">
        <v>37</v>
      </c>
      <c r="F476" t="s">
        <v>87</v>
      </c>
      <c r="G476" t="s">
        <v>32</v>
      </c>
      <c r="H476" t="s">
        <v>33</v>
      </c>
      <c r="I476">
        <v>2</v>
      </c>
      <c r="J476">
        <v>1.93</v>
      </c>
      <c r="K476">
        <v>5</v>
      </c>
      <c r="L476">
        <v>342.54</v>
      </c>
      <c r="M476">
        <v>46</v>
      </c>
      <c r="N476" t="s">
        <v>49</v>
      </c>
      <c r="O476">
        <v>37</v>
      </c>
      <c r="P476">
        <v>690</v>
      </c>
      <c r="Q476" s="27" t="str">
        <f>IF(D476=Pivot!$AS$4,R475, "")</f>
        <v/>
      </c>
      <c r="R476" t="s">
        <v>46</v>
      </c>
      <c r="S476" s="5">
        <v>5.36</v>
      </c>
      <c r="T476">
        <v>87.28</v>
      </c>
      <c r="U476">
        <v>262.61</v>
      </c>
      <c r="V476" s="27">
        <f t="shared" si="28"/>
        <v>19.3</v>
      </c>
      <c r="W476">
        <f t="shared" si="29"/>
        <v>605.15000000000009</v>
      </c>
      <c r="X476" s="33" t="str">
        <f t="shared" si="30"/>
        <v>High Quality</v>
      </c>
      <c r="Y476" s="27" t="str">
        <f t="shared" si="31"/>
        <v>2</v>
      </c>
    </row>
    <row r="477" spans="1:25" x14ac:dyDescent="0.25">
      <c r="A477" s="1">
        <v>45476</v>
      </c>
      <c r="B477" t="s">
        <v>28</v>
      </c>
      <c r="C477">
        <v>2</v>
      </c>
      <c r="D477" t="s">
        <v>77</v>
      </c>
      <c r="E477" t="s">
        <v>30</v>
      </c>
      <c r="F477" t="s">
        <v>72</v>
      </c>
      <c r="G477" t="s">
        <v>60</v>
      </c>
      <c r="H477" t="s">
        <v>48</v>
      </c>
      <c r="I477">
        <v>1</v>
      </c>
      <c r="J477">
        <v>4.63</v>
      </c>
      <c r="K477">
        <v>9</v>
      </c>
      <c r="L477">
        <v>344.15</v>
      </c>
      <c r="M477">
        <v>31</v>
      </c>
      <c r="N477" t="s">
        <v>55</v>
      </c>
      <c r="O477">
        <v>13</v>
      </c>
      <c r="P477">
        <v>790</v>
      </c>
      <c r="Q477" s="27" t="str">
        <f>IF(D477=Pivot!$AS$4,R476, "")</f>
        <v/>
      </c>
      <c r="R477" t="s">
        <v>27</v>
      </c>
      <c r="S477" s="5">
        <v>1.65</v>
      </c>
      <c r="T477">
        <v>95.7</v>
      </c>
      <c r="U477">
        <v>177.81</v>
      </c>
      <c r="V477" s="27">
        <f t="shared" si="28"/>
        <v>41.67</v>
      </c>
      <c r="W477">
        <f t="shared" si="29"/>
        <v>521.96</v>
      </c>
      <c r="X477" s="33" t="str">
        <f t="shared" si="30"/>
        <v>High Quality</v>
      </c>
      <c r="Y477" s="27" t="str">
        <f t="shared" si="31"/>
        <v>6</v>
      </c>
    </row>
    <row r="478" spans="1:25" x14ac:dyDescent="0.25">
      <c r="A478" s="1">
        <v>45578</v>
      </c>
      <c r="B478" t="s">
        <v>65</v>
      </c>
      <c r="C478">
        <v>1</v>
      </c>
      <c r="D478" t="s">
        <v>88</v>
      </c>
      <c r="E478" t="s">
        <v>22</v>
      </c>
      <c r="F478" t="s">
        <v>81</v>
      </c>
      <c r="G478" t="s">
        <v>32</v>
      </c>
      <c r="H478" t="s">
        <v>40</v>
      </c>
      <c r="I478">
        <v>4</v>
      </c>
      <c r="J478">
        <v>16.02</v>
      </c>
      <c r="K478">
        <v>9</v>
      </c>
      <c r="L478">
        <v>480.3</v>
      </c>
      <c r="M478">
        <v>43</v>
      </c>
      <c r="N478" t="s">
        <v>63</v>
      </c>
      <c r="O478">
        <v>27</v>
      </c>
      <c r="P478">
        <v>190</v>
      </c>
      <c r="Q478" s="27" t="str">
        <f>IF(D478=Pivot!$AS$4,R477, "")</f>
        <v/>
      </c>
      <c r="R478" t="s">
        <v>46</v>
      </c>
      <c r="S478" s="5">
        <v>14.21</v>
      </c>
      <c r="T478">
        <v>67.58</v>
      </c>
      <c r="U478">
        <v>344.22</v>
      </c>
      <c r="V478" s="27">
        <f t="shared" si="28"/>
        <v>576.72</v>
      </c>
      <c r="W478">
        <f t="shared" si="29"/>
        <v>824.52</v>
      </c>
      <c r="X478" s="33" t="str">
        <f t="shared" si="30"/>
        <v>Low Quality</v>
      </c>
      <c r="Y478" s="27" t="str">
        <f t="shared" si="31"/>
        <v>18</v>
      </c>
    </row>
    <row r="479" spans="1:25" x14ac:dyDescent="0.25">
      <c r="A479" s="1">
        <v>45577</v>
      </c>
      <c r="B479" t="s">
        <v>28</v>
      </c>
      <c r="C479">
        <v>1</v>
      </c>
      <c r="D479" t="s">
        <v>88</v>
      </c>
      <c r="E479" t="s">
        <v>37</v>
      </c>
      <c r="F479" t="s">
        <v>84</v>
      </c>
      <c r="G479" t="s">
        <v>32</v>
      </c>
      <c r="H479" t="s">
        <v>61</v>
      </c>
      <c r="I479">
        <v>4</v>
      </c>
      <c r="J479">
        <v>9.6300000000000008</v>
      </c>
      <c r="K479">
        <v>9</v>
      </c>
      <c r="L479">
        <v>51.36</v>
      </c>
      <c r="M479">
        <v>87</v>
      </c>
      <c r="N479" t="s">
        <v>63</v>
      </c>
      <c r="O479">
        <v>20</v>
      </c>
      <c r="P479">
        <v>555</v>
      </c>
      <c r="Q479" s="27" t="str">
        <f>IF(D479=Pivot!$AS$4,R478, "")</f>
        <v/>
      </c>
      <c r="R479" t="s">
        <v>57</v>
      </c>
      <c r="S479" s="5">
        <v>3.6</v>
      </c>
      <c r="T479">
        <v>88.8</v>
      </c>
      <c r="U479">
        <v>74.47</v>
      </c>
      <c r="V479" s="27">
        <f t="shared" si="28"/>
        <v>346.68</v>
      </c>
      <c r="W479">
        <f t="shared" si="29"/>
        <v>125.83</v>
      </c>
      <c r="X479" s="33" t="str">
        <f t="shared" si="30"/>
        <v>Mid Quality</v>
      </c>
      <c r="Y479" s="27" t="str">
        <f t="shared" si="31"/>
        <v>10</v>
      </c>
    </row>
    <row r="480" spans="1:25" x14ac:dyDescent="0.25">
      <c r="A480" s="1">
        <v>45423</v>
      </c>
      <c r="B480" t="s">
        <v>35</v>
      </c>
      <c r="C480">
        <v>2</v>
      </c>
      <c r="D480" t="s">
        <v>77</v>
      </c>
      <c r="E480" t="s">
        <v>51</v>
      </c>
      <c r="F480" t="s">
        <v>81</v>
      </c>
      <c r="G480" t="s">
        <v>60</v>
      </c>
      <c r="H480" t="s">
        <v>33</v>
      </c>
      <c r="I480">
        <v>2</v>
      </c>
      <c r="J480">
        <v>6.73</v>
      </c>
      <c r="K480">
        <v>1</v>
      </c>
      <c r="L480">
        <v>161.57</v>
      </c>
      <c r="M480">
        <v>29</v>
      </c>
      <c r="N480" t="s">
        <v>41</v>
      </c>
      <c r="O480">
        <v>33</v>
      </c>
      <c r="P480">
        <v>543</v>
      </c>
      <c r="Q480" s="27" t="str">
        <f>IF(D480=Pivot!$AS$4,R479, "")</f>
        <v/>
      </c>
      <c r="R480" t="s">
        <v>42</v>
      </c>
      <c r="S480" s="5">
        <v>6.08</v>
      </c>
      <c r="T480">
        <v>85.84</v>
      </c>
      <c r="U480">
        <v>78.09</v>
      </c>
      <c r="V480" s="27">
        <f t="shared" si="28"/>
        <v>13.46</v>
      </c>
      <c r="W480">
        <f t="shared" si="29"/>
        <v>239.66</v>
      </c>
      <c r="X480" s="33" t="str">
        <f t="shared" si="30"/>
        <v>Mid Quality</v>
      </c>
      <c r="Y480" s="27" t="str">
        <f t="shared" si="31"/>
        <v>8</v>
      </c>
    </row>
    <row r="481" spans="1:25" x14ac:dyDescent="0.25">
      <c r="A481" s="1">
        <v>45468</v>
      </c>
      <c r="B481" t="s">
        <v>20</v>
      </c>
      <c r="C481">
        <v>3</v>
      </c>
      <c r="D481" t="s">
        <v>43</v>
      </c>
      <c r="E481" t="s">
        <v>22</v>
      </c>
      <c r="F481" t="s">
        <v>72</v>
      </c>
      <c r="G481" t="s">
        <v>60</v>
      </c>
      <c r="H481" t="s">
        <v>48</v>
      </c>
      <c r="I481">
        <v>5</v>
      </c>
      <c r="J481">
        <v>8.3000000000000007</v>
      </c>
      <c r="K481">
        <v>2</v>
      </c>
      <c r="L481">
        <v>467.51</v>
      </c>
      <c r="M481">
        <v>42</v>
      </c>
      <c r="N481" t="s">
        <v>41</v>
      </c>
      <c r="O481">
        <v>42</v>
      </c>
      <c r="P481">
        <v>826</v>
      </c>
      <c r="Q481" s="27" t="str">
        <f>IF(D481=Pivot!$AS$4,R480, "")</f>
        <v/>
      </c>
      <c r="R481" t="s">
        <v>42</v>
      </c>
      <c r="S481" s="5">
        <v>5.08</v>
      </c>
      <c r="T481">
        <v>84.84</v>
      </c>
      <c r="U481">
        <v>327.26</v>
      </c>
      <c r="V481" s="27">
        <f t="shared" si="28"/>
        <v>83</v>
      </c>
      <c r="W481">
        <f t="shared" si="29"/>
        <v>794.77</v>
      </c>
      <c r="X481" s="33" t="str">
        <f t="shared" si="30"/>
        <v>Mid Quality</v>
      </c>
      <c r="Y481" s="27" t="str">
        <f t="shared" si="31"/>
        <v>10</v>
      </c>
    </row>
    <row r="482" spans="1:25" x14ac:dyDescent="0.25">
      <c r="A482" s="1">
        <v>45302</v>
      </c>
      <c r="B482" t="s">
        <v>50</v>
      </c>
      <c r="C482">
        <v>3</v>
      </c>
      <c r="D482" t="s">
        <v>29</v>
      </c>
      <c r="E482" t="s">
        <v>51</v>
      </c>
      <c r="F482" t="s">
        <v>78</v>
      </c>
      <c r="G482" t="s">
        <v>39</v>
      </c>
      <c r="H482" t="s">
        <v>61</v>
      </c>
      <c r="I482">
        <v>4</v>
      </c>
      <c r="J482">
        <v>17.23</v>
      </c>
      <c r="K482">
        <v>3</v>
      </c>
      <c r="L482">
        <v>469.46</v>
      </c>
      <c r="M482">
        <v>89</v>
      </c>
      <c r="N482" t="s">
        <v>55</v>
      </c>
      <c r="O482">
        <v>32</v>
      </c>
      <c r="P482">
        <v>178</v>
      </c>
      <c r="Q482" s="27" t="str">
        <f>IF(D482=Pivot!$AS$4,R481, "")</f>
        <v/>
      </c>
      <c r="R482" t="s">
        <v>42</v>
      </c>
      <c r="S482" s="5">
        <v>17.98</v>
      </c>
      <c r="T482">
        <v>60.04</v>
      </c>
      <c r="U482">
        <v>696.37</v>
      </c>
      <c r="V482" s="27">
        <f t="shared" si="28"/>
        <v>206.76</v>
      </c>
      <c r="W482">
        <f t="shared" si="29"/>
        <v>1165.83</v>
      </c>
      <c r="X482" s="33" t="str">
        <f t="shared" si="30"/>
        <v>Low Quality</v>
      </c>
      <c r="Y482" s="27" t="str">
        <f t="shared" si="31"/>
        <v>18</v>
      </c>
    </row>
    <row r="483" spans="1:25" x14ac:dyDescent="0.25">
      <c r="A483" s="1">
        <v>45502</v>
      </c>
      <c r="B483" t="s">
        <v>35</v>
      </c>
      <c r="C483">
        <v>3</v>
      </c>
      <c r="D483" t="s">
        <v>85</v>
      </c>
      <c r="E483" t="s">
        <v>67</v>
      </c>
      <c r="F483" t="s">
        <v>89</v>
      </c>
      <c r="G483" t="s">
        <v>60</v>
      </c>
      <c r="H483" t="s">
        <v>33</v>
      </c>
      <c r="I483">
        <v>4</v>
      </c>
      <c r="J483">
        <v>15.23</v>
      </c>
      <c r="K483">
        <v>4</v>
      </c>
      <c r="L483">
        <v>374.26</v>
      </c>
      <c r="M483">
        <v>28</v>
      </c>
      <c r="N483" t="s">
        <v>26</v>
      </c>
      <c r="O483">
        <v>8</v>
      </c>
      <c r="P483">
        <v>574</v>
      </c>
      <c r="Q483" s="27" t="str">
        <f>IF(D483=Pivot!$AS$4,R482, "")</f>
        <v/>
      </c>
      <c r="R483" t="s">
        <v>57</v>
      </c>
      <c r="S483" s="5">
        <v>1.39</v>
      </c>
      <c r="T483">
        <v>93.22</v>
      </c>
      <c r="U483">
        <v>174.65</v>
      </c>
      <c r="V483" s="27">
        <f t="shared" si="28"/>
        <v>243.68</v>
      </c>
      <c r="W483">
        <f t="shared" si="29"/>
        <v>548.91</v>
      </c>
      <c r="X483" s="33" t="str">
        <f t="shared" si="30"/>
        <v>Low Quality</v>
      </c>
      <c r="Y483" s="27" t="str">
        <f t="shared" si="31"/>
        <v>16</v>
      </c>
    </row>
    <row r="484" spans="1:25" x14ac:dyDescent="0.25">
      <c r="A484" s="1">
        <v>45354</v>
      </c>
      <c r="B484" t="s">
        <v>28</v>
      </c>
      <c r="C484">
        <v>3</v>
      </c>
      <c r="D484" t="s">
        <v>43</v>
      </c>
      <c r="E484" t="s">
        <v>22</v>
      </c>
      <c r="F484" t="s">
        <v>81</v>
      </c>
      <c r="G484" t="s">
        <v>39</v>
      </c>
      <c r="H484" t="s">
        <v>25</v>
      </c>
      <c r="I484">
        <v>5</v>
      </c>
      <c r="J484">
        <v>6.17</v>
      </c>
      <c r="K484">
        <v>9</v>
      </c>
      <c r="L484">
        <v>394.59</v>
      </c>
      <c r="M484">
        <v>28</v>
      </c>
      <c r="N484" t="s">
        <v>26</v>
      </c>
      <c r="O484">
        <v>29</v>
      </c>
      <c r="P484">
        <v>202</v>
      </c>
      <c r="Q484" s="27" t="str">
        <f>IF(D484=Pivot!$AS$4,R483, "")</f>
        <v/>
      </c>
      <c r="R484" t="s">
        <v>57</v>
      </c>
      <c r="S484" s="5">
        <v>14.36</v>
      </c>
      <c r="T484">
        <v>66.28</v>
      </c>
      <c r="U484">
        <v>184.14</v>
      </c>
      <c r="V484" s="27">
        <f t="shared" si="28"/>
        <v>277.64999999999998</v>
      </c>
      <c r="W484">
        <f t="shared" si="29"/>
        <v>578.73</v>
      </c>
      <c r="X484" s="33" t="str">
        <f t="shared" si="30"/>
        <v>Mid Quality</v>
      </c>
      <c r="Y484" s="27" t="str">
        <f t="shared" si="31"/>
        <v>8</v>
      </c>
    </row>
    <row r="485" spans="1:25" x14ac:dyDescent="0.25">
      <c r="A485" s="1">
        <v>45471</v>
      </c>
      <c r="B485" t="s">
        <v>65</v>
      </c>
      <c r="C485">
        <v>1</v>
      </c>
      <c r="D485" t="s">
        <v>21</v>
      </c>
      <c r="E485" t="s">
        <v>51</v>
      </c>
      <c r="F485" t="s">
        <v>81</v>
      </c>
      <c r="G485" t="s">
        <v>39</v>
      </c>
      <c r="H485" t="s">
        <v>48</v>
      </c>
      <c r="I485">
        <v>1</v>
      </c>
      <c r="J485">
        <v>3.23</v>
      </c>
      <c r="K485">
        <v>6</v>
      </c>
      <c r="L485">
        <v>91.17</v>
      </c>
      <c r="M485">
        <v>64</v>
      </c>
      <c r="N485" t="s">
        <v>26</v>
      </c>
      <c r="O485">
        <v>40</v>
      </c>
      <c r="P485">
        <v>722</v>
      </c>
      <c r="Q485" s="27" t="str">
        <f>IF(D485=Pivot!$AS$4,R484, "")</f>
        <v/>
      </c>
      <c r="R485" t="s">
        <v>34</v>
      </c>
      <c r="S485" s="5">
        <v>5.54</v>
      </c>
      <c r="T485">
        <v>87.92</v>
      </c>
      <c r="U485">
        <v>97.25</v>
      </c>
      <c r="V485" s="27">
        <f t="shared" si="28"/>
        <v>19.38</v>
      </c>
      <c r="W485">
        <f t="shared" si="29"/>
        <v>188.42000000000002</v>
      </c>
      <c r="X485" s="33" t="str">
        <f t="shared" si="30"/>
        <v>High Quality</v>
      </c>
      <c r="Y485" s="27" t="str">
        <f t="shared" si="31"/>
        <v>4</v>
      </c>
    </row>
    <row r="486" spans="1:25" x14ac:dyDescent="0.25">
      <c r="A486" s="1">
        <v>45393</v>
      </c>
      <c r="B486" t="s">
        <v>75</v>
      </c>
      <c r="C486">
        <v>2</v>
      </c>
      <c r="D486" t="s">
        <v>88</v>
      </c>
      <c r="E486" t="s">
        <v>30</v>
      </c>
      <c r="F486" t="s">
        <v>59</v>
      </c>
      <c r="G486" t="s">
        <v>39</v>
      </c>
      <c r="H486" t="s">
        <v>25</v>
      </c>
      <c r="I486">
        <v>4</v>
      </c>
      <c r="J486">
        <v>5.79</v>
      </c>
      <c r="K486">
        <v>1</v>
      </c>
      <c r="L486">
        <v>281.24</v>
      </c>
      <c r="M486">
        <v>87</v>
      </c>
      <c r="N486" t="s">
        <v>49</v>
      </c>
      <c r="O486">
        <v>19</v>
      </c>
      <c r="P486">
        <v>555</v>
      </c>
      <c r="Q486" s="27" t="str">
        <f>IF(D486=Pivot!$AS$4,R485, "")</f>
        <v/>
      </c>
      <c r="R486" t="s">
        <v>46</v>
      </c>
      <c r="S486" s="5">
        <v>3.42</v>
      </c>
      <c r="T486">
        <v>89.16</v>
      </c>
      <c r="U486">
        <v>407.8</v>
      </c>
      <c r="V486" s="27">
        <f t="shared" si="28"/>
        <v>23.16</v>
      </c>
      <c r="W486">
        <f t="shared" si="29"/>
        <v>689.04</v>
      </c>
      <c r="X486" s="33" t="str">
        <f t="shared" si="30"/>
        <v>High Quality</v>
      </c>
      <c r="Y486" s="27" t="str">
        <f t="shared" si="31"/>
        <v>6</v>
      </c>
    </row>
    <row r="487" spans="1:25" x14ac:dyDescent="0.25">
      <c r="A487" s="1">
        <v>45587</v>
      </c>
      <c r="B487" t="s">
        <v>28</v>
      </c>
      <c r="C487">
        <v>3</v>
      </c>
      <c r="D487" t="s">
        <v>80</v>
      </c>
      <c r="E487" t="s">
        <v>30</v>
      </c>
      <c r="F487" t="s">
        <v>72</v>
      </c>
      <c r="G487" t="s">
        <v>32</v>
      </c>
      <c r="H487" t="s">
        <v>40</v>
      </c>
      <c r="I487">
        <v>3</v>
      </c>
      <c r="J487">
        <v>18.489999999999998</v>
      </c>
      <c r="K487">
        <v>9</v>
      </c>
      <c r="L487">
        <v>154.21</v>
      </c>
      <c r="M487">
        <v>54</v>
      </c>
      <c r="N487" t="s">
        <v>26</v>
      </c>
      <c r="O487">
        <v>6</v>
      </c>
      <c r="P487">
        <v>413</v>
      </c>
      <c r="Q487" s="27" t="str">
        <f>IF(D487=Pivot!$AS$4,R486, "")</f>
        <v>Eğitim önerildi</v>
      </c>
      <c r="R487" t="s">
        <v>46</v>
      </c>
      <c r="S487" s="5">
        <v>1.45</v>
      </c>
      <c r="T487">
        <v>94.1</v>
      </c>
      <c r="U487">
        <v>138.79</v>
      </c>
      <c r="V487" s="27">
        <f t="shared" si="28"/>
        <v>499.22999999999996</v>
      </c>
      <c r="W487">
        <f t="shared" si="29"/>
        <v>293</v>
      </c>
      <c r="X487" s="33" t="str">
        <f t="shared" si="30"/>
        <v>Low Quality</v>
      </c>
      <c r="Y487" s="27" t="str">
        <f t="shared" si="31"/>
        <v>20</v>
      </c>
    </row>
    <row r="488" spans="1:25" x14ac:dyDescent="0.25">
      <c r="A488" s="1">
        <v>45586</v>
      </c>
      <c r="B488" t="s">
        <v>65</v>
      </c>
      <c r="C488">
        <v>1</v>
      </c>
      <c r="D488" t="s">
        <v>64</v>
      </c>
      <c r="E488" t="s">
        <v>67</v>
      </c>
      <c r="F488" t="s">
        <v>70</v>
      </c>
      <c r="G488" t="s">
        <v>32</v>
      </c>
      <c r="H488" t="s">
        <v>25</v>
      </c>
      <c r="I488">
        <v>4</v>
      </c>
      <c r="J488">
        <v>12.05</v>
      </c>
      <c r="K488">
        <v>6</v>
      </c>
      <c r="L488">
        <v>131.55000000000001</v>
      </c>
      <c r="M488">
        <v>70</v>
      </c>
      <c r="N488" t="s">
        <v>63</v>
      </c>
      <c r="O488">
        <v>44</v>
      </c>
      <c r="P488">
        <v>346</v>
      </c>
      <c r="Q488" s="27" t="str">
        <f>IF(D488=Pivot!$AS$4,R487, "")</f>
        <v/>
      </c>
      <c r="R488" t="s">
        <v>34</v>
      </c>
      <c r="S488" s="5">
        <v>12.72</v>
      </c>
      <c r="T488">
        <v>70.56</v>
      </c>
      <c r="U488">
        <v>153.47999999999999</v>
      </c>
      <c r="V488" s="27">
        <f t="shared" si="28"/>
        <v>289.20000000000005</v>
      </c>
      <c r="W488">
        <f t="shared" si="29"/>
        <v>285.02999999999997</v>
      </c>
      <c r="X488" s="33" t="str">
        <f t="shared" si="30"/>
        <v>Mid Quality</v>
      </c>
      <c r="Y488" s="27" t="str">
        <f t="shared" si="31"/>
        <v>14</v>
      </c>
    </row>
    <row r="489" spans="1:25" x14ac:dyDescent="0.25">
      <c r="A489" s="1">
        <v>45567</v>
      </c>
      <c r="B489" t="s">
        <v>20</v>
      </c>
      <c r="C489">
        <v>3</v>
      </c>
      <c r="D489" t="s">
        <v>29</v>
      </c>
      <c r="E489" t="s">
        <v>22</v>
      </c>
      <c r="F489" t="s">
        <v>23</v>
      </c>
      <c r="G489" t="s">
        <v>60</v>
      </c>
      <c r="H489" t="s">
        <v>25</v>
      </c>
      <c r="I489">
        <v>1</v>
      </c>
      <c r="J489">
        <v>11.14</v>
      </c>
      <c r="K489">
        <v>4</v>
      </c>
      <c r="L489">
        <v>414.64</v>
      </c>
      <c r="M489">
        <v>18</v>
      </c>
      <c r="N489" t="s">
        <v>49</v>
      </c>
      <c r="O489">
        <v>39</v>
      </c>
      <c r="P489">
        <v>333</v>
      </c>
      <c r="Q489" s="27" t="str">
        <f>IF(D489=Pivot!$AS$4,R488, "")</f>
        <v/>
      </c>
      <c r="R489" t="s">
        <v>42</v>
      </c>
      <c r="S489" s="5">
        <v>11.71</v>
      </c>
      <c r="T489">
        <v>75.58</v>
      </c>
      <c r="U489">
        <v>124.39</v>
      </c>
      <c r="V489" s="27">
        <f t="shared" si="28"/>
        <v>44.56</v>
      </c>
      <c r="W489">
        <f t="shared" si="29"/>
        <v>539.03</v>
      </c>
      <c r="X489" s="33" t="str">
        <f t="shared" si="30"/>
        <v>Mid Quality</v>
      </c>
      <c r="Y489" s="27" t="str">
        <f t="shared" si="31"/>
        <v>12</v>
      </c>
    </row>
    <row r="490" spans="1:25" x14ac:dyDescent="0.25">
      <c r="A490" s="1">
        <v>45381</v>
      </c>
      <c r="B490" t="s">
        <v>28</v>
      </c>
      <c r="C490">
        <v>2</v>
      </c>
      <c r="D490" t="s">
        <v>80</v>
      </c>
      <c r="E490" t="s">
        <v>22</v>
      </c>
      <c r="F490" t="s">
        <v>31</v>
      </c>
      <c r="G490" t="s">
        <v>32</v>
      </c>
      <c r="H490" t="s">
        <v>48</v>
      </c>
      <c r="I490">
        <v>1</v>
      </c>
      <c r="J490">
        <v>12.33</v>
      </c>
      <c r="K490">
        <v>4</v>
      </c>
      <c r="L490">
        <v>110.77</v>
      </c>
      <c r="M490">
        <v>57</v>
      </c>
      <c r="N490" t="s">
        <v>55</v>
      </c>
      <c r="O490">
        <v>48</v>
      </c>
      <c r="P490">
        <v>693</v>
      </c>
      <c r="Q490" s="27" t="str">
        <f>IF(D490=Pivot!$AS$4,R489, "")</f>
        <v>Makine ayarı değiştirildi</v>
      </c>
      <c r="R490" t="s">
        <v>46</v>
      </c>
      <c r="S490" s="5">
        <v>6.93</v>
      </c>
      <c r="T490">
        <v>85.14</v>
      </c>
      <c r="U490">
        <v>105.23</v>
      </c>
      <c r="V490" s="27">
        <f t="shared" si="28"/>
        <v>49.32</v>
      </c>
      <c r="W490">
        <f t="shared" si="29"/>
        <v>216</v>
      </c>
      <c r="X490" s="33" t="str">
        <f t="shared" si="30"/>
        <v>Mid Quality</v>
      </c>
      <c r="Y490" s="27" t="str">
        <f t="shared" si="31"/>
        <v>14</v>
      </c>
    </row>
    <row r="491" spans="1:25" x14ac:dyDescent="0.25">
      <c r="A491" s="1">
        <v>45437</v>
      </c>
      <c r="B491" t="s">
        <v>75</v>
      </c>
      <c r="C491">
        <v>1</v>
      </c>
      <c r="D491" t="s">
        <v>29</v>
      </c>
      <c r="E491" t="s">
        <v>22</v>
      </c>
      <c r="F491" t="s">
        <v>90</v>
      </c>
      <c r="G491" t="s">
        <v>60</v>
      </c>
      <c r="H491" t="s">
        <v>40</v>
      </c>
      <c r="I491">
        <v>2</v>
      </c>
      <c r="J491">
        <v>7.95</v>
      </c>
      <c r="K491">
        <v>3</v>
      </c>
      <c r="L491">
        <v>260.89</v>
      </c>
      <c r="M491">
        <v>36</v>
      </c>
      <c r="N491" t="s">
        <v>63</v>
      </c>
      <c r="O491">
        <v>41</v>
      </c>
      <c r="P491">
        <v>743</v>
      </c>
      <c r="Q491" s="27" t="str">
        <f>IF(D491=Pivot!$AS$4,R490, "")</f>
        <v/>
      </c>
      <c r="R491" t="s">
        <v>46</v>
      </c>
      <c r="S491" s="5">
        <v>5.52</v>
      </c>
      <c r="T491">
        <v>86.96</v>
      </c>
      <c r="U491">
        <v>156.53</v>
      </c>
      <c r="V491" s="27">
        <f t="shared" si="28"/>
        <v>47.7</v>
      </c>
      <c r="W491">
        <f t="shared" si="29"/>
        <v>417.41999999999996</v>
      </c>
      <c r="X491" s="33" t="str">
        <f t="shared" si="30"/>
        <v>Mid Quality</v>
      </c>
      <c r="Y491" s="27" t="str">
        <f t="shared" si="31"/>
        <v>8</v>
      </c>
    </row>
    <row r="492" spans="1:25" x14ac:dyDescent="0.25">
      <c r="A492" s="1">
        <v>45473</v>
      </c>
      <c r="B492" t="s">
        <v>65</v>
      </c>
      <c r="C492">
        <v>2</v>
      </c>
      <c r="D492" t="s">
        <v>91</v>
      </c>
      <c r="E492" t="s">
        <v>67</v>
      </c>
      <c r="F492" t="s">
        <v>89</v>
      </c>
      <c r="G492" t="s">
        <v>32</v>
      </c>
      <c r="H492" t="s">
        <v>25</v>
      </c>
      <c r="I492">
        <v>3</v>
      </c>
      <c r="J492">
        <v>16.34</v>
      </c>
      <c r="K492">
        <v>7</v>
      </c>
      <c r="L492">
        <v>472.36</v>
      </c>
      <c r="M492">
        <v>52</v>
      </c>
      <c r="N492" t="s">
        <v>63</v>
      </c>
      <c r="O492">
        <v>21</v>
      </c>
      <c r="P492">
        <v>334</v>
      </c>
      <c r="Q492" s="27" t="str">
        <f>IF(D492=Pivot!$AS$4,R491, "")</f>
        <v/>
      </c>
      <c r="R492" t="s">
        <v>42</v>
      </c>
      <c r="S492" s="5">
        <v>6.29</v>
      </c>
      <c r="T492">
        <v>84.42</v>
      </c>
      <c r="U492">
        <v>409.38</v>
      </c>
      <c r="V492" s="27">
        <f t="shared" si="28"/>
        <v>343.14</v>
      </c>
      <c r="W492">
        <f t="shared" si="29"/>
        <v>881.74</v>
      </c>
      <c r="X492" s="33" t="str">
        <f t="shared" si="30"/>
        <v>Low Quality</v>
      </c>
      <c r="Y492" s="27" t="str">
        <f t="shared" si="31"/>
        <v>18</v>
      </c>
    </row>
    <row r="493" spans="1:25" x14ac:dyDescent="0.25">
      <c r="A493" s="1">
        <v>45458</v>
      </c>
      <c r="B493" t="s">
        <v>65</v>
      </c>
      <c r="C493">
        <v>2</v>
      </c>
      <c r="D493" t="s">
        <v>29</v>
      </c>
      <c r="E493" t="s">
        <v>22</v>
      </c>
      <c r="F493" t="s">
        <v>54</v>
      </c>
      <c r="G493" t="s">
        <v>24</v>
      </c>
      <c r="H493" t="s">
        <v>61</v>
      </c>
      <c r="I493">
        <v>1</v>
      </c>
      <c r="J493">
        <v>10.94</v>
      </c>
      <c r="K493">
        <v>3</v>
      </c>
      <c r="L493">
        <v>133.62</v>
      </c>
      <c r="M493">
        <v>43</v>
      </c>
      <c r="N493" t="s">
        <v>45</v>
      </c>
      <c r="O493">
        <v>22</v>
      </c>
      <c r="P493">
        <v>889</v>
      </c>
      <c r="Q493" s="27" t="str">
        <f>IF(D493=Pivot!$AS$4,R492, "")</f>
        <v/>
      </c>
      <c r="R493" t="s">
        <v>27</v>
      </c>
      <c r="S493" s="5">
        <v>2.4700000000000002</v>
      </c>
      <c r="T493">
        <v>94.06</v>
      </c>
      <c r="U493">
        <v>95.76</v>
      </c>
      <c r="V493" s="27">
        <f t="shared" si="28"/>
        <v>32.82</v>
      </c>
      <c r="W493">
        <f t="shared" si="29"/>
        <v>229.38</v>
      </c>
      <c r="X493" s="33" t="str">
        <f t="shared" si="30"/>
        <v>Mid Quality</v>
      </c>
      <c r="Y493" s="27" t="str">
        <f t="shared" si="31"/>
        <v>12</v>
      </c>
    </row>
    <row r="494" spans="1:25" x14ac:dyDescent="0.25">
      <c r="A494" s="1">
        <v>45553</v>
      </c>
      <c r="B494" t="s">
        <v>65</v>
      </c>
      <c r="C494">
        <v>1</v>
      </c>
      <c r="D494" t="s">
        <v>85</v>
      </c>
      <c r="E494" t="s">
        <v>30</v>
      </c>
      <c r="F494" t="s">
        <v>86</v>
      </c>
      <c r="G494" t="s">
        <v>24</v>
      </c>
      <c r="H494" t="s">
        <v>33</v>
      </c>
      <c r="I494">
        <v>5</v>
      </c>
      <c r="J494">
        <v>3.22</v>
      </c>
      <c r="K494">
        <v>2</v>
      </c>
      <c r="L494">
        <v>490.1</v>
      </c>
      <c r="M494">
        <v>44</v>
      </c>
      <c r="N494" t="s">
        <v>55</v>
      </c>
      <c r="O494">
        <v>42</v>
      </c>
      <c r="P494">
        <v>486</v>
      </c>
      <c r="Q494" s="27" t="str">
        <f>IF(D494=Pivot!$AS$4,R493, "")</f>
        <v/>
      </c>
      <c r="R494" t="s">
        <v>27</v>
      </c>
      <c r="S494" s="5">
        <v>8.64</v>
      </c>
      <c r="T494">
        <v>77.72</v>
      </c>
      <c r="U494">
        <v>359.41</v>
      </c>
      <c r="V494" s="27">
        <f t="shared" si="28"/>
        <v>32.200000000000003</v>
      </c>
      <c r="W494">
        <f t="shared" si="29"/>
        <v>849.51</v>
      </c>
      <c r="X494" s="33" t="str">
        <f t="shared" si="30"/>
        <v>High Quality</v>
      </c>
      <c r="Y494" s="27" t="str">
        <f t="shared" si="31"/>
        <v>4</v>
      </c>
    </row>
    <row r="495" spans="1:25" x14ac:dyDescent="0.25">
      <c r="A495" s="1">
        <v>45541</v>
      </c>
      <c r="B495" t="s">
        <v>20</v>
      </c>
      <c r="C495">
        <v>1</v>
      </c>
      <c r="D495" t="s">
        <v>77</v>
      </c>
      <c r="E495" t="s">
        <v>51</v>
      </c>
      <c r="F495" t="s">
        <v>81</v>
      </c>
      <c r="G495" t="s">
        <v>60</v>
      </c>
      <c r="H495" t="s">
        <v>25</v>
      </c>
      <c r="I495">
        <v>3</v>
      </c>
      <c r="J495">
        <v>3.45</v>
      </c>
      <c r="K495">
        <v>8</v>
      </c>
      <c r="L495">
        <v>497.43</v>
      </c>
      <c r="M495">
        <v>46</v>
      </c>
      <c r="N495" t="s">
        <v>55</v>
      </c>
      <c r="O495">
        <v>10</v>
      </c>
      <c r="P495">
        <v>946</v>
      </c>
      <c r="Q495" s="27" t="str">
        <f>IF(D495=Pivot!$AS$4,R494, "")</f>
        <v/>
      </c>
      <c r="R495" t="s">
        <v>34</v>
      </c>
      <c r="S495" s="5">
        <v>1.06</v>
      </c>
      <c r="T495">
        <v>94.88</v>
      </c>
      <c r="U495">
        <v>381.36</v>
      </c>
      <c r="V495" s="27">
        <f t="shared" si="28"/>
        <v>82.800000000000011</v>
      </c>
      <c r="W495">
        <f t="shared" si="29"/>
        <v>878.79</v>
      </c>
      <c r="X495" s="33" t="str">
        <f t="shared" si="30"/>
        <v>High Quality</v>
      </c>
      <c r="Y495" s="27" t="str">
        <f t="shared" si="31"/>
        <v>4</v>
      </c>
    </row>
    <row r="496" spans="1:25" x14ac:dyDescent="0.25">
      <c r="A496" s="1">
        <v>45520</v>
      </c>
      <c r="B496" t="s">
        <v>28</v>
      </c>
      <c r="C496">
        <v>1</v>
      </c>
      <c r="D496" t="s">
        <v>77</v>
      </c>
      <c r="E496" t="s">
        <v>30</v>
      </c>
      <c r="F496" t="s">
        <v>87</v>
      </c>
      <c r="G496" t="s">
        <v>32</v>
      </c>
      <c r="H496" t="s">
        <v>40</v>
      </c>
      <c r="I496">
        <v>3</v>
      </c>
      <c r="J496">
        <v>11.2</v>
      </c>
      <c r="K496">
        <v>4</v>
      </c>
      <c r="L496">
        <v>300.02999999999997</v>
      </c>
      <c r="M496">
        <v>81</v>
      </c>
      <c r="N496" t="s">
        <v>45</v>
      </c>
      <c r="O496">
        <v>10</v>
      </c>
      <c r="P496">
        <v>710</v>
      </c>
      <c r="Q496" s="27" t="str">
        <f>IF(D496=Pivot!$AS$4,R495, "")</f>
        <v/>
      </c>
      <c r="R496" t="s">
        <v>57</v>
      </c>
      <c r="S496" s="5">
        <v>1.41</v>
      </c>
      <c r="T496">
        <v>94.18</v>
      </c>
      <c r="U496">
        <v>405.04</v>
      </c>
      <c r="V496" s="27">
        <f t="shared" si="28"/>
        <v>134.39999999999998</v>
      </c>
      <c r="W496">
        <f t="shared" si="29"/>
        <v>705.06999999999994</v>
      </c>
      <c r="X496" s="33" t="str">
        <f t="shared" si="30"/>
        <v>Mid Quality</v>
      </c>
      <c r="Y496" s="27" t="str">
        <f t="shared" si="31"/>
        <v>12</v>
      </c>
    </row>
    <row r="497" spans="1:25" x14ac:dyDescent="0.25">
      <c r="A497" s="1">
        <v>45332</v>
      </c>
      <c r="B497" t="s">
        <v>20</v>
      </c>
      <c r="C497">
        <v>1</v>
      </c>
      <c r="D497" t="s">
        <v>76</v>
      </c>
      <c r="E497" t="s">
        <v>30</v>
      </c>
      <c r="F497" t="s">
        <v>59</v>
      </c>
      <c r="G497" t="s">
        <v>32</v>
      </c>
      <c r="H497" t="s">
        <v>25</v>
      </c>
      <c r="I497">
        <v>5</v>
      </c>
      <c r="J497">
        <v>18.79</v>
      </c>
      <c r="K497">
        <v>8</v>
      </c>
      <c r="L497">
        <v>126.56</v>
      </c>
      <c r="M497">
        <v>80</v>
      </c>
      <c r="N497" t="s">
        <v>49</v>
      </c>
      <c r="O497">
        <v>29</v>
      </c>
      <c r="P497">
        <v>137</v>
      </c>
      <c r="Q497" s="27" t="str">
        <f>IF(D497=Pivot!$AS$4,R496, "")</f>
        <v/>
      </c>
      <c r="R497" t="s">
        <v>46</v>
      </c>
      <c r="S497" s="5">
        <v>21.17</v>
      </c>
      <c r="T497">
        <v>52.66</v>
      </c>
      <c r="U497">
        <v>168.75</v>
      </c>
      <c r="V497" s="27">
        <f t="shared" si="28"/>
        <v>751.59999999999991</v>
      </c>
      <c r="W497">
        <f t="shared" si="29"/>
        <v>295.31</v>
      </c>
      <c r="X497" s="33" t="str">
        <f t="shared" si="30"/>
        <v>Low Quality</v>
      </c>
      <c r="Y497" s="27" t="str">
        <f t="shared" si="31"/>
        <v>20</v>
      </c>
    </row>
    <row r="498" spans="1:25" x14ac:dyDescent="0.25">
      <c r="A498" s="1">
        <v>45487</v>
      </c>
      <c r="B498" t="s">
        <v>50</v>
      </c>
      <c r="C498">
        <v>1</v>
      </c>
      <c r="D498" t="s">
        <v>71</v>
      </c>
      <c r="E498" t="s">
        <v>51</v>
      </c>
      <c r="F498" t="s">
        <v>54</v>
      </c>
      <c r="G498" t="s">
        <v>39</v>
      </c>
      <c r="H498" t="s">
        <v>33</v>
      </c>
      <c r="I498">
        <v>4</v>
      </c>
      <c r="J498">
        <v>6.86</v>
      </c>
      <c r="K498">
        <v>1</v>
      </c>
      <c r="L498">
        <v>192.25</v>
      </c>
      <c r="M498">
        <v>12</v>
      </c>
      <c r="N498" t="s">
        <v>26</v>
      </c>
      <c r="O498">
        <v>16</v>
      </c>
      <c r="P498">
        <v>260</v>
      </c>
      <c r="Q498" s="27" t="str">
        <f>IF(D498=Pivot!$AS$4,R497, "")</f>
        <v/>
      </c>
      <c r="R498" t="s">
        <v>46</v>
      </c>
      <c r="S498" s="5">
        <v>6.15</v>
      </c>
      <c r="T498">
        <v>83.7</v>
      </c>
      <c r="U498">
        <v>38.450000000000003</v>
      </c>
      <c r="V498" s="27">
        <f t="shared" si="28"/>
        <v>27.44</v>
      </c>
      <c r="W498">
        <f t="shared" si="29"/>
        <v>230.7</v>
      </c>
      <c r="X498" s="33" t="str">
        <f t="shared" si="30"/>
        <v>Mid Quality</v>
      </c>
      <c r="Y498" s="27" t="str">
        <f t="shared" si="31"/>
        <v>8</v>
      </c>
    </row>
    <row r="499" spans="1:25" x14ac:dyDescent="0.25">
      <c r="A499" s="1">
        <v>45438</v>
      </c>
      <c r="B499" t="s">
        <v>50</v>
      </c>
      <c r="C499">
        <v>1</v>
      </c>
      <c r="D499" t="s">
        <v>53</v>
      </c>
      <c r="E499" t="s">
        <v>30</v>
      </c>
      <c r="F499" t="s">
        <v>73</v>
      </c>
      <c r="G499" t="s">
        <v>52</v>
      </c>
      <c r="H499" t="s">
        <v>40</v>
      </c>
      <c r="I499">
        <v>5</v>
      </c>
      <c r="J499">
        <v>17.52</v>
      </c>
      <c r="K499">
        <v>5</v>
      </c>
      <c r="L499">
        <v>241.02</v>
      </c>
      <c r="M499">
        <v>83</v>
      </c>
      <c r="N499" t="s">
        <v>26</v>
      </c>
      <c r="O499">
        <v>1</v>
      </c>
      <c r="P499">
        <v>561</v>
      </c>
      <c r="Q499" s="27" t="str">
        <f>IF(D499=Pivot!$AS$4,R498, "")</f>
        <v/>
      </c>
      <c r="R499" t="s">
        <v>34</v>
      </c>
      <c r="S499" s="5">
        <v>0.18</v>
      </c>
      <c r="T499">
        <v>94.64</v>
      </c>
      <c r="U499">
        <v>333.41</v>
      </c>
      <c r="V499" s="27">
        <f t="shared" si="28"/>
        <v>438</v>
      </c>
      <c r="W499">
        <f t="shared" si="29"/>
        <v>574.43000000000006</v>
      </c>
      <c r="X499" s="33" t="str">
        <f t="shared" si="30"/>
        <v>Low Quality</v>
      </c>
      <c r="Y499" s="27" t="str">
        <f t="shared" si="31"/>
        <v>18</v>
      </c>
    </row>
    <row r="500" spans="1:25" x14ac:dyDescent="0.25">
      <c r="A500" s="1">
        <v>45529</v>
      </c>
      <c r="B500" t="s">
        <v>28</v>
      </c>
      <c r="C500">
        <v>1</v>
      </c>
      <c r="D500" t="s">
        <v>88</v>
      </c>
      <c r="E500" t="s">
        <v>67</v>
      </c>
      <c r="F500" t="s">
        <v>84</v>
      </c>
      <c r="G500" t="s">
        <v>60</v>
      </c>
      <c r="H500" t="s">
        <v>48</v>
      </c>
      <c r="I500">
        <v>5</v>
      </c>
      <c r="J500">
        <v>15.52</v>
      </c>
      <c r="K500">
        <v>9</v>
      </c>
      <c r="L500">
        <v>189.2</v>
      </c>
      <c r="M500">
        <v>30</v>
      </c>
      <c r="N500" t="s">
        <v>26</v>
      </c>
      <c r="O500">
        <v>17</v>
      </c>
      <c r="P500">
        <v>548</v>
      </c>
      <c r="Q500" s="27" t="str">
        <f>IF(D500=Pivot!$AS$4,R499, "")</f>
        <v/>
      </c>
      <c r="R500" t="s">
        <v>34</v>
      </c>
      <c r="S500" s="5">
        <v>3.1</v>
      </c>
      <c r="T500">
        <v>88.8</v>
      </c>
      <c r="U500">
        <v>94.6</v>
      </c>
      <c r="V500" s="27">
        <f t="shared" si="28"/>
        <v>698.4</v>
      </c>
      <c r="W500">
        <f t="shared" si="29"/>
        <v>283.79999999999995</v>
      </c>
      <c r="X500" s="33" t="str">
        <f t="shared" si="30"/>
        <v>Low Quality</v>
      </c>
      <c r="Y500" s="27" t="str">
        <f t="shared" si="31"/>
        <v>16</v>
      </c>
    </row>
    <row r="501" spans="1:25" x14ac:dyDescent="0.25">
      <c r="A501" s="1">
        <v>45366</v>
      </c>
      <c r="B501" t="s">
        <v>20</v>
      </c>
      <c r="C501">
        <v>3</v>
      </c>
      <c r="D501" t="s">
        <v>66</v>
      </c>
      <c r="E501" t="s">
        <v>51</v>
      </c>
      <c r="F501" t="s">
        <v>23</v>
      </c>
      <c r="G501" t="s">
        <v>52</v>
      </c>
      <c r="H501" t="s">
        <v>40</v>
      </c>
      <c r="I501">
        <v>4</v>
      </c>
      <c r="J501">
        <v>5.71</v>
      </c>
      <c r="K501">
        <v>1</v>
      </c>
      <c r="L501">
        <v>176.29</v>
      </c>
      <c r="M501">
        <v>16</v>
      </c>
      <c r="N501" t="s">
        <v>26</v>
      </c>
      <c r="O501">
        <v>30</v>
      </c>
      <c r="P501">
        <v>216</v>
      </c>
      <c r="Q501" s="27" t="str">
        <f>IF(D501=Pivot!$AS$4,R500, "")</f>
        <v/>
      </c>
      <c r="R501" t="s">
        <v>46</v>
      </c>
      <c r="S501" s="5">
        <v>13.89</v>
      </c>
      <c r="T501">
        <v>68.22</v>
      </c>
      <c r="U501">
        <v>47.01</v>
      </c>
      <c r="V501" s="27">
        <f t="shared" si="28"/>
        <v>22.84</v>
      </c>
      <c r="W501">
        <f t="shared" si="29"/>
        <v>223.29999999999998</v>
      </c>
      <c r="X501" s="33" t="str">
        <f t="shared" si="30"/>
        <v>High Quality</v>
      </c>
      <c r="Y501" s="27" t="str">
        <f t="shared" si="31"/>
        <v>6</v>
      </c>
    </row>
    <row r="502" spans="1:25" x14ac:dyDescent="0.25">
      <c r="A502" s="1">
        <v>45377</v>
      </c>
      <c r="B502" t="s">
        <v>75</v>
      </c>
      <c r="C502">
        <v>2</v>
      </c>
      <c r="D502" t="s">
        <v>88</v>
      </c>
      <c r="E502" t="s">
        <v>30</v>
      </c>
      <c r="F502" t="s">
        <v>54</v>
      </c>
      <c r="G502" t="s">
        <v>52</v>
      </c>
      <c r="H502" t="s">
        <v>48</v>
      </c>
      <c r="I502">
        <v>4</v>
      </c>
      <c r="J502">
        <v>1.69</v>
      </c>
      <c r="K502">
        <v>4</v>
      </c>
      <c r="L502">
        <v>487.5</v>
      </c>
      <c r="M502">
        <v>47</v>
      </c>
      <c r="N502" t="s">
        <v>26</v>
      </c>
      <c r="O502">
        <v>26</v>
      </c>
      <c r="P502">
        <v>340</v>
      </c>
      <c r="Q502" s="27" t="str">
        <f>IF(D502=Pivot!$AS$4,R501, "")</f>
        <v/>
      </c>
      <c r="R502" t="s">
        <v>42</v>
      </c>
      <c r="S502" s="5">
        <v>7.65</v>
      </c>
      <c r="T502">
        <v>80.7</v>
      </c>
      <c r="U502">
        <v>381.88</v>
      </c>
      <c r="V502" s="27">
        <f t="shared" si="28"/>
        <v>27.04</v>
      </c>
      <c r="W502">
        <f t="shared" si="29"/>
        <v>869.38</v>
      </c>
      <c r="X502" s="33" t="str">
        <f t="shared" si="30"/>
        <v>High Quality</v>
      </c>
      <c r="Y502" s="27" t="str">
        <f t="shared" si="31"/>
        <v>2</v>
      </c>
    </row>
    <row r="503" spans="1:25" x14ac:dyDescent="0.25">
      <c r="A503" s="1">
        <v>45464</v>
      </c>
      <c r="B503" t="s">
        <v>65</v>
      </c>
      <c r="C503">
        <v>1</v>
      </c>
      <c r="D503" t="s">
        <v>64</v>
      </c>
      <c r="E503" t="s">
        <v>37</v>
      </c>
      <c r="F503" t="s">
        <v>56</v>
      </c>
      <c r="G503" t="s">
        <v>60</v>
      </c>
      <c r="H503" t="s">
        <v>40</v>
      </c>
      <c r="I503">
        <v>4</v>
      </c>
      <c r="J503">
        <v>2.94</v>
      </c>
      <c r="K503">
        <v>6</v>
      </c>
      <c r="L503">
        <v>119.01</v>
      </c>
      <c r="M503">
        <v>55</v>
      </c>
      <c r="N503" t="s">
        <v>45</v>
      </c>
      <c r="O503">
        <v>46</v>
      </c>
      <c r="P503">
        <v>125</v>
      </c>
      <c r="Q503" s="27" t="str">
        <f>IF(D503=Pivot!$AS$4,R502, "")</f>
        <v/>
      </c>
      <c r="R503" t="s">
        <v>42</v>
      </c>
      <c r="S503" s="5">
        <v>36.799999999999997</v>
      </c>
      <c r="T503">
        <v>22.4</v>
      </c>
      <c r="U503">
        <v>109.09</v>
      </c>
      <c r="V503" s="27">
        <f t="shared" si="28"/>
        <v>70.56</v>
      </c>
      <c r="W503">
        <f t="shared" si="29"/>
        <v>228.10000000000002</v>
      </c>
      <c r="X503" s="33" t="str">
        <f t="shared" si="30"/>
        <v>High Quality</v>
      </c>
      <c r="Y503" s="27" t="str">
        <f t="shared" si="31"/>
        <v>4</v>
      </c>
    </row>
    <row r="504" spans="1:25" x14ac:dyDescent="0.25">
      <c r="A504" s="1">
        <v>45507</v>
      </c>
      <c r="B504" t="s">
        <v>65</v>
      </c>
      <c r="C504">
        <v>3</v>
      </c>
      <c r="D504" t="s">
        <v>79</v>
      </c>
      <c r="E504" t="s">
        <v>30</v>
      </c>
      <c r="F504" t="s">
        <v>23</v>
      </c>
      <c r="G504" t="s">
        <v>32</v>
      </c>
      <c r="H504" t="s">
        <v>33</v>
      </c>
      <c r="I504">
        <v>4</v>
      </c>
      <c r="J504">
        <v>14.84</v>
      </c>
      <c r="K504">
        <v>8</v>
      </c>
      <c r="L504">
        <v>380</v>
      </c>
      <c r="M504">
        <v>86</v>
      </c>
      <c r="N504" t="s">
        <v>55</v>
      </c>
      <c r="O504">
        <v>19</v>
      </c>
      <c r="P504">
        <v>747</v>
      </c>
      <c r="Q504" s="27" t="str">
        <f>IF(D504=Pivot!$AS$4,R503, "")</f>
        <v/>
      </c>
      <c r="R504" t="s">
        <v>57</v>
      </c>
      <c r="S504" s="5">
        <v>2.54</v>
      </c>
      <c r="T504">
        <v>90.92</v>
      </c>
      <c r="U504">
        <v>544.66999999999996</v>
      </c>
      <c r="V504" s="27">
        <f t="shared" si="28"/>
        <v>474.88</v>
      </c>
      <c r="W504">
        <f t="shared" si="29"/>
        <v>924.67</v>
      </c>
      <c r="X504" s="33" t="str">
        <f t="shared" si="30"/>
        <v>Mid Quality</v>
      </c>
      <c r="Y504" s="27" t="str">
        <f t="shared" si="31"/>
        <v>16</v>
      </c>
    </row>
    <row r="505" spans="1:25" x14ac:dyDescent="0.25">
      <c r="A505" s="1">
        <v>45584</v>
      </c>
      <c r="B505" t="s">
        <v>28</v>
      </c>
      <c r="C505">
        <v>3</v>
      </c>
      <c r="D505" t="s">
        <v>64</v>
      </c>
      <c r="E505" t="s">
        <v>67</v>
      </c>
      <c r="F505" t="s">
        <v>69</v>
      </c>
      <c r="G505" t="s">
        <v>60</v>
      </c>
      <c r="H505" t="s">
        <v>33</v>
      </c>
      <c r="I505">
        <v>4</v>
      </c>
      <c r="J505">
        <v>4.79</v>
      </c>
      <c r="K505">
        <v>3</v>
      </c>
      <c r="L505">
        <v>50.18</v>
      </c>
      <c r="M505">
        <v>67</v>
      </c>
      <c r="N505" t="s">
        <v>49</v>
      </c>
      <c r="O505">
        <v>21</v>
      </c>
      <c r="P505">
        <v>661</v>
      </c>
      <c r="Q505" s="27" t="str">
        <f>IF(D505=Pivot!$AS$4,R504, "")</f>
        <v/>
      </c>
      <c r="R505" t="s">
        <v>46</v>
      </c>
      <c r="S505" s="5">
        <v>3.18</v>
      </c>
      <c r="T505">
        <v>89.64</v>
      </c>
      <c r="U505">
        <v>56.03</v>
      </c>
      <c r="V505" s="27">
        <f t="shared" si="28"/>
        <v>57.480000000000004</v>
      </c>
      <c r="W505">
        <f t="shared" si="29"/>
        <v>106.21000000000001</v>
      </c>
      <c r="X505" s="33" t="str">
        <f t="shared" si="30"/>
        <v>High Quality</v>
      </c>
      <c r="Y505" s="27" t="str">
        <f t="shared" si="31"/>
        <v>6</v>
      </c>
    </row>
    <row r="506" spans="1:25" x14ac:dyDescent="0.25">
      <c r="A506" s="1">
        <v>45499</v>
      </c>
      <c r="B506" t="s">
        <v>50</v>
      </c>
      <c r="C506">
        <v>3</v>
      </c>
      <c r="D506" t="s">
        <v>53</v>
      </c>
      <c r="E506" t="s">
        <v>22</v>
      </c>
      <c r="F506" t="s">
        <v>68</v>
      </c>
      <c r="G506" t="s">
        <v>52</v>
      </c>
      <c r="H506" t="s">
        <v>40</v>
      </c>
      <c r="I506">
        <v>5</v>
      </c>
      <c r="J506">
        <v>8.0500000000000007</v>
      </c>
      <c r="K506">
        <v>5</v>
      </c>
      <c r="L506">
        <v>318.27999999999997</v>
      </c>
      <c r="M506">
        <v>53</v>
      </c>
      <c r="N506" t="s">
        <v>63</v>
      </c>
      <c r="O506">
        <v>17</v>
      </c>
      <c r="P506">
        <v>905</v>
      </c>
      <c r="Q506" s="27" t="str">
        <f>IF(D506=Pivot!$AS$4,R505, "")</f>
        <v/>
      </c>
      <c r="R506" t="s">
        <v>46</v>
      </c>
      <c r="S506" s="5">
        <v>1.88</v>
      </c>
      <c r="T506">
        <v>91.24</v>
      </c>
      <c r="U506">
        <v>281.14999999999998</v>
      </c>
      <c r="V506" s="27">
        <f t="shared" si="28"/>
        <v>201.25000000000003</v>
      </c>
      <c r="W506">
        <f t="shared" si="29"/>
        <v>599.42999999999995</v>
      </c>
      <c r="X506" s="33" t="str">
        <f t="shared" si="30"/>
        <v>Mid Quality</v>
      </c>
      <c r="Y506" s="27" t="str">
        <f t="shared" si="31"/>
        <v>10</v>
      </c>
    </row>
    <row r="507" spans="1:25" x14ac:dyDescent="0.25">
      <c r="A507" s="1">
        <v>45328</v>
      </c>
      <c r="B507" t="s">
        <v>50</v>
      </c>
      <c r="C507">
        <v>2</v>
      </c>
      <c r="D507" t="s">
        <v>47</v>
      </c>
      <c r="E507" t="s">
        <v>30</v>
      </c>
      <c r="F507" t="s">
        <v>70</v>
      </c>
      <c r="G507" t="s">
        <v>32</v>
      </c>
      <c r="H507" t="s">
        <v>25</v>
      </c>
      <c r="I507">
        <v>2</v>
      </c>
      <c r="J507">
        <v>10.53</v>
      </c>
      <c r="K507">
        <v>7</v>
      </c>
      <c r="L507">
        <v>462.17</v>
      </c>
      <c r="M507">
        <v>31</v>
      </c>
      <c r="N507" t="s">
        <v>26</v>
      </c>
      <c r="O507">
        <v>46</v>
      </c>
      <c r="P507">
        <v>397</v>
      </c>
      <c r="Q507" s="27" t="str">
        <f>IF(D507=Pivot!$AS$4,R506, "")</f>
        <v/>
      </c>
      <c r="R507" t="s">
        <v>46</v>
      </c>
      <c r="S507" s="5">
        <v>11.59</v>
      </c>
      <c r="T507">
        <v>74.819999999999993</v>
      </c>
      <c r="U507">
        <v>238.79</v>
      </c>
      <c r="V507" s="27">
        <f t="shared" si="28"/>
        <v>147.41999999999999</v>
      </c>
      <c r="W507">
        <f t="shared" si="29"/>
        <v>700.96</v>
      </c>
      <c r="X507" s="33" t="str">
        <f t="shared" si="30"/>
        <v>Mid Quality</v>
      </c>
      <c r="Y507" s="27" t="str">
        <f t="shared" si="31"/>
        <v>12</v>
      </c>
    </row>
    <row r="508" spans="1:25" x14ac:dyDescent="0.25">
      <c r="A508" s="1">
        <v>45332</v>
      </c>
      <c r="B508" t="s">
        <v>65</v>
      </c>
      <c r="C508">
        <v>1</v>
      </c>
      <c r="D508" t="s">
        <v>53</v>
      </c>
      <c r="E508" t="s">
        <v>22</v>
      </c>
      <c r="F508" t="s">
        <v>86</v>
      </c>
      <c r="G508" t="s">
        <v>24</v>
      </c>
      <c r="H508" t="s">
        <v>33</v>
      </c>
      <c r="I508">
        <v>2</v>
      </c>
      <c r="J508">
        <v>14.78</v>
      </c>
      <c r="K508">
        <v>1</v>
      </c>
      <c r="L508">
        <v>179.57</v>
      </c>
      <c r="M508">
        <v>13</v>
      </c>
      <c r="N508" t="s">
        <v>45</v>
      </c>
      <c r="O508">
        <v>40</v>
      </c>
      <c r="P508">
        <v>904</v>
      </c>
      <c r="Q508" s="27" t="str">
        <f>IF(D508=Pivot!$AS$4,R507, "")</f>
        <v/>
      </c>
      <c r="R508" t="s">
        <v>46</v>
      </c>
      <c r="S508" s="5">
        <v>4.42</v>
      </c>
      <c r="T508">
        <v>89.16</v>
      </c>
      <c r="U508">
        <v>38.909999999999997</v>
      </c>
      <c r="V508" s="27">
        <f t="shared" si="28"/>
        <v>29.56</v>
      </c>
      <c r="W508">
        <f t="shared" si="29"/>
        <v>218.48</v>
      </c>
      <c r="X508" s="33" t="str">
        <f t="shared" si="30"/>
        <v>Mid Quality</v>
      </c>
      <c r="Y508" s="27" t="str">
        <f t="shared" si="31"/>
        <v>16</v>
      </c>
    </row>
    <row r="509" spans="1:25" x14ac:dyDescent="0.25">
      <c r="A509" s="1">
        <v>45374</v>
      </c>
      <c r="B509" t="s">
        <v>28</v>
      </c>
      <c r="C509">
        <v>3</v>
      </c>
      <c r="D509" t="s">
        <v>29</v>
      </c>
      <c r="E509" t="s">
        <v>37</v>
      </c>
      <c r="F509" t="s">
        <v>59</v>
      </c>
      <c r="G509" t="s">
        <v>60</v>
      </c>
      <c r="H509" t="s">
        <v>48</v>
      </c>
      <c r="I509">
        <v>1</v>
      </c>
      <c r="J509">
        <v>3.15</v>
      </c>
      <c r="K509">
        <v>7</v>
      </c>
      <c r="L509">
        <v>133.49</v>
      </c>
      <c r="M509">
        <v>43</v>
      </c>
      <c r="N509" t="s">
        <v>49</v>
      </c>
      <c r="O509">
        <v>21</v>
      </c>
      <c r="P509">
        <v>253</v>
      </c>
      <c r="Q509" s="27" t="str">
        <f>IF(D509=Pivot!$AS$4,R508, "")</f>
        <v/>
      </c>
      <c r="R509" t="s">
        <v>34</v>
      </c>
      <c r="S509" s="5">
        <v>8.3000000000000007</v>
      </c>
      <c r="T509">
        <v>82.4</v>
      </c>
      <c r="U509">
        <v>95.67</v>
      </c>
      <c r="V509" s="27">
        <f t="shared" si="28"/>
        <v>22.05</v>
      </c>
      <c r="W509">
        <f t="shared" si="29"/>
        <v>229.16000000000003</v>
      </c>
      <c r="X509" s="33" t="str">
        <f t="shared" si="30"/>
        <v>High Quality</v>
      </c>
      <c r="Y509" s="27" t="str">
        <f t="shared" si="31"/>
        <v>4</v>
      </c>
    </row>
    <row r="510" spans="1:25" x14ac:dyDescent="0.25">
      <c r="A510" s="1">
        <v>45467</v>
      </c>
      <c r="B510" t="s">
        <v>20</v>
      </c>
      <c r="C510">
        <v>2</v>
      </c>
      <c r="D510" t="s">
        <v>85</v>
      </c>
      <c r="E510" t="s">
        <v>30</v>
      </c>
      <c r="F510" t="s">
        <v>70</v>
      </c>
      <c r="G510" t="s">
        <v>60</v>
      </c>
      <c r="H510" t="s">
        <v>48</v>
      </c>
      <c r="I510">
        <v>2</v>
      </c>
      <c r="J510">
        <v>8.7200000000000006</v>
      </c>
      <c r="K510">
        <v>8</v>
      </c>
      <c r="L510">
        <v>343.26</v>
      </c>
      <c r="M510">
        <v>69</v>
      </c>
      <c r="N510" t="s">
        <v>49</v>
      </c>
      <c r="O510">
        <v>41</v>
      </c>
      <c r="P510">
        <v>831</v>
      </c>
      <c r="Q510" s="27" t="str">
        <f>IF(D510=Pivot!$AS$4,R509, "")</f>
        <v/>
      </c>
      <c r="R510" t="s">
        <v>27</v>
      </c>
      <c r="S510" s="5">
        <v>4.93</v>
      </c>
      <c r="T510">
        <v>88.14</v>
      </c>
      <c r="U510">
        <v>394.75</v>
      </c>
      <c r="V510" s="27">
        <f t="shared" si="28"/>
        <v>139.52000000000001</v>
      </c>
      <c r="W510">
        <f t="shared" si="29"/>
        <v>738.01</v>
      </c>
      <c r="X510" s="33" t="str">
        <f t="shared" si="30"/>
        <v>Mid Quality</v>
      </c>
      <c r="Y510" s="27" t="str">
        <f t="shared" si="31"/>
        <v>10</v>
      </c>
    </row>
    <row r="511" spans="1:25" x14ac:dyDescent="0.25">
      <c r="A511" s="1">
        <v>45408</v>
      </c>
      <c r="B511" t="s">
        <v>50</v>
      </c>
      <c r="C511">
        <v>2</v>
      </c>
      <c r="D511" t="s">
        <v>43</v>
      </c>
      <c r="E511" t="s">
        <v>51</v>
      </c>
      <c r="F511" t="s">
        <v>70</v>
      </c>
      <c r="G511" t="s">
        <v>32</v>
      </c>
      <c r="H511" t="s">
        <v>61</v>
      </c>
      <c r="I511">
        <v>2</v>
      </c>
      <c r="J511">
        <v>10.220000000000001</v>
      </c>
      <c r="K511">
        <v>8</v>
      </c>
      <c r="L511">
        <v>370.67</v>
      </c>
      <c r="M511">
        <v>75</v>
      </c>
      <c r="N511" t="s">
        <v>49</v>
      </c>
      <c r="O511">
        <v>40</v>
      </c>
      <c r="P511">
        <v>751</v>
      </c>
      <c r="Q511" s="27" t="str">
        <f>IF(D511=Pivot!$AS$4,R510, "")</f>
        <v/>
      </c>
      <c r="R511" t="s">
        <v>46</v>
      </c>
      <c r="S511" s="5">
        <v>5.33</v>
      </c>
      <c r="T511">
        <v>87.34</v>
      </c>
      <c r="U511">
        <v>463.34</v>
      </c>
      <c r="V511" s="27">
        <f t="shared" si="28"/>
        <v>163.52000000000001</v>
      </c>
      <c r="W511">
        <f t="shared" si="29"/>
        <v>834.01</v>
      </c>
      <c r="X511" s="33" t="str">
        <f t="shared" si="30"/>
        <v>Mid Quality</v>
      </c>
      <c r="Y511" s="27" t="str">
        <f t="shared" si="31"/>
        <v>12</v>
      </c>
    </row>
    <row r="512" spans="1:25" x14ac:dyDescent="0.25">
      <c r="A512" s="1">
        <v>45452</v>
      </c>
      <c r="B512" t="s">
        <v>20</v>
      </c>
      <c r="C512">
        <v>2</v>
      </c>
      <c r="D512" t="s">
        <v>71</v>
      </c>
      <c r="E512" t="s">
        <v>22</v>
      </c>
      <c r="F512" t="s">
        <v>23</v>
      </c>
      <c r="G512" t="s">
        <v>24</v>
      </c>
      <c r="H512" t="s">
        <v>48</v>
      </c>
      <c r="I512">
        <v>5</v>
      </c>
      <c r="J512">
        <v>11.28</v>
      </c>
      <c r="K512">
        <v>9</v>
      </c>
      <c r="L512">
        <v>359.61</v>
      </c>
      <c r="M512">
        <v>75</v>
      </c>
      <c r="N512" t="s">
        <v>45</v>
      </c>
      <c r="O512">
        <v>45</v>
      </c>
      <c r="P512">
        <v>567</v>
      </c>
      <c r="Q512" s="27" t="str">
        <f>IF(D512=Pivot!$AS$4,R511, "")</f>
        <v/>
      </c>
      <c r="R512" t="s">
        <v>27</v>
      </c>
      <c r="S512" s="5">
        <v>7.94</v>
      </c>
      <c r="T512">
        <v>79.12</v>
      </c>
      <c r="U512">
        <v>449.51</v>
      </c>
      <c r="V512" s="27">
        <f t="shared" si="28"/>
        <v>507.59999999999997</v>
      </c>
      <c r="W512">
        <f t="shared" si="29"/>
        <v>809.12</v>
      </c>
      <c r="X512" s="33" t="str">
        <f t="shared" si="30"/>
        <v>Mid Quality</v>
      </c>
      <c r="Y512" s="27" t="str">
        <f t="shared" si="31"/>
        <v>12</v>
      </c>
    </row>
    <row r="513" spans="1:25" x14ac:dyDescent="0.25">
      <c r="A513" s="1">
        <v>45454</v>
      </c>
      <c r="B513" t="s">
        <v>50</v>
      </c>
      <c r="C513">
        <v>3</v>
      </c>
      <c r="D513" t="s">
        <v>36</v>
      </c>
      <c r="E513" t="s">
        <v>37</v>
      </c>
      <c r="F513" t="s">
        <v>69</v>
      </c>
      <c r="G513" t="s">
        <v>24</v>
      </c>
      <c r="H513" t="s">
        <v>61</v>
      </c>
      <c r="I513">
        <v>4</v>
      </c>
      <c r="J513">
        <v>16.55</v>
      </c>
      <c r="K513">
        <v>6</v>
      </c>
      <c r="L513">
        <v>193.69</v>
      </c>
      <c r="M513">
        <v>11</v>
      </c>
      <c r="N513" t="s">
        <v>63</v>
      </c>
      <c r="O513">
        <v>49</v>
      </c>
      <c r="P513">
        <v>148</v>
      </c>
      <c r="Q513" s="27" t="str">
        <f>IF(D513=Pivot!$AS$4,R512, "")</f>
        <v/>
      </c>
      <c r="R513" t="s">
        <v>42</v>
      </c>
      <c r="S513" s="5">
        <v>33.11</v>
      </c>
      <c r="T513">
        <v>29.78</v>
      </c>
      <c r="U513">
        <v>35.51</v>
      </c>
      <c r="V513" s="27">
        <f t="shared" si="28"/>
        <v>397.20000000000005</v>
      </c>
      <c r="W513">
        <f t="shared" si="29"/>
        <v>229.2</v>
      </c>
      <c r="X513" s="33" t="str">
        <f t="shared" si="30"/>
        <v>Low Quality</v>
      </c>
      <c r="Y513" s="27" t="str">
        <f t="shared" si="31"/>
        <v>18</v>
      </c>
    </row>
    <row r="514" spans="1:25" x14ac:dyDescent="0.25">
      <c r="A514" s="1">
        <v>45441</v>
      </c>
      <c r="B514" t="s">
        <v>50</v>
      </c>
      <c r="C514">
        <v>1</v>
      </c>
      <c r="D514" t="s">
        <v>88</v>
      </c>
      <c r="E514" t="s">
        <v>51</v>
      </c>
      <c r="F514" t="s">
        <v>62</v>
      </c>
      <c r="G514" t="s">
        <v>32</v>
      </c>
      <c r="H514" t="s">
        <v>40</v>
      </c>
      <c r="I514">
        <v>4</v>
      </c>
      <c r="J514">
        <v>4.26</v>
      </c>
      <c r="K514">
        <v>6</v>
      </c>
      <c r="L514">
        <v>163.49</v>
      </c>
      <c r="M514">
        <v>76</v>
      </c>
      <c r="N514" t="s">
        <v>26</v>
      </c>
      <c r="O514">
        <v>19</v>
      </c>
      <c r="P514">
        <v>753</v>
      </c>
      <c r="Q514" s="27" t="str">
        <f>IF(D514=Pivot!$AS$4,R513, "")</f>
        <v/>
      </c>
      <c r="R514" t="s">
        <v>57</v>
      </c>
      <c r="S514" s="5">
        <v>2.52</v>
      </c>
      <c r="T514">
        <v>90.96</v>
      </c>
      <c r="U514">
        <v>207.09</v>
      </c>
      <c r="V514" s="27">
        <f t="shared" ref="V514:V577" si="32">K514*I514*J514</f>
        <v>102.24</v>
      </c>
      <c r="W514">
        <f t="shared" ref="W514:W577" si="33">U514+L514</f>
        <v>370.58000000000004</v>
      </c>
      <c r="X514" s="33" t="str">
        <f t="shared" ref="X514:X577" si="34">_xlfn.IFS(J514&lt;6,"High Quality",J514&lt;=15,"Mid Quality",J514&gt;15,"Low Quality")</f>
        <v>High Quality</v>
      </c>
      <c r="Y514" s="27" t="str">
        <f t="shared" ref="Y514:Y577" si="35">_xlfn.IFS(J514&lt;=0,"0",J514&lt;=2,"2",J514&lt;=4,"4",J514&lt;=6,"6",J514&lt;=8,"8",J514&lt;=10,"10",J514&lt;=12,"12",J514&lt;=14,"14",J514&lt;=16,"16",J514&lt;=16,"16",J514&lt;=18,"18",J514&lt;=20,"20")</f>
        <v>6</v>
      </c>
    </row>
    <row r="515" spans="1:25" x14ac:dyDescent="0.25">
      <c r="A515" s="1">
        <v>45428</v>
      </c>
      <c r="B515" t="s">
        <v>35</v>
      </c>
      <c r="C515">
        <v>3</v>
      </c>
      <c r="D515" t="s">
        <v>58</v>
      </c>
      <c r="E515" t="s">
        <v>51</v>
      </c>
      <c r="F515" t="s">
        <v>31</v>
      </c>
      <c r="G515" t="s">
        <v>39</v>
      </c>
      <c r="H515" t="s">
        <v>40</v>
      </c>
      <c r="I515">
        <v>5</v>
      </c>
      <c r="J515">
        <v>16.350000000000001</v>
      </c>
      <c r="K515">
        <v>2</v>
      </c>
      <c r="L515">
        <v>480.16</v>
      </c>
      <c r="M515">
        <v>84</v>
      </c>
      <c r="N515" t="s">
        <v>49</v>
      </c>
      <c r="O515">
        <v>7</v>
      </c>
      <c r="P515">
        <v>145</v>
      </c>
      <c r="Q515" s="27" t="str">
        <f>IF(D515=Pivot!$AS$4,R514, "")</f>
        <v/>
      </c>
      <c r="R515" t="s">
        <v>42</v>
      </c>
      <c r="S515" s="5">
        <v>4.83</v>
      </c>
      <c r="T515">
        <v>85.34</v>
      </c>
      <c r="U515">
        <v>672.22</v>
      </c>
      <c r="V515" s="27">
        <f t="shared" si="32"/>
        <v>163.5</v>
      </c>
      <c r="W515">
        <f t="shared" si="33"/>
        <v>1152.3800000000001</v>
      </c>
      <c r="X515" s="33" t="str">
        <f t="shared" si="34"/>
        <v>Low Quality</v>
      </c>
      <c r="Y515" s="27" t="str">
        <f t="shared" si="35"/>
        <v>18</v>
      </c>
    </row>
    <row r="516" spans="1:25" x14ac:dyDescent="0.25">
      <c r="A516" s="1">
        <v>45494</v>
      </c>
      <c r="B516" t="s">
        <v>50</v>
      </c>
      <c r="C516">
        <v>3</v>
      </c>
      <c r="D516" t="s">
        <v>58</v>
      </c>
      <c r="E516" t="s">
        <v>51</v>
      </c>
      <c r="F516" t="s">
        <v>81</v>
      </c>
      <c r="G516" t="s">
        <v>60</v>
      </c>
      <c r="H516" t="s">
        <v>40</v>
      </c>
      <c r="I516">
        <v>2</v>
      </c>
      <c r="J516">
        <v>14.16</v>
      </c>
      <c r="K516">
        <v>3</v>
      </c>
      <c r="L516">
        <v>465.48</v>
      </c>
      <c r="M516">
        <v>71</v>
      </c>
      <c r="N516" t="s">
        <v>45</v>
      </c>
      <c r="O516">
        <v>17</v>
      </c>
      <c r="P516">
        <v>774</v>
      </c>
      <c r="Q516" s="27" t="str">
        <f>IF(D516=Pivot!$AS$4,R515, "")</f>
        <v/>
      </c>
      <c r="R516" t="s">
        <v>46</v>
      </c>
      <c r="S516" s="5">
        <v>2.2000000000000002</v>
      </c>
      <c r="T516">
        <v>93.6</v>
      </c>
      <c r="U516">
        <v>550.82000000000005</v>
      </c>
      <c r="V516" s="27">
        <f t="shared" si="32"/>
        <v>84.960000000000008</v>
      </c>
      <c r="W516">
        <f t="shared" si="33"/>
        <v>1016.3000000000001</v>
      </c>
      <c r="X516" s="33" t="str">
        <f t="shared" si="34"/>
        <v>Mid Quality</v>
      </c>
      <c r="Y516" s="27" t="str">
        <f t="shared" si="35"/>
        <v>16</v>
      </c>
    </row>
    <row r="517" spans="1:25" x14ac:dyDescent="0.25">
      <c r="A517" s="1">
        <v>45430</v>
      </c>
      <c r="B517" t="s">
        <v>75</v>
      </c>
      <c r="C517">
        <v>1</v>
      </c>
      <c r="D517" t="s">
        <v>74</v>
      </c>
      <c r="E517" t="s">
        <v>51</v>
      </c>
      <c r="F517" t="s">
        <v>31</v>
      </c>
      <c r="G517" t="s">
        <v>60</v>
      </c>
      <c r="H517" t="s">
        <v>25</v>
      </c>
      <c r="I517">
        <v>5</v>
      </c>
      <c r="J517">
        <v>11.56</v>
      </c>
      <c r="K517">
        <v>4</v>
      </c>
      <c r="L517">
        <v>255.79</v>
      </c>
      <c r="M517">
        <v>14</v>
      </c>
      <c r="N517" t="s">
        <v>55</v>
      </c>
      <c r="O517">
        <v>1</v>
      </c>
      <c r="P517">
        <v>384</v>
      </c>
      <c r="Q517" s="27" t="str">
        <f>IF(D517=Pivot!$AS$4,R516, "")</f>
        <v/>
      </c>
      <c r="R517" t="s">
        <v>42</v>
      </c>
      <c r="S517" s="5">
        <v>0.26</v>
      </c>
      <c r="T517">
        <v>94.48</v>
      </c>
      <c r="U517">
        <v>59.68</v>
      </c>
      <c r="V517" s="27">
        <f t="shared" si="32"/>
        <v>231.20000000000002</v>
      </c>
      <c r="W517">
        <f t="shared" si="33"/>
        <v>315.46999999999997</v>
      </c>
      <c r="X517" s="33" t="str">
        <f t="shared" si="34"/>
        <v>Mid Quality</v>
      </c>
      <c r="Y517" s="27" t="str">
        <f t="shared" si="35"/>
        <v>12</v>
      </c>
    </row>
    <row r="518" spans="1:25" x14ac:dyDescent="0.25">
      <c r="A518" s="1">
        <v>45519</v>
      </c>
      <c r="B518" t="s">
        <v>28</v>
      </c>
      <c r="C518">
        <v>1</v>
      </c>
      <c r="D518" t="s">
        <v>58</v>
      </c>
      <c r="E518" t="s">
        <v>30</v>
      </c>
      <c r="F518" t="s">
        <v>89</v>
      </c>
      <c r="G518" t="s">
        <v>52</v>
      </c>
      <c r="H518" t="s">
        <v>25</v>
      </c>
      <c r="I518">
        <v>1</v>
      </c>
      <c r="J518">
        <v>14.29</v>
      </c>
      <c r="K518">
        <v>4</v>
      </c>
      <c r="L518">
        <v>430.79</v>
      </c>
      <c r="M518">
        <v>75</v>
      </c>
      <c r="N518" t="s">
        <v>45</v>
      </c>
      <c r="O518">
        <v>37</v>
      </c>
      <c r="P518">
        <v>879</v>
      </c>
      <c r="Q518" s="27" t="str">
        <f>IF(D518=Pivot!$AS$4,R517, "")</f>
        <v/>
      </c>
      <c r="R518" t="s">
        <v>34</v>
      </c>
      <c r="S518" s="5">
        <v>4.21</v>
      </c>
      <c r="T518">
        <v>90.58</v>
      </c>
      <c r="U518">
        <v>538.49</v>
      </c>
      <c r="V518" s="27">
        <f t="shared" si="32"/>
        <v>57.16</v>
      </c>
      <c r="W518">
        <f t="shared" si="33"/>
        <v>969.28</v>
      </c>
      <c r="X518" s="33" t="str">
        <f t="shared" si="34"/>
        <v>Mid Quality</v>
      </c>
      <c r="Y518" s="27" t="str">
        <f t="shared" si="35"/>
        <v>16</v>
      </c>
    </row>
    <row r="519" spans="1:25" x14ac:dyDescent="0.25">
      <c r="A519" s="1">
        <v>45477</v>
      </c>
      <c r="B519" t="s">
        <v>28</v>
      </c>
      <c r="C519">
        <v>1</v>
      </c>
      <c r="D519" t="s">
        <v>88</v>
      </c>
      <c r="E519" t="s">
        <v>30</v>
      </c>
      <c r="F519" t="s">
        <v>54</v>
      </c>
      <c r="G519" t="s">
        <v>32</v>
      </c>
      <c r="H519" t="s">
        <v>61</v>
      </c>
      <c r="I519">
        <v>4</v>
      </c>
      <c r="J519">
        <v>8.83</v>
      </c>
      <c r="K519">
        <v>8</v>
      </c>
      <c r="L519">
        <v>253.55</v>
      </c>
      <c r="M519">
        <v>89</v>
      </c>
      <c r="N519" t="s">
        <v>45</v>
      </c>
      <c r="O519">
        <v>6</v>
      </c>
      <c r="P519">
        <v>727</v>
      </c>
      <c r="Q519" s="27" t="str">
        <f>IF(D519=Pivot!$AS$4,R518, "")</f>
        <v/>
      </c>
      <c r="R519" t="s">
        <v>27</v>
      </c>
      <c r="S519" s="5">
        <v>0.83</v>
      </c>
      <c r="T519">
        <v>94.34</v>
      </c>
      <c r="U519">
        <v>376.1</v>
      </c>
      <c r="V519" s="27">
        <f t="shared" si="32"/>
        <v>282.56</v>
      </c>
      <c r="W519">
        <f t="shared" si="33"/>
        <v>629.65000000000009</v>
      </c>
      <c r="X519" s="33" t="str">
        <f t="shared" si="34"/>
        <v>Mid Quality</v>
      </c>
      <c r="Y519" s="27" t="str">
        <f t="shared" si="35"/>
        <v>10</v>
      </c>
    </row>
    <row r="520" spans="1:25" x14ac:dyDescent="0.25">
      <c r="A520" s="1">
        <v>45592</v>
      </c>
      <c r="B520" t="s">
        <v>20</v>
      </c>
      <c r="C520">
        <v>2</v>
      </c>
      <c r="D520" t="s">
        <v>21</v>
      </c>
      <c r="E520" t="s">
        <v>30</v>
      </c>
      <c r="F520" t="s">
        <v>56</v>
      </c>
      <c r="G520" t="s">
        <v>52</v>
      </c>
      <c r="H520" t="s">
        <v>48</v>
      </c>
      <c r="I520">
        <v>3</v>
      </c>
      <c r="J520">
        <v>3.63</v>
      </c>
      <c r="K520">
        <v>1</v>
      </c>
      <c r="L520">
        <v>240.98</v>
      </c>
      <c r="M520">
        <v>57</v>
      </c>
      <c r="N520" t="s">
        <v>45</v>
      </c>
      <c r="O520">
        <v>26</v>
      </c>
      <c r="P520">
        <v>181</v>
      </c>
      <c r="Q520" s="27" t="str">
        <f>IF(D520=Pivot!$AS$4,R519, "")</f>
        <v/>
      </c>
      <c r="R520" t="s">
        <v>46</v>
      </c>
      <c r="S520" s="5">
        <v>14.36</v>
      </c>
      <c r="T520">
        <v>68.28</v>
      </c>
      <c r="U520">
        <v>228.93</v>
      </c>
      <c r="V520" s="27">
        <f t="shared" si="32"/>
        <v>10.89</v>
      </c>
      <c r="W520">
        <f t="shared" si="33"/>
        <v>469.90999999999997</v>
      </c>
      <c r="X520" s="33" t="str">
        <f t="shared" si="34"/>
        <v>High Quality</v>
      </c>
      <c r="Y520" s="27" t="str">
        <f t="shared" si="35"/>
        <v>4</v>
      </c>
    </row>
    <row r="521" spans="1:25" x14ac:dyDescent="0.25">
      <c r="A521" s="1">
        <v>45558</v>
      </c>
      <c r="B521" t="s">
        <v>50</v>
      </c>
      <c r="C521">
        <v>1</v>
      </c>
      <c r="D521" t="s">
        <v>88</v>
      </c>
      <c r="E521" t="s">
        <v>37</v>
      </c>
      <c r="F521" t="s">
        <v>69</v>
      </c>
      <c r="G521" t="s">
        <v>52</v>
      </c>
      <c r="H521" t="s">
        <v>48</v>
      </c>
      <c r="I521">
        <v>1</v>
      </c>
      <c r="J521">
        <v>13.65</v>
      </c>
      <c r="K521">
        <v>4</v>
      </c>
      <c r="L521">
        <v>120.54</v>
      </c>
      <c r="M521">
        <v>61</v>
      </c>
      <c r="N521" t="s">
        <v>49</v>
      </c>
      <c r="O521">
        <v>2</v>
      </c>
      <c r="P521">
        <v>143</v>
      </c>
      <c r="Q521" s="27" t="str">
        <f>IF(D521=Pivot!$AS$4,R520, "")</f>
        <v/>
      </c>
      <c r="R521" t="s">
        <v>34</v>
      </c>
      <c r="S521" s="5">
        <v>1.4</v>
      </c>
      <c r="T521">
        <v>96.2</v>
      </c>
      <c r="U521">
        <v>122.55</v>
      </c>
      <c r="V521" s="27">
        <f t="shared" si="32"/>
        <v>54.6</v>
      </c>
      <c r="W521">
        <f t="shared" si="33"/>
        <v>243.09</v>
      </c>
      <c r="X521" s="33" t="str">
        <f t="shared" si="34"/>
        <v>Mid Quality</v>
      </c>
      <c r="Y521" s="27" t="str">
        <f t="shared" si="35"/>
        <v>14</v>
      </c>
    </row>
    <row r="522" spans="1:25" x14ac:dyDescent="0.25">
      <c r="A522" s="1">
        <v>45522</v>
      </c>
      <c r="B522" t="s">
        <v>75</v>
      </c>
      <c r="C522">
        <v>3</v>
      </c>
      <c r="D522" t="s">
        <v>36</v>
      </c>
      <c r="E522" t="s">
        <v>37</v>
      </c>
      <c r="F522" t="s">
        <v>90</v>
      </c>
      <c r="G522" t="s">
        <v>24</v>
      </c>
      <c r="H522" t="s">
        <v>40</v>
      </c>
      <c r="I522">
        <v>1</v>
      </c>
      <c r="J522">
        <v>10.97</v>
      </c>
      <c r="K522">
        <v>4</v>
      </c>
      <c r="L522">
        <v>241.88</v>
      </c>
      <c r="M522">
        <v>31</v>
      </c>
      <c r="N522" t="s">
        <v>45</v>
      </c>
      <c r="O522">
        <v>32</v>
      </c>
      <c r="P522">
        <v>805</v>
      </c>
      <c r="Q522" s="27" t="str">
        <f>IF(D522=Pivot!$AS$4,R521, "")</f>
        <v/>
      </c>
      <c r="R522" t="s">
        <v>27</v>
      </c>
      <c r="S522" s="5">
        <v>3.98</v>
      </c>
      <c r="T522">
        <v>91.04</v>
      </c>
      <c r="U522">
        <v>124.97</v>
      </c>
      <c r="V522" s="27">
        <f t="shared" si="32"/>
        <v>43.88</v>
      </c>
      <c r="W522">
        <f t="shared" si="33"/>
        <v>366.85</v>
      </c>
      <c r="X522" s="33" t="str">
        <f t="shared" si="34"/>
        <v>Mid Quality</v>
      </c>
      <c r="Y522" s="27" t="str">
        <f t="shared" si="35"/>
        <v>12</v>
      </c>
    </row>
    <row r="523" spans="1:25" x14ac:dyDescent="0.25">
      <c r="A523" s="1">
        <v>45503</v>
      </c>
      <c r="B523" t="s">
        <v>20</v>
      </c>
      <c r="C523">
        <v>1</v>
      </c>
      <c r="D523" t="s">
        <v>43</v>
      </c>
      <c r="E523" t="s">
        <v>37</v>
      </c>
      <c r="F523" t="s">
        <v>90</v>
      </c>
      <c r="G523" t="s">
        <v>60</v>
      </c>
      <c r="H523" t="s">
        <v>33</v>
      </c>
      <c r="I523">
        <v>5</v>
      </c>
      <c r="J523">
        <v>13.15</v>
      </c>
      <c r="K523">
        <v>1</v>
      </c>
      <c r="L523">
        <v>291.83999999999997</v>
      </c>
      <c r="M523">
        <v>58</v>
      </c>
      <c r="N523" t="s">
        <v>55</v>
      </c>
      <c r="O523">
        <v>48</v>
      </c>
      <c r="P523">
        <v>869</v>
      </c>
      <c r="Q523" s="27" t="str">
        <f>IF(D523=Pivot!$AS$4,R522, "")</f>
        <v/>
      </c>
      <c r="R523" t="s">
        <v>34</v>
      </c>
      <c r="S523" s="5">
        <v>5.52</v>
      </c>
      <c r="T523">
        <v>83.96</v>
      </c>
      <c r="U523">
        <v>282.11</v>
      </c>
      <c r="V523" s="27">
        <f t="shared" si="32"/>
        <v>65.75</v>
      </c>
      <c r="W523">
        <f t="shared" si="33"/>
        <v>573.95000000000005</v>
      </c>
      <c r="X523" s="33" t="str">
        <f t="shared" si="34"/>
        <v>Mid Quality</v>
      </c>
      <c r="Y523" s="27" t="str">
        <f t="shared" si="35"/>
        <v>14</v>
      </c>
    </row>
    <row r="524" spans="1:25" x14ac:dyDescent="0.25">
      <c r="A524" s="1">
        <v>45377</v>
      </c>
      <c r="B524" t="s">
        <v>35</v>
      </c>
      <c r="C524">
        <v>3</v>
      </c>
      <c r="D524" t="s">
        <v>79</v>
      </c>
      <c r="E524" t="s">
        <v>67</v>
      </c>
      <c r="F524" t="s">
        <v>90</v>
      </c>
      <c r="G524" t="s">
        <v>52</v>
      </c>
      <c r="H524" t="s">
        <v>25</v>
      </c>
      <c r="I524">
        <v>2</v>
      </c>
      <c r="J524">
        <v>7.42</v>
      </c>
      <c r="K524">
        <v>3</v>
      </c>
      <c r="L524">
        <v>60.13</v>
      </c>
      <c r="M524">
        <v>8</v>
      </c>
      <c r="N524" t="s">
        <v>49</v>
      </c>
      <c r="O524">
        <v>5</v>
      </c>
      <c r="P524">
        <v>372</v>
      </c>
      <c r="Q524" s="27" t="str">
        <f>IF(D524=Pivot!$AS$4,R523, "")</f>
        <v/>
      </c>
      <c r="R524" t="s">
        <v>42</v>
      </c>
      <c r="S524" s="5">
        <v>1.34</v>
      </c>
      <c r="T524">
        <v>95.32</v>
      </c>
      <c r="U524">
        <v>8.02</v>
      </c>
      <c r="V524" s="27">
        <f t="shared" si="32"/>
        <v>44.519999999999996</v>
      </c>
      <c r="W524">
        <f t="shared" si="33"/>
        <v>68.150000000000006</v>
      </c>
      <c r="X524" s="33" t="str">
        <f t="shared" si="34"/>
        <v>Mid Quality</v>
      </c>
      <c r="Y524" s="27" t="str">
        <f t="shared" si="35"/>
        <v>8</v>
      </c>
    </row>
    <row r="525" spans="1:25" x14ac:dyDescent="0.25">
      <c r="A525" s="1">
        <v>45386</v>
      </c>
      <c r="B525" t="s">
        <v>20</v>
      </c>
      <c r="C525">
        <v>2</v>
      </c>
      <c r="D525" t="s">
        <v>76</v>
      </c>
      <c r="E525" t="s">
        <v>37</v>
      </c>
      <c r="F525" t="s">
        <v>59</v>
      </c>
      <c r="G525" t="s">
        <v>24</v>
      </c>
      <c r="H525" t="s">
        <v>25</v>
      </c>
      <c r="I525">
        <v>4</v>
      </c>
      <c r="J525">
        <v>18.23</v>
      </c>
      <c r="K525">
        <v>5</v>
      </c>
      <c r="L525">
        <v>249.85</v>
      </c>
      <c r="M525">
        <v>27</v>
      </c>
      <c r="N525" t="s">
        <v>55</v>
      </c>
      <c r="O525">
        <v>37</v>
      </c>
      <c r="P525">
        <v>493</v>
      </c>
      <c r="Q525" s="27" t="str">
        <f>IF(D525=Pivot!$AS$4,R524, "")</f>
        <v/>
      </c>
      <c r="R525" t="s">
        <v>46</v>
      </c>
      <c r="S525" s="5">
        <v>7.51</v>
      </c>
      <c r="T525">
        <v>80.98</v>
      </c>
      <c r="U525">
        <v>112.43</v>
      </c>
      <c r="V525" s="27">
        <f t="shared" si="32"/>
        <v>364.6</v>
      </c>
      <c r="W525">
        <f t="shared" si="33"/>
        <v>362.28</v>
      </c>
      <c r="X525" s="33" t="str">
        <f t="shared" si="34"/>
        <v>Low Quality</v>
      </c>
      <c r="Y525" s="27" t="str">
        <f t="shared" si="35"/>
        <v>20</v>
      </c>
    </row>
    <row r="526" spans="1:25" x14ac:dyDescent="0.25">
      <c r="A526" s="1">
        <v>45303</v>
      </c>
      <c r="B526" t="s">
        <v>20</v>
      </c>
      <c r="C526">
        <v>3</v>
      </c>
      <c r="D526" t="s">
        <v>58</v>
      </c>
      <c r="E526" t="s">
        <v>30</v>
      </c>
      <c r="F526" t="s">
        <v>68</v>
      </c>
      <c r="G526" t="s">
        <v>32</v>
      </c>
      <c r="H526" t="s">
        <v>40</v>
      </c>
      <c r="I526">
        <v>3</v>
      </c>
      <c r="J526">
        <v>12.16</v>
      </c>
      <c r="K526">
        <v>6</v>
      </c>
      <c r="L526">
        <v>401.61</v>
      </c>
      <c r="M526">
        <v>52</v>
      </c>
      <c r="N526" t="s">
        <v>41</v>
      </c>
      <c r="O526">
        <v>31</v>
      </c>
      <c r="P526">
        <v>885</v>
      </c>
      <c r="Q526" s="27" t="str">
        <f>IF(D526=Pivot!$AS$4,R525, "")</f>
        <v/>
      </c>
      <c r="R526" t="s">
        <v>42</v>
      </c>
      <c r="S526" s="5">
        <v>3.5</v>
      </c>
      <c r="T526">
        <v>90</v>
      </c>
      <c r="U526">
        <v>348.06</v>
      </c>
      <c r="V526" s="27">
        <f t="shared" si="32"/>
        <v>218.88</v>
      </c>
      <c r="W526">
        <f t="shared" si="33"/>
        <v>749.67000000000007</v>
      </c>
      <c r="X526" s="33" t="str">
        <f t="shared" si="34"/>
        <v>Mid Quality</v>
      </c>
      <c r="Y526" s="27" t="str">
        <f t="shared" si="35"/>
        <v>14</v>
      </c>
    </row>
    <row r="527" spans="1:25" x14ac:dyDescent="0.25">
      <c r="A527" s="1">
        <v>45356</v>
      </c>
      <c r="B527" t="s">
        <v>50</v>
      </c>
      <c r="C527">
        <v>3</v>
      </c>
      <c r="D527" t="s">
        <v>76</v>
      </c>
      <c r="E527" t="s">
        <v>30</v>
      </c>
      <c r="F527" t="s">
        <v>72</v>
      </c>
      <c r="G527" t="s">
        <v>52</v>
      </c>
      <c r="H527" t="s">
        <v>25</v>
      </c>
      <c r="I527">
        <v>1</v>
      </c>
      <c r="J527">
        <v>2.62</v>
      </c>
      <c r="K527">
        <v>9</v>
      </c>
      <c r="L527">
        <v>356.02</v>
      </c>
      <c r="M527">
        <v>87</v>
      </c>
      <c r="N527" t="s">
        <v>45</v>
      </c>
      <c r="O527">
        <v>12</v>
      </c>
      <c r="P527">
        <v>889</v>
      </c>
      <c r="Q527" s="27" t="str">
        <f>IF(D527=Pivot!$AS$4,R526, "")</f>
        <v/>
      </c>
      <c r="R527" t="s">
        <v>57</v>
      </c>
      <c r="S527" s="5">
        <v>1.35</v>
      </c>
      <c r="T527">
        <v>96.3</v>
      </c>
      <c r="U527">
        <v>516.23</v>
      </c>
      <c r="V527" s="27">
        <f t="shared" si="32"/>
        <v>23.580000000000002</v>
      </c>
      <c r="W527">
        <f t="shared" si="33"/>
        <v>872.25</v>
      </c>
      <c r="X527" s="33" t="str">
        <f t="shared" si="34"/>
        <v>High Quality</v>
      </c>
      <c r="Y527" s="27" t="str">
        <f t="shared" si="35"/>
        <v>4</v>
      </c>
    </row>
    <row r="528" spans="1:25" x14ac:dyDescent="0.25">
      <c r="A528" s="1">
        <v>45412</v>
      </c>
      <c r="B528" t="s">
        <v>35</v>
      </c>
      <c r="C528">
        <v>1</v>
      </c>
      <c r="D528" t="s">
        <v>77</v>
      </c>
      <c r="E528" t="s">
        <v>67</v>
      </c>
      <c r="F528" t="s">
        <v>59</v>
      </c>
      <c r="G528" t="s">
        <v>60</v>
      </c>
      <c r="H528" t="s">
        <v>40</v>
      </c>
      <c r="I528">
        <v>3</v>
      </c>
      <c r="J528">
        <v>9.5500000000000007</v>
      </c>
      <c r="K528">
        <v>9</v>
      </c>
      <c r="L528">
        <v>335.82</v>
      </c>
      <c r="M528">
        <v>46</v>
      </c>
      <c r="N528" t="s">
        <v>26</v>
      </c>
      <c r="O528">
        <v>35</v>
      </c>
      <c r="P528">
        <v>694</v>
      </c>
      <c r="Q528" s="27" t="str">
        <f>IF(D528=Pivot!$AS$4,R527, "")</f>
        <v/>
      </c>
      <c r="R528" t="s">
        <v>46</v>
      </c>
      <c r="S528" s="5">
        <v>5.04</v>
      </c>
      <c r="T528">
        <v>86.92</v>
      </c>
      <c r="U528">
        <v>257.45999999999998</v>
      </c>
      <c r="V528" s="27">
        <f t="shared" si="32"/>
        <v>257.85000000000002</v>
      </c>
      <c r="W528">
        <f t="shared" si="33"/>
        <v>593.28</v>
      </c>
      <c r="X528" s="33" t="str">
        <f t="shared" si="34"/>
        <v>Mid Quality</v>
      </c>
      <c r="Y528" s="27" t="str">
        <f t="shared" si="35"/>
        <v>10</v>
      </c>
    </row>
    <row r="529" spans="1:25" x14ac:dyDescent="0.25">
      <c r="A529" s="1">
        <v>45420</v>
      </c>
      <c r="B529" t="s">
        <v>20</v>
      </c>
      <c r="C529">
        <v>1</v>
      </c>
      <c r="D529" t="s">
        <v>76</v>
      </c>
      <c r="E529" t="s">
        <v>67</v>
      </c>
      <c r="F529" t="s">
        <v>23</v>
      </c>
      <c r="G529" t="s">
        <v>52</v>
      </c>
      <c r="H529" t="s">
        <v>61</v>
      </c>
      <c r="I529">
        <v>2</v>
      </c>
      <c r="J529">
        <v>15.37</v>
      </c>
      <c r="K529">
        <v>9</v>
      </c>
      <c r="L529">
        <v>459.3</v>
      </c>
      <c r="M529">
        <v>7</v>
      </c>
      <c r="N529" t="s">
        <v>26</v>
      </c>
      <c r="O529">
        <v>30</v>
      </c>
      <c r="P529">
        <v>157</v>
      </c>
      <c r="Q529" s="27" t="str">
        <f>IF(D529=Pivot!$AS$4,R528, "")</f>
        <v/>
      </c>
      <c r="R529" t="s">
        <v>42</v>
      </c>
      <c r="S529" s="5">
        <v>19.11</v>
      </c>
      <c r="T529">
        <v>59.78</v>
      </c>
      <c r="U529">
        <v>53.58</v>
      </c>
      <c r="V529" s="27">
        <f t="shared" si="32"/>
        <v>276.65999999999997</v>
      </c>
      <c r="W529">
        <f t="shared" si="33"/>
        <v>512.88</v>
      </c>
      <c r="X529" s="33" t="str">
        <f t="shared" si="34"/>
        <v>Low Quality</v>
      </c>
      <c r="Y529" s="27" t="str">
        <f t="shared" si="35"/>
        <v>16</v>
      </c>
    </row>
    <row r="530" spans="1:25" x14ac:dyDescent="0.25">
      <c r="A530" s="1">
        <v>45332</v>
      </c>
      <c r="B530" t="s">
        <v>75</v>
      </c>
      <c r="C530">
        <v>3</v>
      </c>
      <c r="D530" t="s">
        <v>29</v>
      </c>
      <c r="E530" t="s">
        <v>37</v>
      </c>
      <c r="F530" t="s">
        <v>87</v>
      </c>
      <c r="G530" t="s">
        <v>32</v>
      </c>
      <c r="H530" t="s">
        <v>48</v>
      </c>
      <c r="I530">
        <v>2</v>
      </c>
      <c r="J530">
        <v>16.09</v>
      </c>
      <c r="K530">
        <v>1</v>
      </c>
      <c r="L530">
        <v>58.11</v>
      </c>
      <c r="M530">
        <v>7</v>
      </c>
      <c r="N530" t="s">
        <v>49</v>
      </c>
      <c r="O530">
        <v>48</v>
      </c>
      <c r="P530">
        <v>664</v>
      </c>
      <c r="Q530" s="27" t="str">
        <f>IF(D530=Pivot!$AS$4,R529, "")</f>
        <v/>
      </c>
      <c r="R530" t="s">
        <v>46</v>
      </c>
      <c r="S530" s="5">
        <v>7.23</v>
      </c>
      <c r="T530">
        <v>83.54</v>
      </c>
      <c r="U530">
        <v>6.78</v>
      </c>
      <c r="V530" s="27">
        <f t="shared" si="32"/>
        <v>32.18</v>
      </c>
      <c r="W530">
        <f t="shared" si="33"/>
        <v>64.89</v>
      </c>
      <c r="X530" s="33" t="str">
        <f t="shared" si="34"/>
        <v>Low Quality</v>
      </c>
      <c r="Y530" s="27" t="str">
        <f t="shared" si="35"/>
        <v>18</v>
      </c>
    </row>
    <row r="531" spans="1:25" x14ac:dyDescent="0.25">
      <c r="A531" s="1">
        <v>45399</v>
      </c>
      <c r="B531" t="s">
        <v>75</v>
      </c>
      <c r="C531">
        <v>1</v>
      </c>
      <c r="D531" t="s">
        <v>58</v>
      </c>
      <c r="E531" t="s">
        <v>22</v>
      </c>
      <c r="F531" t="s">
        <v>56</v>
      </c>
      <c r="G531" t="s">
        <v>52</v>
      </c>
      <c r="H531" t="s">
        <v>33</v>
      </c>
      <c r="I531">
        <v>3</v>
      </c>
      <c r="J531">
        <v>10.4</v>
      </c>
      <c r="K531">
        <v>9</v>
      </c>
      <c r="L531">
        <v>300.67</v>
      </c>
      <c r="M531">
        <v>32</v>
      </c>
      <c r="N531" t="s">
        <v>26</v>
      </c>
      <c r="O531">
        <v>6</v>
      </c>
      <c r="P531">
        <v>100</v>
      </c>
      <c r="Q531" s="27" t="str">
        <f>IF(D531=Pivot!$AS$4,R530, "")</f>
        <v/>
      </c>
      <c r="R531" t="s">
        <v>27</v>
      </c>
      <c r="S531" s="5">
        <v>6</v>
      </c>
      <c r="T531">
        <v>85</v>
      </c>
      <c r="U531">
        <v>160.36000000000001</v>
      </c>
      <c r="V531" s="27">
        <f t="shared" si="32"/>
        <v>280.8</v>
      </c>
      <c r="W531">
        <f t="shared" si="33"/>
        <v>461.03000000000003</v>
      </c>
      <c r="X531" s="33" t="str">
        <f t="shared" si="34"/>
        <v>Mid Quality</v>
      </c>
      <c r="Y531" s="27" t="str">
        <f t="shared" si="35"/>
        <v>12</v>
      </c>
    </row>
    <row r="532" spans="1:25" x14ac:dyDescent="0.25">
      <c r="A532" s="1">
        <v>45377</v>
      </c>
      <c r="B532" t="s">
        <v>28</v>
      </c>
      <c r="C532">
        <v>2</v>
      </c>
      <c r="D532" t="s">
        <v>82</v>
      </c>
      <c r="E532" t="s">
        <v>67</v>
      </c>
      <c r="F532" t="s">
        <v>54</v>
      </c>
      <c r="G532" t="s">
        <v>60</v>
      </c>
      <c r="H532" t="s">
        <v>48</v>
      </c>
      <c r="I532">
        <v>4</v>
      </c>
      <c r="J532">
        <v>18</v>
      </c>
      <c r="K532">
        <v>8</v>
      </c>
      <c r="L532">
        <v>404.31</v>
      </c>
      <c r="M532">
        <v>67</v>
      </c>
      <c r="N532" t="s">
        <v>49</v>
      </c>
      <c r="O532">
        <v>15</v>
      </c>
      <c r="P532">
        <v>315</v>
      </c>
      <c r="Q532" s="27" t="str">
        <f>IF(D532=Pivot!$AS$4,R531, "")</f>
        <v/>
      </c>
      <c r="R532" t="s">
        <v>46</v>
      </c>
      <c r="S532" s="5">
        <v>4.76</v>
      </c>
      <c r="T532">
        <v>86.48</v>
      </c>
      <c r="U532">
        <v>451.48</v>
      </c>
      <c r="V532" s="27">
        <f t="shared" si="32"/>
        <v>576</v>
      </c>
      <c r="W532">
        <f t="shared" si="33"/>
        <v>855.79</v>
      </c>
      <c r="X532" s="33" t="str">
        <f t="shared" si="34"/>
        <v>Low Quality</v>
      </c>
      <c r="Y532" s="27" t="str">
        <f t="shared" si="35"/>
        <v>18</v>
      </c>
    </row>
    <row r="533" spans="1:25" x14ac:dyDescent="0.25">
      <c r="A533" s="1">
        <v>45495</v>
      </c>
      <c r="B533" t="s">
        <v>35</v>
      </c>
      <c r="C533">
        <v>2</v>
      </c>
      <c r="D533" t="s">
        <v>91</v>
      </c>
      <c r="E533" t="s">
        <v>51</v>
      </c>
      <c r="F533" t="s">
        <v>72</v>
      </c>
      <c r="G533" t="s">
        <v>24</v>
      </c>
      <c r="H533" t="s">
        <v>48</v>
      </c>
      <c r="I533">
        <v>2</v>
      </c>
      <c r="J533">
        <v>6.09</v>
      </c>
      <c r="K533">
        <v>2</v>
      </c>
      <c r="L533">
        <v>293.60000000000002</v>
      </c>
      <c r="M533">
        <v>85</v>
      </c>
      <c r="N533" t="s">
        <v>45</v>
      </c>
      <c r="O533">
        <v>15</v>
      </c>
      <c r="P533">
        <v>416</v>
      </c>
      <c r="Q533" s="27" t="str">
        <f>IF(D533=Pivot!$AS$4,R532, "")</f>
        <v/>
      </c>
      <c r="R533" t="s">
        <v>46</v>
      </c>
      <c r="S533" s="5">
        <v>3.61</v>
      </c>
      <c r="T533">
        <v>90.78</v>
      </c>
      <c r="U533">
        <v>415.93</v>
      </c>
      <c r="V533" s="27">
        <f t="shared" si="32"/>
        <v>24.36</v>
      </c>
      <c r="W533">
        <f t="shared" si="33"/>
        <v>709.53</v>
      </c>
      <c r="X533" s="33" t="str">
        <f t="shared" si="34"/>
        <v>Mid Quality</v>
      </c>
      <c r="Y533" s="27" t="str">
        <f t="shared" si="35"/>
        <v>8</v>
      </c>
    </row>
    <row r="534" spans="1:25" x14ac:dyDescent="0.25">
      <c r="A534" s="1">
        <v>45344</v>
      </c>
      <c r="B534" t="s">
        <v>35</v>
      </c>
      <c r="C534">
        <v>1</v>
      </c>
      <c r="D534" t="s">
        <v>91</v>
      </c>
      <c r="E534" t="s">
        <v>30</v>
      </c>
      <c r="F534" t="s">
        <v>38</v>
      </c>
      <c r="G534" t="s">
        <v>60</v>
      </c>
      <c r="H534" t="s">
        <v>61</v>
      </c>
      <c r="I534">
        <v>3</v>
      </c>
      <c r="J534">
        <v>8.8000000000000007</v>
      </c>
      <c r="K534">
        <v>1</v>
      </c>
      <c r="L534">
        <v>195.75</v>
      </c>
      <c r="M534">
        <v>35</v>
      </c>
      <c r="N534" t="s">
        <v>63</v>
      </c>
      <c r="O534">
        <v>16</v>
      </c>
      <c r="P534">
        <v>327</v>
      </c>
      <c r="Q534" s="27" t="str">
        <f>IF(D534=Pivot!$AS$4,R533, "")</f>
        <v/>
      </c>
      <c r="R534" t="s">
        <v>27</v>
      </c>
      <c r="S534" s="5">
        <v>4.8899999999999997</v>
      </c>
      <c r="T534">
        <v>87.22</v>
      </c>
      <c r="U534">
        <v>114.19</v>
      </c>
      <c r="V534" s="27">
        <f t="shared" si="32"/>
        <v>26.400000000000002</v>
      </c>
      <c r="W534">
        <f t="shared" si="33"/>
        <v>309.94</v>
      </c>
      <c r="X534" s="33" t="str">
        <f t="shared" si="34"/>
        <v>Mid Quality</v>
      </c>
      <c r="Y534" s="27" t="str">
        <f t="shared" si="35"/>
        <v>10</v>
      </c>
    </row>
    <row r="535" spans="1:25" x14ac:dyDescent="0.25">
      <c r="A535" s="1">
        <v>45340</v>
      </c>
      <c r="B535" t="s">
        <v>28</v>
      </c>
      <c r="C535">
        <v>2</v>
      </c>
      <c r="D535" t="s">
        <v>80</v>
      </c>
      <c r="E535" t="s">
        <v>51</v>
      </c>
      <c r="F535" t="s">
        <v>87</v>
      </c>
      <c r="G535" t="s">
        <v>24</v>
      </c>
      <c r="H535" t="s">
        <v>25</v>
      </c>
      <c r="I535">
        <v>1</v>
      </c>
      <c r="J535">
        <v>18.07</v>
      </c>
      <c r="K535">
        <v>1</v>
      </c>
      <c r="L535">
        <v>111.31</v>
      </c>
      <c r="M535">
        <v>14</v>
      </c>
      <c r="N535" t="s">
        <v>63</v>
      </c>
      <c r="O535">
        <v>20</v>
      </c>
      <c r="P535">
        <v>572</v>
      </c>
      <c r="Q535" s="27" t="str">
        <f>IF(D535=Pivot!$AS$4,R534, "")</f>
        <v>Kontrol tekrarlandı</v>
      </c>
      <c r="R535" t="s">
        <v>42</v>
      </c>
      <c r="S535" s="5">
        <v>3.5</v>
      </c>
      <c r="T535">
        <v>92</v>
      </c>
      <c r="U535">
        <v>25.97</v>
      </c>
      <c r="V535" s="27">
        <f t="shared" si="32"/>
        <v>18.07</v>
      </c>
      <c r="W535">
        <f t="shared" si="33"/>
        <v>137.28</v>
      </c>
      <c r="X535" s="33" t="str">
        <f t="shared" si="34"/>
        <v>Low Quality</v>
      </c>
      <c r="Y535" s="27" t="str">
        <f t="shared" si="35"/>
        <v>20</v>
      </c>
    </row>
    <row r="536" spans="1:25" x14ac:dyDescent="0.25">
      <c r="A536" s="1">
        <v>45324</v>
      </c>
      <c r="B536" t="s">
        <v>20</v>
      </c>
      <c r="C536">
        <v>1</v>
      </c>
      <c r="D536" t="s">
        <v>64</v>
      </c>
      <c r="E536" t="s">
        <v>30</v>
      </c>
      <c r="F536" t="s">
        <v>70</v>
      </c>
      <c r="G536" t="s">
        <v>39</v>
      </c>
      <c r="H536" t="s">
        <v>33</v>
      </c>
      <c r="I536">
        <v>3</v>
      </c>
      <c r="J536">
        <v>18.03</v>
      </c>
      <c r="K536">
        <v>6</v>
      </c>
      <c r="L536">
        <v>449.4</v>
      </c>
      <c r="M536">
        <v>53</v>
      </c>
      <c r="N536" t="s">
        <v>55</v>
      </c>
      <c r="O536">
        <v>13</v>
      </c>
      <c r="P536">
        <v>583</v>
      </c>
      <c r="Q536" s="27" t="str">
        <f>IF(D536=Pivot!$AS$4,R535, "")</f>
        <v/>
      </c>
      <c r="R536" t="s">
        <v>46</v>
      </c>
      <c r="S536" s="5">
        <v>2.23</v>
      </c>
      <c r="T536">
        <v>92.54</v>
      </c>
      <c r="U536">
        <v>396.97</v>
      </c>
      <c r="V536" s="27">
        <f t="shared" si="32"/>
        <v>324.54000000000002</v>
      </c>
      <c r="W536">
        <f t="shared" si="33"/>
        <v>846.37</v>
      </c>
      <c r="X536" s="33" t="str">
        <f t="shared" si="34"/>
        <v>Low Quality</v>
      </c>
      <c r="Y536" s="27" t="str">
        <f t="shared" si="35"/>
        <v>20</v>
      </c>
    </row>
    <row r="537" spans="1:25" x14ac:dyDescent="0.25">
      <c r="A537" s="1">
        <v>45534</v>
      </c>
      <c r="B537" t="s">
        <v>35</v>
      </c>
      <c r="C537">
        <v>3</v>
      </c>
      <c r="D537" t="s">
        <v>64</v>
      </c>
      <c r="E537" t="s">
        <v>30</v>
      </c>
      <c r="F537" t="s">
        <v>78</v>
      </c>
      <c r="G537" t="s">
        <v>60</v>
      </c>
      <c r="H537" t="s">
        <v>25</v>
      </c>
      <c r="I537">
        <v>3</v>
      </c>
      <c r="J537">
        <v>14.03</v>
      </c>
      <c r="K537">
        <v>9</v>
      </c>
      <c r="L537">
        <v>261.83999999999997</v>
      </c>
      <c r="M537">
        <v>25</v>
      </c>
      <c r="N537" t="s">
        <v>45</v>
      </c>
      <c r="O537">
        <v>44</v>
      </c>
      <c r="P537">
        <v>865</v>
      </c>
      <c r="Q537" s="27" t="str">
        <f>IF(D537=Pivot!$AS$4,R536, "")</f>
        <v/>
      </c>
      <c r="R537" t="s">
        <v>34</v>
      </c>
      <c r="S537" s="5">
        <v>5.09</v>
      </c>
      <c r="T537">
        <v>86.82</v>
      </c>
      <c r="U537">
        <v>109.1</v>
      </c>
      <c r="V537" s="27">
        <f t="shared" si="32"/>
        <v>378.81</v>
      </c>
      <c r="W537">
        <f t="shared" si="33"/>
        <v>370.93999999999994</v>
      </c>
      <c r="X537" s="33" t="str">
        <f t="shared" si="34"/>
        <v>Mid Quality</v>
      </c>
      <c r="Y537" s="27" t="str">
        <f t="shared" si="35"/>
        <v>16</v>
      </c>
    </row>
    <row r="538" spans="1:25" x14ac:dyDescent="0.25">
      <c r="A538" s="1">
        <v>45572</v>
      </c>
      <c r="B538" t="s">
        <v>75</v>
      </c>
      <c r="C538">
        <v>3</v>
      </c>
      <c r="D538" t="s">
        <v>82</v>
      </c>
      <c r="E538" t="s">
        <v>67</v>
      </c>
      <c r="F538" t="s">
        <v>69</v>
      </c>
      <c r="G538" t="s">
        <v>60</v>
      </c>
      <c r="H538" t="s">
        <v>48</v>
      </c>
      <c r="I538">
        <v>5</v>
      </c>
      <c r="J538">
        <v>17.32</v>
      </c>
      <c r="K538">
        <v>7</v>
      </c>
      <c r="L538">
        <v>445.15</v>
      </c>
      <c r="M538">
        <v>57</v>
      </c>
      <c r="N538" t="s">
        <v>26</v>
      </c>
      <c r="O538">
        <v>42</v>
      </c>
      <c r="P538">
        <v>770</v>
      </c>
      <c r="Q538" s="27" t="str">
        <f>IF(D538=Pivot!$AS$4,R537, "")</f>
        <v/>
      </c>
      <c r="R538" t="s">
        <v>46</v>
      </c>
      <c r="S538" s="5">
        <v>5.45</v>
      </c>
      <c r="T538">
        <v>84.1</v>
      </c>
      <c r="U538">
        <v>422.89</v>
      </c>
      <c r="V538" s="27">
        <f t="shared" si="32"/>
        <v>606.20000000000005</v>
      </c>
      <c r="W538">
        <f t="shared" si="33"/>
        <v>868.04</v>
      </c>
      <c r="X538" s="33" t="str">
        <f t="shared" si="34"/>
        <v>Low Quality</v>
      </c>
      <c r="Y538" s="27" t="str">
        <f t="shared" si="35"/>
        <v>18</v>
      </c>
    </row>
    <row r="539" spans="1:25" x14ac:dyDescent="0.25">
      <c r="A539" s="1">
        <v>45319</v>
      </c>
      <c r="B539" t="s">
        <v>75</v>
      </c>
      <c r="C539">
        <v>2</v>
      </c>
      <c r="D539" t="s">
        <v>66</v>
      </c>
      <c r="E539" t="s">
        <v>67</v>
      </c>
      <c r="F539" t="s">
        <v>68</v>
      </c>
      <c r="G539" t="s">
        <v>32</v>
      </c>
      <c r="H539" t="s">
        <v>40</v>
      </c>
      <c r="I539">
        <v>2</v>
      </c>
      <c r="J539">
        <v>2.69</v>
      </c>
      <c r="K539">
        <v>5</v>
      </c>
      <c r="L539">
        <v>313.63</v>
      </c>
      <c r="M539">
        <v>80</v>
      </c>
      <c r="N539" t="s">
        <v>45</v>
      </c>
      <c r="O539">
        <v>46</v>
      </c>
      <c r="P539">
        <v>386</v>
      </c>
      <c r="Q539" s="27" t="str">
        <f>IF(D539=Pivot!$AS$4,R538, "")</f>
        <v/>
      </c>
      <c r="R539" t="s">
        <v>42</v>
      </c>
      <c r="S539" s="5">
        <v>11.92</v>
      </c>
      <c r="T539">
        <v>74.16</v>
      </c>
      <c r="U539">
        <v>418.17</v>
      </c>
      <c r="V539" s="27">
        <f t="shared" si="32"/>
        <v>26.9</v>
      </c>
      <c r="W539">
        <f t="shared" si="33"/>
        <v>731.8</v>
      </c>
      <c r="X539" s="33" t="str">
        <f t="shared" si="34"/>
        <v>High Quality</v>
      </c>
      <c r="Y539" s="27" t="str">
        <f t="shared" si="35"/>
        <v>4</v>
      </c>
    </row>
    <row r="540" spans="1:25" x14ac:dyDescent="0.25">
      <c r="A540" s="1">
        <v>45305</v>
      </c>
      <c r="B540" t="s">
        <v>50</v>
      </c>
      <c r="C540">
        <v>1</v>
      </c>
      <c r="D540" t="s">
        <v>83</v>
      </c>
      <c r="E540" t="s">
        <v>51</v>
      </c>
      <c r="F540" t="s">
        <v>31</v>
      </c>
      <c r="G540" t="s">
        <v>52</v>
      </c>
      <c r="H540" t="s">
        <v>48</v>
      </c>
      <c r="I540">
        <v>4</v>
      </c>
      <c r="J540">
        <v>17.43</v>
      </c>
      <c r="K540">
        <v>2</v>
      </c>
      <c r="L540">
        <v>353.39</v>
      </c>
      <c r="M540">
        <v>58</v>
      </c>
      <c r="N540" t="s">
        <v>41</v>
      </c>
      <c r="O540">
        <v>31</v>
      </c>
      <c r="P540">
        <v>610</v>
      </c>
      <c r="Q540" s="27" t="str">
        <f>IF(D540=Pivot!$AS$4,R539, "")</f>
        <v/>
      </c>
      <c r="R540" t="s">
        <v>27</v>
      </c>
      <c r="S540" s="5">
        <v>5.08</v>
      </c>
      <c r="T540">
        <v>85.84</v>
      </c>
      <c r="U540">
        <v>341.61</v>
      </c>
      <c r="V540" s="27">
        <f t="shared" si="32"/>
        <v>139.44</v>
      </c>
      <c r="W540">
        <f t="shared" si="33"/>
        <v>695</v>
      </c>
      <c r="X540" s="33" t="str">
        <f t="shared" si="34"/>
        <v>Low Quality</v>
      </c>
      <c r="Y540" s="27" t="str">
        <f t="shared" si="35"/>
        <v>18</v>
      </c>
    </row>
    <row r="541" spans="1:25" x14ac:dyDescent="0.25">
      <c r="A541" s="1">
        <v>45495</v>
      </c>
      <c r="B541" t="s">
        <v>35</v>
      </c>
      <c r="C541">
        <v>1</v>
      </c>
      <c r="D541" t="s">
        <v>74</v>
      </c>
      <c r="E541" t="s">
        <v>30</v>
      </c>
      <c r="F541" t="s">
        <v>38</v>
      </c>
      <c r="G541" t="s">
        <v>24</v>
      </c>
      <c r="H541" t="s">
        <v>25</v>
      </c>
      <c r="I541">
        <v>4</v>
      </c>
      <c r="J541">
        <v>7.09</v>
      </c>
      <c r="K541">
        <v>1</v>
      </c>
      <c r="L541">
        <v>411.92</v>
      </c>
      <c r="M541">
        <v>61</v>
      </c>
      <c r="N541" t="s">
        <v>63</v>
      </c>
      <c r="O541">
        <v>34</v>
      </c>
      <c r="P541">
        <v>677</v>
      </c>
      <c r="Q541" s="27" t="str">
        <f>IF(D541=Pivot!$AS$4,R540, "")</f>
        <v/>
      </c>
      <c r="R541" t="s">
        <v>42</v>
      </c>
      <c r="S541" s="5">
        <v>5.0199999999999996</v>
      </c>
      <c r="T541">
        <v>85.96</v>
      </c>
      <c r="U541">
        <v>418.79</v>
      </c>
      <c r="V541" s="27">
        <f t="shared" si="32"/>
        <v>28.36</v>
      </c>
      <c r="W541">
        <f t="shared" si="33"/>
        <v>830.71</v>
      </c>
      <c r="X541" s="33" t="str">
        <f t="shared" si="34"/>
        <v>Mid Quality</v>
      </c>
      <c r="Y541" s="27" t="str">
        <f t="shared" si="35"/>
        <v>8</v>
      </c>
    </row>
    <row r="542" spans="1:25" x14ac:dyDescent="0.25">
      <c r="A542" s="1">
        <v>45560</v>
      </c>
      <c r="B542" t="s">
        <v>20</v>
      </c>
      <c r="C542">
        <v>2</v>
      </c>
      <c r="D542" t="s">
        <v>82</v>
      </c>
      <c r="E542" t="s">
        <v>51</v>
      </c>
      <c r="F542" t="s">
        <v>81</v>
      </c>
      <c r="G542" t="s">
        <v>24</v>
      </c>
      <c r="H542" t="s">
        <v>48</v>
      </c>
      <c r="I542">
        <v>5</v>
      </c>
      <c r="J542">
        <v>4.3899999999999997</v>
      </c>
      <c r="K542">
        <v>2</v>
      </c>
      <c r="L542">
        <v>346.62</v>
      </c>
      <c r="M542">
        <v>24</v>
      </c>
      <c r="N542" t="s">
        <v>26</v>
      </c>
      <c r="O542">
        <v>29</v>
      </c>
      <c r="P542">
        <v>920</v>
      </c>
      <c r="Q542" s="27" t="str">
        <f>IF(D542=Pivot!$AS$4,R541, "")</f>
        <v/>
      </c>
      <c r="R542" t="s">
        <v>57</v>
      </c>
      <c r="S542" s="5">
        <v>3.15</v>
      </c>
      <c r="T542">
        <v>88.7</v>
      </c>
      <c r="U542">
        <v>138.65</v>
      </c>
      <c r="V542" s="27">
        <f t="shared" si="32"/>
        <v>43.9</v>
      </c>
      <c r="W542">
        <f t="shared" si="33"/>
        <v>485.27</v>
      </c>
      <c r="X542" s="33" t="str">
        <f t="shared" si="34"/>
        <v>High Quality</v>
      </c>
      <c r="Y542" s="27" t="str">
        <f t="shared" si="35"/>
        <v>6</v>
      </c>
    </row>
    <row r="543" spans="1:25" x14ac:dyDescent="0.25">
      <c r="A543" s="1">
        <v>45334</v>
      </c>
      <c r="B543" t="s">
        <v>28</v>
      </c>
      <c r="C543">
        <v>3</v>
      </c>
      <c r="D543" t="s">
        <v>85</v>
      </c>
      <c r="E543" t="s">
        <v>22</v>
      </c>
      <c r="F543" t="s">
        <v>84</v>
      </c>
      <c r="G543" t="s">
        <v>32</v>
      </c>
      <c r="H543" t="s">
        <v>40</v>
      </c>
      <c r="I543">
        <v>4</v>
      </c>
      <c r="J543">
        <v>5.55</v>
      </c>
      <c r="K543">
        <v>1</v>
      </c>
      <c r="L543">
        <v>229.12</v>
      </c>
      <c r="M543">
        <v>53</v>
      </c>
      <c r="N543" t="s">
        <v>63</v>
      </c>
      <c r="O543">
        <v>3</v>
      </c>
      <c r="P543">
        <v>557</v>
      </c>
      <c r="Q543" s="27" t="str">
        <f>IF(D543=Pivot!$AS$4,R542, "")</f>
        <v/>
      </c>
      <c r="R543" t="s">
        <v>46</v>
      </c>
      <c r="S543" s="5">
        <v>0.54</v>
      </c>
      <c r="T543">
        <v>94.92</v>
      </c>
      <c r="U543">
        <v>202.39</v>
      </c>
      <c r="V543" s="27">
        <f t="shared" si="32"/>
        <v>22.2</v>
      </c>
      <c r="W543">
        <f t="shared" si="33"/>
        <v>431.51</v>
      </c>
      <c r="X543" s="33" t="str">
        <f t="shared" si="34"/>
        <v>High Quality</v>
      </c>
      <c r="Y543" s="27" t="str">
        <f t="shared" si="35"/>
        <v>6</v>
      </c>
    </row>
    <row r="544" spans="1:25" x14ac:dyDescent="0.25">
      <c r="A544" s="1">
        <v>45345</v>
      </c>
      <c r="B544" t="s">
        <v>28</v>
      </c>
      <c r="C544">
        <v>2</v>
      </c>
      <c r="D544" t="s">
        <v>85</v>
      </c>
      <c r="E544" t="s">
        <v>51</v>
      </c>
      <c r="F544" t="s">
        <v>78</v>
      </c>
      <c r="G544" t="s">
        <v>32</v>
      </c>
      <c r="H544" t="s">
        <v>61</v>
      </c>
      <c r="I544">
        <v>3</v>
      </c>
      <c r="J544">
        <v>8.94</v>
      </c>
      <c r="K544">
        <v>3</v>
      </c>
      <c r="L544">
        <v>281.14</v>
      </c>
      <c r="M544">
        <v>11</v>
      </c>
      <c r="N544" t="s">
        <v>45</v>
      </c>
      <c r="O544">
        <v>9</v>
      </c>
      <c r="P544">
        <v>194</v>
      </c>
      <c r="Q544" s="27" t="str">
        <f>IF(D544=Pivot!$AS$4,R543, "")</f>
        <v/>
      </c>
      <c r="R544" t="s">
        <v>46</v>
      </c>
      <c r="S544" s="5">
        <v>4.6399999999999997</v>
      </c>
      <c r="T544">
        <v>87.72</v>
      </c>
      <c r="U544">
        <v>51.54</v>
      </c>
      <c r="V544" s="27">
        <f t="shared" si="32"/>
        <v>80.459999999999994</v>
      </c>
      <c r="W544">
        <f t="shared" si="33"/>
        <v>332.68</v>
      </c>
      <c r="X544" s="33" t="str">
        <f t="shared" si="34"/>
        <v>Mid Quality</v>
      </c>
      <c r="Y544" s="27" t="str">
        <f t="shared" si="35"/>
        <v>10</v>
      </c>
    </row>
    <row r="545" spans="1:25" x14ac:dyDescent="0.25">
      <c r="A545" s="1">
        <v>45426</v>
      </c>
      <c r="B545" t="s">
        <v>20</v>
      </c>
      <c r="C545">
        <v>3</v>
      </c>
      <c r="D545" t="s">
        <v>64</v>
      </c>
      <c r="E545" t="s">
        <v>37</v>
      </c>
      <c r="F545" t="s">
        <v>72</v>
      </c>
      <c r="G545" t="s">
        <v>52</v>
      </c>
      <c r="H545" t="s">
        <v>25</v>
      </c>
      <c r="I545">
        <v>5</v>
      </c>
      <c r="J545">
        <v>5.77</v>
      </c>
      <c r="K545">
        <v>6</v>
      </c>
      <c r="L545">
        <v>411.37</v>
      </c>
      <c r="M545">
        <v>33</v>
      </c>
      <c r="N545" t="s">
        <v>26</v>
      </c>
      <c r="O545">
        <v>11</v>
      </c>
      <c r="P545">
        <v>592</v>
      </c>
      <c r="Q545" s="27" t="str">
        <f>IF(D545=Pivot!$AS$4,R544, "")</f>
        <v/>
      </c>
      <c r="R545" t="s">
        <v>27</v>
      </c>
      <c r="S545" s="5">
        <v>1.86</v>
      </c>
      <c r="T545">
        <v>91.28</v>
      </c>
      <c r="U545">
        <v>226.25</v>
      </c>
      <c r="V545" s="27">
        <f t="shared" si="32"/>
        <v>173.1</v>
      </c>
      <c r="W545">
        <f t="shared" si="33"/>
        <v>637.62</v>
      </c>
      <c r="X545" s="33" t="str">
        <f t="shared" si="34"/>
        <v>High Quality</v>
      </c>
      <c r="Y545" s="27" t="str">
        <f t="shared" si="35"/>
        <v>6</v>
      </c>
    </row>
    <row r="546" spans="1:25" x14ac:dyDescent="0.25">
      <c r="A546" s="1">
        <v>45371</v>
      </c>
      <c r="B546" t="s">
        <v>65</v>
      </c>
      <c r="C546">
        <v>1</v>
      </c>
      <c r="D546" t="s">
        <v>71</v>
      </c>
      <c r="E546" t="s">
        <v>51</v>
      </c>
      <c r="F546" t="s">
        <v>73</v>
      </c>
      <c r="G546" t="s">
        <v>52</v>
      </c>
      <c r="H546" t="s">
        <v>48</v>
      </c>
      <c r="I546">
        <v>1</v>
      </c>
      <c r="J546">
        <v>7.09</v>
      </c>
      <c r="K546">
        <v>8</v>
      </c>
      <c r="L546">
        <v>218.14</v>
      </c>
      <c r="M546">
        <v>52</v>
      </c>
      <c r="N546" t="s">
        <v>55</v>
      </c>
      <c r="O546">
        <v>11</v>
      </c>
      <c r="P546">
        <v>864</v>
      </c>
      <c r="Q546" s="27" t="str">
        <f>IF(D546=Pivot!$AS$4,R545, "")</f>
        <v/>
      </c>
      <c r="R546" t="s">
        <v>46</v>
      </c>
      <c r="S546" s="5">
        <v>1.27</v>
      </c>
      <c r="T546">
        <v>96.46</v>
      </c>
      <c r="U546">
        <v>189.05</v>
      </c>
      <c r="V546" s="27">
        <f t="shared" si="32"/>
        <v>56.72</v>
      </c>
      <c r="W546">
        <f t="shared" si="33"/>
        <v>407.19</v>
      </c>
      <c r="X546" s="33" t="str">
        <f t="shared" si="34"/>
        <v>Mid Quality</v>
      </c>
      <c r="Y546" s="27" t="str">
        <f t="shared" si="35"/>
        <v>8</v>
      </c>
    </row>
    <row r="547" spans="1:25" x14ac:dyDescent="0.25">
      <c r="A547" s="1">
        <v>45335</v>
      </c>
      <c r="B547" t="s">
        <v>50</v>
      </c>
      <c r="C547">
        <v>3</v>
      </c>
      <c r="D547" t="s">
        <v>82</v>
      </c>
      <c r="E547" t="s">
        <v>37</v>
      </c>
      <c r="F547" t="s">
        <v>68</v>
      </c>
      <c r="G547" t="s">
        <v>60</v>
      </c>
      <c r="H547" t="s">
        <v>25</v>
      </c>
      <c r="I547">
        <v>2</v>
      </c>
      <c r="J547">
        <v>3.56</v>
      </c>
      <c r="K547">
        <v>3</v>
      </c>
      <c r="L547">
        <v>224.65</v>
      </c>
      <c r="M547">
        <v>17</v>
      </c>
      <c r="N547" t="s">
        <v>45</v>
      </c>
      <c r="O547">
        <v>25</v>
      </c>
      <c r="P547">
        <v>249</v>
      </c>
      <c r="Q547" s="27" t="str">
        <f>IF(D547=Pivot!$AS$4,R546, "")</f>
        <v/>
      </c>
      <c r="R547" t="s">
        <v>34</v>
      </c>
      <c r="S547" s="5">
        <v>10.039999999999999</v>
      </c>
      <c r="T547">
        <v>77.92</v>
      </c>
      <c r="U547">
        <v>63.65</v>
      </c>
      <c r="V547" s="27">
        <f t="shared" si="32"/>
        <v>21.36</v>
      </c>
      <c r="W547">
        <f t="shared" si="33"/>
        <v>288.3</v>
      </c>
      <c r="X547" s="33" t="str">
        <f t="shared" si="34"/>
        <v>High Quality</v>
      </c>
      <c r="Y547" s="27" t="str">
        <f t="shared" si="35"/>
        <v>4</v>
      </c>
    </row>
    <row r="548" spans="1:25" x14ac:dyDescent="0.25">
      <c r="A548" s="1">
        <v>45491</v>
      </c>
      <c r="B548" t="s">
        <v>28</v>
      </c>
      <c r="C548">
        <v>2</v>
      </c>
      <c r="D548" t="s">
        <v>43</v>
      </c>
      <c r="E548" t="s">
        <v>37</v>
      </c>
      <c r="F548" t="s">
        <v>87</v>
      </c>
      <c r="G548" t="s">
        <v>39</v>
      </c>
      <c r="H548" t="s">
        <v>61</v>
      </c>
      <c r="I548">
        <v>2</v>
      </c>
      <c r="J548">
        <v>6.63</v>
      </c>
      <c r="K548">
        <v>9</v>
      </c>
      <c r="L548">
        <v>93.06</v>
      </c>
      <c r="M548">
        <v>7</v>
      </c>
      <c r="N548" t="s">
        <v>55</v>
      </c>
      <c r="O548">
        <v>22</v>
      </c>
      <c r="P548">
        <v>122</v>
      </c>
      <c r="Q548" s="27" t="str">
        <f>IF(D548=Pivot!$AS$4,R547, "")</f>
        <v/>
      </c>
      <c r="R548" t="s">
        <v>34</v>
      </c>
      <c r="S548" s="5">
        <v>18.03</v>
      </c>
      <c r="T548">
        <v>61.94</v>
      </c>
      <c r="U548">
        <v>10.86</v>
      </c>
      <c r="V548" s="27">
        <f t="shared" si="32"/>
        <v>119.34</v>
      </c>
      <c r="W548">
        <f t="shared" si="33"/>
        <v>103.92</v>
      </c>
      <c r="X548" s="33" t="str">
        <f t="shared" si="34"/>
        <v>Mid Quality</v>
      </c>
      <c r="Y548" s="27" t="str">
        <f t="shared" si="35"/>
        <v>8</v>
      </c>
    </row>
    <row r="549" spans="1:25" x14ac:dyDescent="0.25">
      <c r="A549" s="1">
        <v>45450</v>
      </c>
      <c r="B549" t="s">
        <v>35</v>
      </c>
      <c r="C549">
        <v>1</v>
      </c>
      <c r="D549" t="s">
        <v>74</v>
      </c>
      <c r="E549" t="s">
        <v>37</v>
      </c>
      <c r="F549" t="s">
        <v>31</v>
      </c>
      <c r="G549" t="s">
        <v>52</v>
      </c>
      <c r="H549" t="s">
        <v>48</v>
      </c>
      <c r="I549">
        <v>2</v>
      </c>
      <c r="J549">
        <v>11.87</v>
      </c>
      <c r="K549">
        <v>5</v>
      </c>
      <c r="L549">
        <v>461.56</v>
      </c>
      <c r="M549">
        <v>6</v>
      </c>
      <c r="N549" t="s">
        <v>26</v>
      </c>
      <c r="O549">
        <v>42</v>
      </c>
      <c r="P549">
        <v>855</v>
      </c>
      <c r="Q549" s="27" t="str">
        <f>IF(D549=Pivot!$AS$4,R548, "")</f>
        <v/>
      </c>
      <c r="R549" t="s">
        <v>42</v>
      </c>
      <c r="S549" s="5">
        <v>4.91</v>
      </c>
      <c r="T549">
        <v>88.18</v>
      </c>
      <c r="U549">
        <v>46.16</v>
      </c>
      <c r="V549" s="27">
        <f t="shared" si="32"/>
        <v>118.69999999999999</v>
      </c>
      <c r="W549">
        <f t="shared" si="33"/>
        <v>507.72</v>
      </c>
      <c r="X549" s="33" t="str">
        <f t="shared" si="34"/>
        <v>Mid Quality</v>
      </c>
      <c r="Y549" s="27" t="str">
        <f t="shared" si="35"/>
        <v>12</v>
      </c>
    </row>
    <row r="550" spans="1:25" x14ac:dyDescent="0.25">
      <c r="A550" s="1">
        <v>45409</v>
      </c>
      <c r="B550" t="s">
        <v>50</v>
      </c>
      <c r="C550">
        <v>2</v>
      </c>
      <c r="D550" t="s">
        <v>85</v>
      </c>
      <c r="E550" t="s">
        <v>22</v>
      </c>
      <c r="F550" t="s">
        <v>56</v>
      </c>
      <c r="G550" t="s">
        <v>32</v>
      </c>
      <c r="H550" t="s">
        <v>48</v>
      </c>
      <c r="I550">
        <v>3</v>
      </c>
      <c r="J550">
        <v>9.4</v>
      </c>
      <c r="K550">
        <v>7</v>
      </c>
      <c r="L550">
        <v>90.97</v>
      </c>
      <c r="M550">
        <v>20</v>
      </c>
      <c r="N550" t="s">
        <v>63</v>
      </c>
      <c r="O550">
        <v>46</v>
      </c>
      <c r="P550">
        <v>314</v>
      </c>
      <c r="Q550" s="27" t="str">
        <f>IF(D550=Pivot!$AS$4,R549, "")</f>
        <v/>
      </c>
      <c r="R550" t="s">
        <v>27</v>
      </c>
      <c r="S550" s="5">
        <v>14.65</v>
      </c>
      <c r="T550">
        <v>67.7</v>
      </c>
      <c r="U550">
        <v>30.32</v>
      </c>
      <c r="V550" s="27">
        <f t="shared" si="32"/>
        <v>197.4</v>
      </c>
      <c r="W550">
        <f t="shared" si="33"/>
        <v>121.28999999999999</v>
      </c>
      <c r="X550" s="33" t="str">
        <f t="shared" si="34"/>
        <v>Mid Quality</v>
      </c>
      <c r="Y550" s="27" t="str">
        <f t="shared" si="35"/>
        <v>10</v>
      </c>
    </row>
    <row r="551" spans="1:25" x14ac:dyDescent="0.25">
      <c r="A551" s="1">
        <v>45418</v>
      </c>
      <c r="B551" t="s">
        <v>35</v>
      </c>
      <c r="C551">
        <v>2</v>
      </c>
      <c r="D551" t="s">
        <v>77</v>
      </c>
      <c r="E551" t="s">
        <v>51</v>
      </c>
      <c r="F551" t="s">
        <v>62</v>
      </c>
      <c r="G551" t="s">
        <v>52</v>
      </c>
      <c r="H551" t="s">
        <v>25</v>
      </c>
      <c r="I551">
        <v>1</v>
      </c>
      <c r="J551">
        <v>7.59</v>
      </c>
      <c r="K551">
        <v>8</v>
      </c>
      <c r="L551">
        <v>341.69</v>
      </c>
      <c r="M551">
        <v>10</v>
      </c>
      <c r="N551" t="s">
        <v>41</v>
      </c>
      <c r="O551">
        <v>9</v>
      </c>
      <c r="P551">
        <v>498</v>
      </c>
      <c r="Q551" s="27" t="str">
        <f>IF(D551=Pivot!$AS$4,R550, "")</f>
        <v/>
      </c>
      <c r="R551" t="s">
        <v>57</v>
      </c>
      <c r="S551" s="5">
        <v>1.81</v>
      </c>
      <c r="T551">
        <v>95.38</v>
      </c>
      <c r="U551">
        <v>56.95</v>
      </c>
      <c r="V551" s="27">
        <f t="shared" si="32"/>
        <v>60.72</v>
      </c>
      <c r="W551">
        <f t="shared" si="33"/>
        <v>398.64</v>
      </c>
      <c r="X551" s="33" t="str">
        <f t="shared" si="34"/>
        <v>Mid Quality</v>
      </c>
      <c r="Y551" s="27" t="str">
        <f t="shared" si="35"/>
        <v>8</v>
      </c>
    </row>
    <row r="552" spans="1:25" x14ac:dyDescent="0.25">
      <c r="A552" s="1">
        <v>45437</v>
      </c>
      <c r="B552" t="s">
        <v>75</v>
      </c>
      <c r="C552">
        <v>3</v>
      </c>
      <c r="D552" t="s">
        <v>82</v>
      </c>
      <c r="E552" t="s">
        <v>51</v>
      </c>
      <c r="F552" t="s">
        <v>38</v>
      </c>
      <c r="G552" t="s">
        <v>24</v>
      </c>
      <c r="H552" t="s">
        <v>25</v>
      </c>
      <c r="I552">
        <v>5</v>
      </c>
      <c r="J552">
        <v>15.18</v>
      </c>
      <c r="K552">
        <v>3</v>
      </c>
      <c r="L552">
        <v>235.94</v>
      </c>
      <c r="M552">
        <v>49</v>
      </c>
      <c r="N552" t="s">
        <v>49</v>
      </c>
      <c r="O552">
        <v>20</v>
      </c>
      <c r="P552">
        <v>509</v>
      </c>
      <c r="Q552" s="27" t="str">
        <f>IF(D552=Pivot!$AS$4,R551, "")</f>
        <v/>
      </c>
      <c r="R552" t="s">
        <v>42</v>
      </c>
      <c r="S552" s="5">
        <v>3.93</v>
      </c>
      <c r="T552">
        <v>87.14</v>
      </c>
      <c r="U552">
        <v>192.68</v>
      </c>
      <c r="V552" s="27">
        <f t="shared" si="32"/>
        <v>227.7</v>
      </c>
      <c r="W552">
        <f t="shared" si="33"/>
        <v>428.62</v>
      </c>
      <c r="X552" s="33" t="str">
        <f t="shared" si="34"/>
        <v>Low Quality</v>
      </c>
      <c r="Y552" s="27" t="str">
        <f t="shared" si="35"/>
        <v>16</v>
      </c>
    </row>
    <row r="553" spans="1:25" x14ac:dyDescent="0.25">
      <c r="A553" s="1">
        <v>45518</v>
      </c>
      <c r="B553" t="s">
        <v>50</v>
      </c>
      <c r="C553">
        <v>2</v>
      </c>
      <c r="D553" t="s">
        <v>29</v>
      </c>
      <c r="E553" t="s">
        <v>22</v>
      </c>
      <c r="F553" t="s">
        <v>62</v>
      </c>
      <c r="G553" t="s">
        <v>39</v>
      </c>
      <c r="H553" t="s">
        <v>40</v>
      </c>
      <c r="I553">
        <v>5</v>
      </c>
      <c r="J553">
        <v>17.98</v>
      </c>
      <c r="K553">
        <v>2</v>
      </c>
      <c r="L553">
        <v>232.53</v>
      </c>
      <c r="M553">
        <v>75</v>
      </c>
      <c r="N553" t="s">
        <v>63</v>
      </c>
      <c r="O553">
        <v>21</v>
      </c>
      <c r="P553">
        <v>230</v>
      </c>
      <c r="Q553" s="27" t="str">
        <f>IF(D553=Pivot!$AS$4,R552, "")</f>
        <v/>
      </c>
      <c r="R553" t="s">
        <v>27</v>
      </c>
      <c r="S553" s="5">
        <v>9.1300000000000008</v>
      </c>
      <c r="T553">
        <v>76.739999999999995</v>
      </c>
      <c r="U553">
        <v>290.66000000000003</v>
      </c>
      <c r="V553" s="27">
        <f t="shared" si="32"/>
        <v>179.8</v>
      </c>
      <c r="W553">
        <f t="shared" si="33"/>
        <v>523.19000000000005</v>
      </c>
      <c r="X553" s="33" t="str">
        <f t="shared" si="34"/>
        <v>Low Quality</v>
      </c>
      <c r="Y553" s="27" t="str">
        <f t="shared" si="35"/>
        <v>18</v>
      </c>
    </row>
    <row r="554" spans="1:25" x14ac:dyDescent="0.25">
      <c r="A554" s="1">
        <v>45356</v>
      </c>
      <c r="B554" t="s">
        <v>28</v>
      </c>
      <c r="C554">
        <v>3</v>
      </c>
      <c r="D554" t="s">
        <v>82</v>
      </c>
      <c r="E554" t="s">
        <v>30</v>
      </c>
      <c r="F554" t="s">
        <v>84</v>
      </c>
      <c r="G554" t="s">
        <v>60</v>
      </c>
      <c r="H554" t="s">
        <v>61</v>
      </c>
      <c r="I554">
        <v>2</v>
      </c>
      <c r="J554">
        <v>15.38</v>
      </c>
      <c r="K554">
        <v>2</v>
      </c>
      <c r="L554">
        <v>355.8</v>
      </c>
      <c r="M554">
        <v>9</v>
      </c>
      <c r="N554" t="s">
        <v>55</v>
      </c>
      <c r="O554">
        <v>10</v>
      </c>
      <c r="P554">
        <v>954</v>
      </c>
      <c r="Q554" s="27" t="str">
        <f>IF(D554=Pivot!$AS$4,R553, "")</f>
        <v/>
      </c>
      <c r="R554" t="s">
        <v>27</v>
      </c>
      <c r="S554" s="5">
        <v>1.05</v>
      </c>
      <c r="T554">
        <v>95.9</v>
      </c>
      <c r="U554">
        <v>53.37</v>
      </c>
      <c r="V554" s="27">
        <f t="shared" si="32"/>
        <v>61.52</v>
      </c>
      <c r="W554">
        <f t="shared" si="33"/>
        <v>409.17</v>
      </c>
      <c r="X554" s="33" t="str">
        <f t="shared" si="34"/>
        <v>Low Quality</v>
      </c>
      <c r="Y554" s="27" t="str">
        <f t="shared" si="35"/>
        <v>16</v>
      </c>
    </row>
    <row r="555" spans="1:25" x14ac:dyDescent="0.25">
      <c r="A555" s="1">
        <v>45359</v>
      </c>
      <c r="B555" t="s">
        <v>50</v>
      </c>
      <c r="C555">
        <v>1</v>
      </c>
      <c r="D555" t="s">
        <v>74</v>
      </c>
      <c r="E555" t="s">
        <v>67</v>
      </c>
      <c r="F555" t="s">
        <v>62</v>
      </c>
      <c r="G555" t="s">
        <v>24</v>
      </c>
      <c r="H555" t="s">
        <v>40</v>
      </c>
      <c r="I555">
        <v>1</v>
      </c>
      <c r="J555">
        <v>7.31</v>
      </c>
      <c r="K555">
        <v>5</v>
      </c>
      <c r="L555">
        <v>80.19</v>
      </c>
      <c r="M555">
        <v>60</v>
      </c>
      <c r="N555" t="s">
        <v>45</v>
      </c>
      <c r="O555">
        <v>22</v>
      </c>
      <c r="P555">
        <v>247</v>
      </c>
      <c r="Q555" s="27" t="str">
        <f>IF(D555=Pivot!$AS$4,R554, "")</f>
        <v/>
      </c>
      <c r="R555" t="s">
        <v>42</v>
      </c>
      <c r="S555" s="5">
        <v>8.91</v>
      </c>
      <c r="T555">
        <v>81.180000000000007</v>
      </c>
      <c r="U555">
        <v>80.19</v>
      </c>
      <c r="V555" s="27">
        <f t="shared" si="32"/>
        <v>36.549999999999997</v>
      </c>
      <c r="W555">
        <f t="shared" si="33"/>
        <v>160.38</v>
      </c>
      <c r="X555" s="33" t="str">
        <f t="shared" si="34"/>
        <v>Mid Quality</v>
      </c>
      <c r="Y555" s="27" t="str">
        <f t="shared" si="35"/>
        <v>8</v>
      </c>
    </row>
    <row r="556" spans="1:25" x14ac:dyDescent="0.25">
      <c r="A556" s="1">
        <v>45561</v>
      </c>
      <c r="B556" t="s">
        <v>50</v>
      </c>
      <c r="C556">
        <v>3</v>
      </c>
      <c r="D556" t="s">
        <v>74</v>
      </c>
      <c r="E556" t="s">
        <v>51</v>
      </c>
      <c r="F556" t="s">
        <v>70</v>
      </c>
      <c r="G556" t="s">
        <v>24</v>
      </c>
      <c r="H556" t="s">
        <v>48</v>
      </c>
      <c r="I556">
        <v>1</v>
      </c>
      <c r="J556">
        <v>15.14</v>
      </c>
      <c r="K556">
        <v>1</v>
      </c>
      <c r="L556">
        <v>317.17</v>
      </c>
      <c r="M556">
        <v>75</v>
      </c>
      <c r="N556" t="s">
        <v>26</v>
      </c>
      <c r="O556">
        <v>29</v>
      </c>
      <c r="P556">
        <v>480</v>
      </c>
      <c r="Q556" s="27" t="str">
        <f>IF(D556=Pivot!$AS$4,R555, "")</f>
        <v/>
      </c>
      <c r="R556" t="s">
        <v>42</v>
      </c>
      <c r="S556" s="5">
        <v>6.04</v>
      </c>
      <c r="T556">
        <v>86.92</v>
      </c>
      <c r="U556">
        <v>396.46</v>
      </c>
      <c r="V556" s="27">
        <f t="shared" si="32"/>
        <v>15.14</v>
      </c>
      <c r="W556">
        <f t="shared" si="33"/>
        <v>713.63</v>
      </c>
      <c r="X556" s="33" t="str">
        <f t="shared" si="34"/>
        <v>Low Quality</v>
      </c>
      <c r="Y556" s="27" t="str">
        <f t="shared" si="35"/>
        <v>16</v>
      </c>
    </row>
    <row r="557" spans="1:25" x14ac:dyDescent="0.25">
      <c r="A557" s="1">
        <v>45379</v>
      </c>
      <c r="B557" t="s">
        <v>50</v>
      </c>
      <c r="C557">
        <v>1</v>
      </c>
      <c r="D557" t="s">
        <v>88</v>
      </c>
      <c r="E557" t="s">
        <v>67</v>
      </c>
      <c r="F557" t="s">
        <v>90</v>
      </c>
      <c r="G557" t="s">
        <v>39</v>
      </c>
      <c r="H557" t="s">
        <v>25</v>
      </c>
      <c r="I557">
        <v>1</v>
      </c>
      <c r="J557">
        <v>3.89</v>
      </c>
      <c r="K557">
        <v>2</v>
      </c>
      <c r="L557">
        <v>397.41</v>
      </c>
      <c r="M557">
        <v>36</v>
      </c>
      <c r="N557" t="s">
        <v>63</v>
      </c>
      <c r="O557">
        <v>9</v>
      </c>
      <c r="P557">
        <v>208</v>
      </c>
      <c r="Q557" s="27" t="str">
        <f>IF(D557=Pivot!$AS$4,R556, "")</f>
        <v/>
      </c>
      <c r="R557" t="s">
        <v>46</v>
      </c>
      <c r="S557" s="5">
        <v>4.33</v>
      </c>
      <c r="T557">
        <v>90.34</v>
      </c>
      <c r="U557">
        <v>238.45</v>
      </c>
      <c r="V557" s="27">
        <f t="shared" si="32"/>
        <v>7.78</v>
      </c>
      <c r="W557">
        <f t="shared" si="33"/>
        <v>635.86</v>
      </c>
      <c r="X557" s="33" t="str">
        <f t="shared" si="34"/>
        <v>High Quality</v>
      </c>
      <c r="Y557" s="27" t="str">
        <f t="shared" si="35"/>
        <v>4</v>
      </c>
    </row>
    <row r="558" spans="1:25" x14ac:dyDescent="0.25">
      <c r="A558" s="1">
        <v>45306</v>
      </c>
      <c r="B558" t="s">
        <v>65</v>
      </c>
      <c r="C558">
        <v>3</v>
      </c>
      <c r="D558" t="s">
        <v>71</v>
      </c>
      <c r="E558" t="s">
        <v>22</v>
      </c>
      <c r="F558" t="s">
        <v>87</v>
      </c>
      <c r="G558" t="s">
        <v>60</v>
      </c>
      <c r="H558" t="s">
        <v>48</v>
      </c>
      <c r="I558">
        <v>4</v>
      </c>
      <c r="J558">
        <v>3.48</v>
      </c>
      <c r="K558">
        <v>9</v>
      </c>
      <c r="L558">
        <v>422.7</v>
      </c>
      <c r="M558">
        <v>53</v>
      </c>
      <c r="N558" t="s">
        <v>41</v>
      </c>
      <c r="O558">
        <v>5</v>
      </c>
      <c r="P558">
        <v>651</v>
      </c>
      <c r="Q558" s="27" t="str">
        <f>IF(D558=Pivot!$AS$4,R557, "")</f>
        <v/>
      </c>
      <c r="R558" t="s">
        <v>57</v>
      </c>
      <c r="S558" s="5">
        <v>0.77</v>
      </c>
      <c r="T558">
        <v>94.46</v>
      </c>
      <c r="U558">
        <v>373.38</v>
      </c>
      <c r="V558" s="27">
        <f t="shared" si="32"/>
        <v>125.28</v>
      </c>
      <c r="W558">
        <f t="shared" si="33"/>
        <v>796.07999999999993</v>
      </c>
      <c r="X558" s="33" t="str">
        <f t="shared" si="34"/>
        <v>High Quality</v>
      </c>
      <c r="Y558" s="27" t="str">
        <f t="shared" si="35"/>
        <v>4</v>
      </c>
    </row>
    <row r="559" spans="1:25" x14ac:dyDescent="0.25">
      <c r="A559" s="1">
        <v>45309</v>
      </c>
      <c r="B559" t="s">
        <v>50</v>
      </c>
      <c r="C559">
        <v>2</v>
      </c>
      <c r="D559" t="s">
        <v>79</v>
      </c>
      <c r="E559" t="s">
        <v>30</v>
      </c>
      <c r="F559" t="s">
        <v>54</v>
      </c>
      <c r="G559" t="s">
        <v>32</v>
      </c>
      <c r="H559" t="s">
        <v>48</v>
      </c>
      <c r="I559">
        <v>4</v>
      </c>
      <c r="J559">
        <v>7.57</v>
      </c>
      <c r="K559">
        <v>7</v>
      </c>
      <c r="L559">
        <v>126.74</v>
      </c>
      <c r="M559">
        <v>17</v>
      </c>
      <c r="N559" t="s">
        <v>26</v>
      </c>
      <c r="O559">
        <v>40</v>
      </c>
      <c r="P559">
        <v>220</v>
      </c>
      <c r="Q559" s="27" t="str">
        <f>IF(D559=Pivot!$AS$4,R558, "")</f>
        <v/>
      </c>
      <c r="R559" t="s">
        <v>34</v>
      </c>
      <c r="S559" s="5">
        <v>18.18</v>
      </c>
      <c r="T559">
        <v>59.64</v>
      </c>
      <c r="U559">
        <v>35.909999999999997</v>
      </c>
      <c r="V559" s="27">
        <f t="shared" si="32"/>
        <v>211.96</v>
      </c>
      <c r="W559">
        <f t="shared" si="33"/>
        <v>162.64999999999998</v>
      </c>
      <c r="X559" s="33" t="str">
        <f t="shared" si="34"/>
        <v>Mid Quality</v>
      </c>
      <c r="Y559" s="27" t="str">
        <f t="shared" si="35"/>
        <v>8</v>
      </c>
    </row>
    <row r="560" spans="1:25" x14ac:dyDescent="0.25">
      <c r="A560" s="1">
        <v>45474</v>
      </c>
      <c r="B560" t="s">
        <v>35</v>
      </c>
      <c r="C560">
        <v>3</v>
      </c>
      <c r="D560" t="s">
        <v>21</v>
      </c>
      <c r="E560" t="s">
        <v>30</v>
      </c>
      <c r="F560" t="s">
        <v>54</v>
      </c>
      <c r="G560" t="s">
        <v>60</v>
      </c>
      <c r="H560" t="s">
        <v>33</v>
      </c>
      <c r="I560">
        <v>2</v>
      </c>
      <c r="J560">
        <v>16.350000000000001</v>
      </c>
      <c r="K560">
        <v>6</v>
      </c>
      <c r="L560">
        <v>453.84</v>
      </c>
      <c r="M560">
        <v>34</v>
      </c>
      <c r="N560" t="s">
        <v>55</v>
      </c>
      <c r="O560">
        <v>11</v>
      </c>
      <c r="P560">
        <v>394</v>
      </c>
      <c r="Q560" s="27" t="str">
        <f>IF(D560=Pivot!$AS$4,R559, "")</f>
        <v/>
      </c>
      <c r="R560" t="s">
        <v>46</v>
      </c>
      <c r="S560" s="5">
        <v>2.79</v>
      </c>
      <c r="T560">
        <v>92.42</v>
      </c>
      <c r="U560">
        <v>257.18</v>
      </c>
      <c r="V560" s="27">
        <f t="shared" si="32"/>
        <v>196.20000000000002</v>
      </c>
      <c r="W560">
        <f t="shared" si="33"/>
        <v>711.02</v>
      </c>
      <c r="X560" s="33" t="str">
        <f t="shared" si="34"/>
        <v>Low Quality</v>
      </c>
      <c r="Y560" s="27" t="str">
        <f t="shared" si="35"/>
        <v>18</v>
      </c>
    </row>
    <row r="561" spans="1:25" x14ac:dyDescent="0.25">
      <c r="A561" s="1">
        <v>45458</v>
      </c>
      <c r="B561" t="s">
        <v>75</v>
      </c>
      <c r="C561">
        <v>3</v>
      </c>
      <c r="D561" t="s">
        <v>82</v>
      </c>
      <c r="E561" t="s">
        <v>30</v>
      </c>
      <c r="F561" t="s">
        <v>54</v>
      </c>
      <c r="G561" t="s">
        <v>52</v>
      </c>
      <c r="H561" t="s">
        <v>33</v>
      </c>
      <c r="I561">
        <v>1</v>
      </c>
      <c r="J561">
        <v>5.68</v>
      </c>
      <c r="K561">
        <v>9</v>
      </c>
      <c r="L561">
        <v>345.27</v>
      </c>
      <c r="M561">
        <v>29</v>
      </c>
      <c r="N561" t="s">
        <v>26</v>
      </c>
      <c r="O561">
        <v>1</v>
      </c>
      <c r="P561">
        <v>219</v>
      </c>
      <c r="Q561" s="27" t="str">
        <f>IF(D561=Pivot!$AS$4,R560, "")</f>
        <v/>
      </c>
      <c r="R561" t="s">
        <v>27</v>
      </c>
      <c r="S561" s="5">
        <v>0.46</v>
      </c>
      <c r="T561">
        <v>98.08</v>
      </c>
      <c r="U561">
        <v>166.88</v>
      </c>
      <c r="V561" s="27">
        <f t="shared" si="32"/>
        <v>51.12</v>
      </c>
      <c r="W561">
        <f t="shared" si="33"/>
        <v>512.15</v>
      </c>
      <c r="X561" s="33" t="str">
        <f t="shared" si="34"/>
        <v>High Quality</v>
      </c>
      <c r="Y561" s="27" t="str">
        <f t="shared" si="35"/>
        <v>6</v>
      </c>
    </row>
    <row r="562" spans="1:25" x14ac:dyDescent="0.25">
      <c r="A562" s="1">
        <v>45535</v>
      </c>
      <c r="B562" t="s">
        <v>20</v>
      </c>
      <c r="C562">
        <v>1</v>
      </c>
      <c r="D562" t="s">
        <v>74</v>
      </c>
      <c r="E562" t="s">
        <v>22</v>
      </c>
      <c r="F562" t="s">
        <v>70</v>
      </c>
      <c r="G562" t="s">
        <v>24</v>
      </c>
      <c r="H562" t="s">
        <v>48</v>
      </c>
      <c r="I562">
        <v>1</v>
      </c>
      <c r="J562">
        <v>2.2000000000000002</v>
      </c>
      <c r="K562">
        <v>7</v>
      </c>
      <c r="L562">
        <v>446.83</v>
      </c>
      <c r="M562">
        <v>89</v>
      </c>
      <c r="N562" t="s">
        <v>26</v>
      </c>
      <c r="O562">
        <v>42</v>
      </c>
      <c r="P562">
        <v>555</v>
      </c>
      <c r="Q562" s="27" t="str">
        <f>IF(D562=Pivot!$AS$4,R561, "")</f>
        <v/>
      </c>
      <c r="R562" t="s">
        <v>57</v>
      </c>
      <c r="S562" s="5">
        <v>7.57</v>
      </c>
      <c r="T562">
        <v>83.86</v>
      </c>
      <c r="U562">
        <v>662.8</v>
      </c>
      <c r="V562" s="27">
        <f t="shared" si="32"/>
        <v>15.400000000000002</v>
      </c>
      <c r="W562">
        <f t="shared" si="33"/>
        <v>1109.6299999999999</v>
      </c>
      <c r="X562" s="33" t="str">
        <f t="shared" si="34"/>
        <v>High Quality</v>
      </c>
      <c r="Y562" s="27" t="str">
        <f t="shared" si="35"/>
        <v>4</v>
      </c>
    </row>
    <row r="563" spans="1:25" x14ac:dyDescent="0.25">
      <c r="A563" s="1">
        <v>45531</v>
      </c>
      <c r="B563" t="s">
        <v>50</v>
      </c>
      <c r="C563">
        <v>2</v>
      </c>
      <c r="D563" t="s">
        <v>80</v>
      </c>
      <c r="E563" t="s">
        <v>37</v>
      </c>
      <c r="F563" t="s">
        <v>59</v>
      </c>
      <c r="G563" t="s">
        <v>52</v>
      </c>
      <c r="H563" t="s">
        <v>25</v>
      </c>
      <c r="I563">
        <v>5</v>
      </c>
      <c r="J563">
        <v>3.5</v>
      </c>
      <c r="K563">
        <v>5</v>
      </c>
      <c r="L563">
        <v>268.38</v>
      </c>
      <c r="M563">
        <v>64</v>
      </c>
      <c r="N563" t="s">
        <v>45</v>
      </c>
      <c r="O563">
        <v>1</v>
      </c>
      <c r="P563">
        <v>629</v>
      </c>
      <c r="Q563" s="27" t="str">
        <f>IF(D563=Pivot!$AS$4,R562, "")</f>
        <v>Rutin kontrol</v>
      </c>
      <c r="R563" t="s">
        <v>57</v>
      </c>
      <c r="S563" s="5">
        <v>0.16</v>
      </c>
      <c r="T563">
        <v>94.68</v>
      </c>
      <c r="U563">
        <v>286.27</v>
      </c>
      <c r="V563" s="27">
        <f t="shared" si="32"/>
        <v>87.5</v>
      </c>
      <c r="W563">
        <f t="shared" si="33"/>
        <v>554.65</v>
      </c>
      <c r="X563" s="33" t="str">
        <f t="shared" si="34"/>
        <v>High Quality</v>
      </c>
      <c r="Y563" s="27" t="str">
        <f t="shared" si="35"/>
        <v>4</v>
      </c>
    </row>
    <row r="564" spans="1:25" x14ac:dyDescent="0.25">
      <c r="A564" s="1">
        <v>45568</v>
      </c>
      <c r="B564" t="s">
        <v>28</v>
      </c>
      <c r="C564">
        <v>3</v>
      </c>
      <c r="D564" t="s">
        <v>53</v>
      </c>
      <c r="E564" t="s">
        <v>37</v>
      </c>
      <c r="F564" t="s">
        <v>84</v>
      </c>
      <c r="G564" t="s">
        <v>32</v>
      </c>
      <c r="H564" t="s">
        <v>48</v>
      </c>
      <c r="I564">
        <v>5</v>
      </c>
      <c r="J564">
        <v>17.32</v>
      </c>
      <c r="K564">
        <v>9</v>
      </c>
      <c r="L564">
        <v>293.92</v>
      </c>
      <c r="M564">
        <v>63</v>
      </c>
      <c r="N564" t="s">
        <v>49</v>
      </c>
      <c r="O564">
        <v>39</v>
      </c>
      <c r="P564">
        <v>268</v>
      </c>
      <c r="Q564" s="27" t="str">
        <f>IF(D564=Pivot!$AS$4,R563, "")</f>
        <v/>
      </c>
      <c r="R564" t="s">
        <v>42</v>
      </c>
      <c r="S564" s="5">
        <v>14.55</v>
      </c>
      <c r="T564">
        <v>65.900000000000006</v>
      </c>
      <c r="U564">
        <v>308.62</v>
      </c>
      <c r="V564" s="27">
        <f t="shared" si="32"/>
        <v>779.4</v>
      </c>
      <c r="W564">
        <f t="shared" si="33"/>
        <v>602.54</v>
      </c>
      <c r="X564" s="33" t="str">
        <f t="shared" si="34"/>
        <v>Low Quality</v>
      </c>
      <c r="Y564" s="27" t="str">
        <f t="shared" si="35"/>
        <v>18</v>
      </c>
    </row>
    <row r="565" spans="1:25" x14ac:dyDescent="0.25">
      <c r="A565" s="1">
        <v>45431</v>
      </c>
      <c r="B565" t="s">
        <v>50</v>
      </c>
      <c r="C565">
        <v>2</v>
      </c>
      <c r="D565" t="s">
        <v>43</v>
      </c>
      <c r="E565" t="s">
        <v>67</v>
      </c>
      <c r="F565" t="s">
        <v>62</v>
      </c>
      <c r="G565" t="s">
        <v>52</v>
      </c>
      <c r="H565" t="s">
        <v>33</v>
      </c>
      <c r="I565">
        <v>2</v>
      </c>
      <c r="J565">
        <v>13.04</v>
      </c>
      <c r="K565">
        <v>6</v>
      </c>
      <c r="L565">
        <v>463.57</v>
      </c>
      <c r="M565">
        <v>89</v>
      </c>
      <c r="N565" t="s">
        <v>55</v>
      </c>
      <c r="O565">
        <v>46</v>
      </c>
      <c r="P565">
        <v>809</v>
      </c>
      <c r="Q565" s="27" t="str">
        <f>IF(D565=Pivot!$AS$4,R564, "")</f>
        <v/>
      </c>
      <c r="R565" t="s">
        <v>57</v>
      </c>
      <c r="S565" s="5">
        <v>5.69</v>
      </c>
      <c r="T565">
        <v>86.62</v>
      </c>
      <c r="U565">
        <v>687.63</v>
      </c>
      <c r="V565" s="27">
        <f t="shared" si="32"/>
        <v>156.47999999999999</v>
      </c>
      <c r="W565">
        <f t="shared" si="33"/>
        <v>1151.2</v>
      </c>
      <c r="X565" s="33" t="str">
        <f t="shared" si="34"/>
        <v>Mid Quality</v>
      </c>
      <c r="Y565" s="27" t="str">
        <f t="shared" si="35"/>
        <v>14</v>
      </c>
    </row>
    <row r="566" spans="1:25" x14ac:dyDescent="0.25">
      <c r="A566" s="1">
        <v>45572</v>
      </c>
      <c r="B566" t="s">
        <v>28</v>
      </c>
      <c r="C566">
        <v>3</v>
      </c>
      <c r="D566" t="s">
        <v>53</v>
      </c>
      <c r="E566" t="s">
        <v>37</v>
      </c>
      <c r="F566" t="s">
        <v>84</v>
      </c>
      <c r="G566" t="s">
        <v>60</v>
      </c>
      <c r="H566" t="s">
        <v>25</v>
      </c>
      <c r="I566">
        <v>1</v>
      </c>
      <c r="J566">
        <v>5.81</v>
      </c>
      <c r="K566">
        <v>6</v>
      </c>
      <c r="L566">
        <v>454.96</v>
      </c>
      <c r="M566">
        <v>32</v>
      </c>
      <c r="N566" t="s">
        <v>45</v>
      </c>
      <c r="O566">
        <v>5</v>
      </c>
      <c r="P566">
        <v>242</v>
      </c>
      <c r="Q566" s="27" t="str">
        <f>IF(D566=Pivot!$AS$4,R565, "")</f>
        <v/>
      </c>
      <c r="R566" t="s">
        <v>57</v>
      </c>
      <c r="S566" s="5">
        <v>2.0699999999999998</v>
      </c>
      <c r="T566">
        <v>94.86</v>
      </c>
      <c r="U566">
        <v>242.65</v>
      </c>
      <c r="V566" s="27">
        <f t="shared" si="32"/>
        <v>34.86</v>
      </c>
      <c r="W566">
        <f t="shared" si="33"/>
        <v>697.61</v>
      </c>
      <c r="X566" s="33" t="str">
        <f t="shared" si="34"/>
        <v>High Quality</v>
      </c>
      <c r="Y566" s="27" t="str">
        <f t="shared" si="35"/>
        <v>6</v>
      </c>
    </row>
    <row r="567" spans="1:25" x14ac:dyDescent="0.25">
      <c r="A567" s="1">
        <v>45519</v>
      </c>
      <c r="B567" t="s">
        <v>35</v>
      </c>
      <c r="C567">
        <v>3</v>
      </c>
      <c r="D567" t="s">
        <v>43</v>
      </c>
      <c r="E567" t="s">
        <v>37</v>
      </c>
      <c r="F567" t="s">
        <v>90</v>
      </c>
      <c r="G567" t="s">
        <v>52</v>
      </c>
      <c r="H567" t="s">
        <v>48</v>
      </c>
      <c r="I567">
        <v>2</v>
      </c>
      <c r="J567">
        <v>11.55</v>
      </c>
      <c r="K567">
        <v>4</v>
      </c>
      <c r="L567">
        <v>251.67</v>
      </c>
      <c r="M567">
        <v>62</v>
      </c>
      <c r="N567" t="s">
        <v>49</v>
      </c>
      <c r="O567">
        <v>49</v>
      </c>
      <c r="P567">
        <v>136</v>
      </c>
      <c r="Q567" s="27" t="str">
        <f>IF(D567=Pivot!$AS$4,R566, "")</f>
        <v/>
      </c>
      <c r="R567" t="s">
        <v>27</v>
      </c>
      <c r="S567" s="5">
        <v>36.03</v>
      </c>
      <c r="T567">
        <v>25.94</v>
      </c>
      <c r="U567">
        <v>260.06</v>
      </c>
      <c r="V567" s="27">
        <f t="shared" si="32"/>
        <v>92.4</v>
      </c>
      <c r="W567">
        <f t="shared" si="33"/>
        <v>511.73</v>
      </c>
      <c r="X567" s="33" t="str">
        <f t="shared" si="34"/>
        <v>Mid Quality</v>
      </c>
      <c r="Y567" s="27" t="str">
        <f t="shared" si="35"/>
        <v>12</v>
      </c>
    </row>
    <row r="568" spans="1:25" x14ac:dyDescent="0.25">
      <c r="A568" s="1">
        <v>45361</v>
      </c>
      <c r="B568" t="s">
        <v>28</v>
      </c>
      <c r="C568">
        <v>2</v>
      </c>
      <c r="D568" t="s">
        <v>74</v>
      </c>
      <c r="E568" t="s">
        <v>30</v>
      </c>
      <c r="F568" t="s">
        <v>23</v>
      </c>
      <c r="G568" t="s">
        <v>32</v>
      </c>
      <c r="H568" t="s">
        <v>61</v>
      </c>
      <c r="I568">
        <v>5</v>
      </c>
      <c r="J568">
        <v>11.02</v>
      </c>
      <c r="K568">
        <v>1</v>
      </c>
      <c r="L568">
        <v>173.49</v>
      </c>
      <c r="M568">
        <v>24</v>
      </c>
      <c r="N568" t="s">
        <v>45</v>
      </c>
      <c r="O568">
        <v>22</v>
      </c>
      <c r="P568">
        <v>797</v>
      </c>
      <c r="Q568" s="27" t="str">
        <f>IF(D568=Pivot!$AS$4,R567, "")</f>
        <v/>
      </c>
      <c r="R568" t="s">
        <v>46</v>
      </c>
      <c r="S568" s="5">
        <v>2.76</v>
      </c>
      <c r="T568">
        <v>89.48</v>
      </c>
      <c r="U568">
        <v>69.400000000000006</v>
      </c>
      <c r="V568" s="27">
        <f t="shared" si="32"/>
        <v>55.099999999999994</v>
      </c>
      <c r="W568">
        <f t="shared" si="33"/>
        <v>242.89000000000001</v>
      </c>
      <c r="X568" s="33" t="str">
        <f t="shared" si="34"/>
        <v>Mid Quality</v>
      </c>
      <c r="Y568" s="27" t="str">
        <f t="shared" si="35"/>
        <v>12</v>
      </c>
    </row>
    <row r="569" spans="1:25" x14ac:dyDescent="0.25">
      <c r="A569" s="1">
        <v>45568</v>
      </c>
      <c r="B569" t="s">
        <v>20</v>
      </c>
      <c r="C569">
        <v>3</v>
      </c>
      <c r="D569" t="s">
        <v>53</v>
      </c>
      <c r="E569" t="s">
        <v>30</v>
      </c>
      <c r="F569" t="s">
        <v>87</v>
      </c>
      <c r="G569" t="s">
        <v>32</v>
      </c>
      <c r="H569" t="s">
        <v>61</v>
      </c>
      <c r="I569">
        <v>5</v>
      </c>
      <c r="J569">
        <v>13.45</v>
      </c>
      <c r="K569">
        <v>5</v>
      </c>
      <c r="L569">
        <v>226.93</v>
      </c>
      <c r="M569">
        <v>38</v>
      </c>
      <c r="N569" t="s">
        <v>49</v>
      </c>
      <c r="O569">
        <v>26</v>
      </c>
      <c r="P569">
        <v>360</v>
      </c>
      <c r="Q569" s="27" t="str">
        <f>IF(D569=Pivot!$AS$4,R568, "")</f>
        <v/>
      </c>
      <c r="R569" t="s">
        <v>57</v>
      </c>
      <c r="S569" s="5">
        <v>7.22</v>
      </c>
      <c r="T569">
        <v>80.56</v>
      </c>
      <c r="U569">
        <v>143.72</v>
      </c>
      <c r="V569" s="27">
        <f t="shared" si="32"/>
        <v>336.25</v>
      </c>
      <c r="W569">
        <f t="shared" si="33"/>
        <v>370.65</v>
      </c>
      <c r="X569" s="33" t="str">
        <f t="shared" si="34"/>
        <v>Mid Quality</v>
      </c>
      <c r="Y569" s="27" t="str">
        <f t="shared" si="35"/>
        <v>14</v>
      </c>
    </row>
    <row r="570" spans="1:25" x14ac:dyDescent="0.25">
      <c r="A570" s="1">
        <v>45382</v>
      </c>
      <c r="B570" t="s">
        <v>75</v>
      </c>
      <c r="C570">
        <v>2</v>
      </c>
      <c r="D570" t="s">
        <v>64</v>
      </c>
      <c r="E570" t="s">
        <v>67</v>
      </c>
      <c r="F570" t="s">
        <v>68</v>
      </c>
      <c r="G570" t="s">
        <v>32</v>
      </c>
      <c r="H570" t="s">
        <v>48</v>
      </c>
      <c r="I570">
        <v>4</v>
      </c>
      <c r="J570">
        <v>5.43</v>
      </c>
      <c r="K570">
        <v>9</v>
      </c>
      <c r="L570">
        <v>224.49</v>
      </c>
      <c r="M570">
        <v>9</v>
      </c>
      <c r="N570" t="s">
        <v>49</v>
      </c>
      <c r="O570">
        <v>6</v>
      </c>
      <c r="P570">
        <v>330</v>
      </c>
      <c r="Q570" s="27" t="str">
        <f>IF(D570=Pivot!$AS$4,R569, "")</f>
        <v/>
      </c>
      <c r="R570" t="s">
        <v>42</v>
      </c>
      <c r="S570" s="5">
        <v>1.82</v>
      </c>
      <c r="T570">
        <v>92.36</v>
      </c>
      <c r="U570">
        <v>33.67</v>
      </c>
      <c r="V570" s="27">
        <f t="shared" si="32"/>
        <v>195.48</v>
      </c>
      <c r="W570">
        <f t="shared" si="33"/>
        <v>258.16000000000003</v>
      </c>
      <c r="X570" s="33" t="str">
        <f t="shared" si="34"/>
        <v>High Quality</v>
      </c>
      <c r="Y570" s="27" t="str">
        <f t="shared" si="35"/>
        <v>6</v>
      </c>
    </row>
    <row r="571" spans="1:25" x14ac:dyDescent="0.25">
      <c r="A571" s="1">
        <v>45525</v>
      </c>
      <c r="B571" t="s">
        <v>28</v>
      </c>
      <c r="C571">
        <v>3</v>
      </c>
      <c r="D571" t="s">
        <v>83</v>
      </c>
      <c r="E571" t="s">
        <v>51</v>
      </c>
      <c r="F571" t="s">
        <v>59</v>
      </c>
      <c r="G571" t="s">
        <v>60</v>
      </c>
      <c r="H571" t="s">
        <v>25</v>
      </c>
      <c r="I571">
        <v>2</v>
      </c>
      <c r="J571">
        <v>17.420000000000002</v>
      </c>
      <c r="K571">
        <v>8</v>
      </c>
      <c r="L571">
        <v>179.09</v>
      </c>
      <c r="M571">
        <v>86</v>
      </c>
      <c r="N571" t="s">
        <v>49</v>
      </c>
      <c r="O571">
        <v>32</v>
      </c>
      <c r="P571">
        <v>353</v>
      </c>
      <c r="Q571" s="27" t="str">
        <f>IF(D571=Pivot!$AS$4,R570, "")</f>
        <v/>
      </c>
      <c r="R571" t="s">
        <v>46</v>
      </c>
      <c r="S571" s="5">
        <v>9.07</v>
      </c>
      <c r="T571">
        <v>79.86</v>
      </c>
      <c r="U571">
        <v>256.7</v>
      </c>
      <c r="V571" s="27">
        <f t="shared" si="32"/>
        <v>278.72000000000003</v>
      </c>
      <c r="W571">
        <f t="shared" si="33"/>
        <v>435.78999999999996</v>
      </c>
      <c r="X571" s="33" t="str">
        <f t="shared" si="34"/>
        <v>Low Quality</v>
      </c>
      <c r="Y571" s="27" t="str">
        <f t="shared" si="35"/>
        <v>18</v>
      </c>
    </row>
    <row r="572" spans="1:25" x14ac:dyDescent="0.25">
      <c r="A572" s="1">
        <v>45580</v>
      </c>
      <c r="B572" t="s">
        <v>28</v>
      </c>
      <c r="C572">
        <v>1</v>
      </c>
      <c r="D572" t="s">
        <v>77</v>
      </c>
      <c r="E572" t="s">
        <v>67</v>
      </c>
      <c r="F572" t="s">
        <v>86</v>
      </c>
      <c r="G572" t="s">
        <v>32</v>
      </c>
      <c r="H572" t="s">
        <v>48</v>
      </c>
      <c r="I572">
        <v>2</v>
      </c>
      <c r="J572">
        <v>6.88</v>
      </c>
      <c r="K572">
        <v>8</v>
      </c>
      <c r="L572">
        <v>170.86</v>
      </c>
      <c r="M572">
        <v>64</v>
      </c>
      <c r="N572" t="s">
        <v>45</v>
      </c>
      <c r="O572">
        <v>48</v>
      </c>
      <c r="P572">
        <v>428</v>
      </c>
      <c r="Q572" s="27" t="str">
        <f>IF(D572=Pivot!$AS$4,R571, "")</f>
        <v/>
      </c>
      <c r="R572" t="s">
        <v>42</v>
      </c>
      <c r="S572" s="5">
        <v>11.21</v>
      </c>
      <c r="T572">
        <v>75.58</v>
      </c>
      <c r="U572">
        <v>182.25</v>
      </c>
      <c r="V572" s="27">
        <f t="shared" si="32"/>
        <v>110.08</v>
      </c>
      <c r="W572">
        <f t="shared" si="33"/>
        <v>353.11</v>
      </c>
      <c r="X572" s="33" t="str">
        <f t="shared" si="34"/>
        <v>Mid Quality</v>
      </c>
      <c r="Y572" s="27" t="str">
        <f t="shared" si="35"/>
        <v>8</v>
      </c>
    </row>
    <row r="573" spans="1:25" x14ac:dyDescent="0.25">
      <c r="A573" s="1">
        <v>45514</v>
      </c>
      <c r="B573" t="s">
        <v>75</v>
      </c>
      <c r="C573">
        <v>2</v>
      </c>
      <c r="D573" t="s">
        <v>83</v>
      </c>
      <c r="E573" t="s">
        <v>67</v>
      </c>
      <c r="F573" t="s">
        <v>84</v>
      </c>
      <c r="G573" t="s">
        <v>24</v>
      </c>
      <c r="H573" t="s">
        <v>48</v>
      </c>
      <c r="I573">
        <v>1</v>
      </c>
      <c r="J573">
        <v>14.19</v>
      </c>
      <c r="K573">
        <v>5</v>
      </c>
      <c r="L573">
        <v>437.48</v>
      </c>
      <c r="M573">
        <v>47</v>
      </c>
      <c r="N573" t="s">
        <v>26</v>
      </c>
      <c r="O573">
        <v>11</v>
      </c>
      <c r="P573">
        <v>396</v>
      </c>
      <c r="Q573" s="27" t="str">
        <f>IF(D573=Pivot!$AS$4,R572, "")</f>
        <v/>
      </c>
      <c r="R573" t="s">
        <v>57</v>
      </c>
      <c r="S573" s="5">
        <v>2.78</v>
      </c>
      <c r="T573">
        <v>93.44</v>
      </c>
      <c r="U573">
        <v>342.69</v>
      </c>
      <c r="V573" s="27">
        <f t="shared" si="32"/>
        <v>70.95</v>
      </c>
      <c r="W573">
        <f t="shared" si="33"/>
        <v>780.17000000000007</v>
      </c>
      <c r="X573" s="33" t="str">
        <f t="shared" si="34"/>
        <v>Mid Quality</v>
      </c>
      <c r="Y573" s="27" t="str">
        <f t="shared" si="35"/>
        <v>16</v>
      </c>
    </row>
    <row r="574" spans="1:25" x14ac:dyDescent="0.25">
      <c r="A574" s="1">
        <v>45560</v>
      </c>
      <c r="B574" t="s">
        <v>20</v>
      </c>
      <c r="C574">
        <v>3</v>
      </c>
      <c r="D574" t="s">
        <v>36</v>
      </c>
      <c r="E574" t="s">
        <v>22</v>
      </c>
      <c r="F574" t="s">
        <v>81</v>
      </c>
      <c r="G574" t="s">
        <v>32</v>
      </c>
      <c r="H574" t="s">
        <v>33</v>
      </c>
      <c r="I574">
        <v>1</v>
      </c>
      <c r="J574">
        <v>1.31</v>
      </c>
      <c r="K574">
        <v>9</v>
      </c>
      <c r="L574">
        <v>81.44</v>
      </c>
      <c r="M574">
        <v>61</v>
      </c>
      <c r="N574" t="s">
        <v>49</v>
      </c>
      <c r="O574">
        <v>10</v>
      </c>
      <c r="P574">
        <v>109</v>
      </c>
      <c r="Q574" s="27" t="str">
        <f>IF(D574=Pivot!$AS$4,R573, "")</f>
        <v/>
      </c>
      <c r="R574" t="s">
        <v>46</v>
      </c>
      <c r="S574" s="5">
        <v>9.17</v>
      </c>
      <c r="T574">
        <v>80.66</v>
      </c>
      <c r="U574">
        <v>82.8</v>
      </c>
      <c r="V574" s="27">
        <f t="shared" si="32"/>
        <v>11.790000000000001</v>
      </c>
      <c r="W574">
        <f t="shared" si="33"/>
        <v>164.24</v>
      </c>
      <c r="X574" s="33" t="str">
        <f t="shared" si="34"/>
        <v>High Quality</v>
      </c>
      <c r="Y574" s="27" t="str">
        <f t="shared" si="35"/>
        <v>2</v>
      </c>
    </row>
    <row r="575" spans="1:25" x14ac:dyDescent="0.25">
      <c r="A575" s="1">
        <v>45565</v>
      </c>
      <c r="B575" t="s">
        <v>50</v>
      </c>
      <c r="C575">
        <v>3</v>
      </c>
      <c r="D575" t="s">
        <v>85</v>
      </c>
      <c r="E575" t="s">
        <v>22</v>
      </c>
      <c r="F575" t="s">
        <v>86</v>
      </c>
      <c r="G575" t="s">
        <v>52</v>
      </c>
      <c r="H575" t="s">
        <v>61</v>
      </c>
      <c r="I575">
        <v>4</v>
      </c>
      <c r="J575">
        <v>8.08</v>
      </c>
      <c r="K575">
        <v>3</v>
      </c>
      <c r="L575">
        <v>354.93</v>
      </c>
      <c r="M575">
        <v>61</v>
      </c>
      <c r="N575" t="s">
        <v>26</v>
      </c>
      <c r="O575">
        <v>47</v>
      </c>
      <c r="P575">
        <v>545</v>
      </c>
      <c r="Q575" s="27" t="str">
        <f>IF(D575=Pivot!$AS$4,R574, "")</f>
        <v/>
      </c>
      <c r="R575" t="s">
        <v>57</v>
      </c>
      <c r="S575" s="5">
        <v>8.6199999999999992</v>
      </c>
      <c r="T575">
        <v>78.760000000000005</v>
      </c>
      <c r="U575">
        <v>360.85</v>
      </c>
      <c r="V575" s="27">
        <f t="shared" si="32"/>
        <v>96.960000000000008</v>
      </c>
      <c r="W575">
        <f t="shared" si="33"/>
        <v>715.78</v>
      </c>
      <c r="X575" s="33" t="str">
        <f t="shared" si="34"/>
        <v>Mid Quality</v>
      </c>
      <c r="Y575" s="27" t="str">
        <f t="shared" si="35"/>
        <v>10</v>
      </c>
    </row>
    <row r="576" spans="1:25" x14ac:dyDescent="0.25">
      <c r="A576" s="1">
        <v>45450</v>
      </c>
      <c r="B576" t="s">
        <v>28</v>
      </c>
      <c r="C576">
        <v>1</v>
      </c>
      <c r="D576" t="s">
        <v>64</v>
      </c>
      <c r="E576" t="s">
        <v>67</v>
      </c>
      <c r="F576" t="s">
        <v>68</v>
      </c>
      <c r="G576" t="s">
        <v>52</v>
      </c>
      <c r="H576" t="s">
        <v>33</v>
      </c>
      <c r="I576">
        <v>3</v>
      </c>
      <c r="J576">
        <v>7.68</v>
      </c>
      <c r="K576">
        <v>3</v>
      </c>
      <c r="L576">
        <v>127.77</v>
      </c>
      <c r="M576">
        <v>79</v>
      </c>
      <c r="N576" t="s">
        <v>55</v>
      </c>
      <c r="O576">
        <v>39</v>
      </c>
      <c r="P576">
        <v>935</v>
      </c>
      <c r="Q576" s="27" t="str">
        <f>IF(D576=Pivot!$AS$4,R575, "")</f>
        <v/>
      </c>
      <c r="R576" t="s">
        <v>27</v>
      </c>
      <c r="S576" s="5">
        <v>4.17</v>
      </c>
      <c r="T576">
        <v>88.66</v>
      </c>
      <c r="U576">
        <v>168.23</v>
      </c>
      <c r="V576" s="27">
        <f t="shared" si="32"/>
        <v>69.12</v>
      </c>
      <c r="W576">
        <f t="shared" si="33"/>
        <v>296</v>
      </c>
      <c r="X576" s="33" t="str">
        <f t="shared" si="34"/>
        <v>Mid Quality</v>
      </c>
      <c r="Y576" s="27" t="str">
        <f t="shared" si="35"/>
        <v>8</v>
      </c>
    </row>
    <row r="577" spans="1:25" x14ac:dyDescent="0.25">
      <c r="A577" s="1">
        <v>45469</v>
      </c>
      <c r="B577" t="s">
        <v>75</v>
      </c>
      <c r="C577">
        <v>2</v>
      </c>
      <c r="D577" t="s">
        <v>88</v>
      </c>
      <c r="E577" t="s">
        <v>67</v>
      </c>
      <c r="F577" t="s">
        <v>73</v>
      </c>
      <c r="G577" t="s">
        <v>52</v>
      </c>
      <c r="H577" t="s">
        <v>33</v>
      </c>
      <c r="I577">
        <v>3</v>
      </c>
      <c r="J577">
        <v>11.33</v>
      </c>
      <c r="K577">
        <v>1</v>
      </c>
      <c r="L577">
        <v>205.03</v>
      </c>
      <c r="M577">
        <v>58</v>
      </c>
      <c r="N577" t="s">
        <v>41</v>
      </c>
      <c r="O577">
        <v>34</v>
      </c>
      <c r="P577">
        <v>329</v>
      </c>
      <c r="Q577" s="27" t="str">
        <f>IF(D577=Pivot!$AS$4,R576, "")</f>
        <v/>
      </c>
      <c r="R577" t="s">
        <v>46</v>
      </c>
      <c r="S577" s="5">
        <v>10.33</v>
      </c>
      <c r="T577">
        <v>76.34</v>
      </c>
      <c r="U577">
        <v>198.2</v>
      </c>
      <c r="V577" s="27">
        <f t="shared" si="32"/>
        <v>33.99</v>
      </c>
      <c r="W577">
        <f t="shared" si="33"/>
        <v>403.23</v>
      </c>
      <c r="X577" s="33" t="str">
        <f t="shared" si="34"/>
        <v>Mid Quality</v>
      </c>
      <c r="Y577" s="27" t="str">
        <f t="shared" si="35"/>
        <v>12</v>
      </c>
    </row>
    <row r="578" spans="1:25" x14ac:dyDescent="0.25">
      <c r="A578" s="1">
        <v>45538</v>
      </c>
      <c r="B578" t="s">
        <v>35</v>
      </c>
      <c r="C578">
        <v>3</v>
      </c>
      <c r="D578" t="s">
        <v>85</v>
      </c>
      <c r="E578" t="s">
        <v>67</v>
      </c>
      <c r="F578" t="s">
        <v>23</v>
      </c>
      <c r="G578" t="s">
        <v>60</v>
      </c>
      <c r="H578" t="s">
        <v>48</v>
      </c>
      <c r="I578">
        <v>3</v>
      </c>
      <c r="J578">
        <v>2.38</v>
      </c>
      <c r="K578">
        <v>9</v>
      </c>
      <c r="L578">
        <v>77.69</v>
      </c>
      <c r="M578">
        <v>85</v>
      </c>
      <c r="N578" t="s">
        <v>26</v>
      </c>
      <c r="O578">
        <v>31</v>
      </c>
      <c r="P578">
        <v>635</v>
      </c>
      <c r="Q578" s="27" t="str">
        <f>IF(D578=Pivot!$AS$4,R577, "")</f>
        <v/>
      </c>
      <c r="R578" t="s">
        <v>42</v>
      </c>
      <c r="S578" s="5">
        <v>4.88</v>
      </c>
      <c r="T578">
        <v>87.24</v>
      </c>
      <c r="U578">
        <v>110.06</v>
      </c>
      <c r="V578" s="27">
        <f t="shared" ref="V578:V641" si="36">K578*I578*J578</f>
        <v>64.259999999999991</v>
      </c>
      <c r="W578">
        <f t="shared" ref="W578:W641" si="37">U578+L578</f>
        <v>187.75</v>
      </c>
      <c r="X578" s="33" t="str">
        <f t="shared" ref="X578:X641" si="38">_xlfn.IFS(J578&lt;6,"High Quality",J578&lt;=15,"Mid Quality",J578&gt;15,"Low Quality")</f>
        <v>High Quality</v>
      </c>
      <c r="Y578" s="27" t="str">
        <f t="shared" ref="Y578:Y641" si="39">_xlfn.IFS(J578&lt;=0,"0",J578&lt;=2,"2",J578&lt;=4,"4",J578&lt;=6,"6",J578&lt;=8,"8",J578&lt;=10,"10",J578&lt;=12,"12",J578&lt;=14,"14",J578&lt;=16,"16",J578&lt;=16,"16",J578&lt;=18,"18",J578&lt;=20,"20")</f>
        <v>4</v>
      </c>
    </row>
    <row r="579" spans="1:25" x14ac:dyDescent="0.25">
      <c r="A579" s="1">
        <v>45568</v>
      </c>
      <c r="B579" t="s">
        <v>75</v>
      </c>
      <c r="C579">
        <v>1</v>
      </c>
      <c r="D579" t="s">
        <v>91</v>
      </c>
      <c r="E579" t="s">
        <v>37</v>
      </c>
      <c r="F579" t="s">
        <v>31</v>
      </c>
      <c r="G579" t="s">
        <v>52</v>
      </c>
      <c r="H579" t="s">
        <v>33</v>
      </c>
      <c r="I579">
        <v>2</v>
      </c>
      <c r="J579">
        <v>16.010000000000002</v>
      </c>
      <c r="K579">
        <v>6</v>
      </c>
      <c r="L579">
        <v>171.49</v>
      </c>
      <c r="M579">
        <v>49</v>
      </c>
      <c r="N579" t="s">
        <v>41</v>
      </c>
      <c r="O579">
        <v>12</v>
      </c>
      <c r="P579">
        <v>177</v>
      </c>
      <c r="Q579" s="27" t="str">
        <f>IF(D579=Pivot!$AS$4,R578, "")</f>
        <v/>
      </c>
      <c r="R579" t="s">
        <v>27</v>
      </c>
      <c r="S579" s="5">
        <v>6.78</v>
      </c>
      <c r="T579">
        <v>84.44</v>
      </c>
      <c r="U579">
        <v>140.05000000000001</v>
      </c>
      <c r="V579" s="27">
        <f t="shared" si="36"/>
        <v>192.12</v>
      </c>
      <c r="W579">
        <f t="shared" si="37"/>
        <v>311.54000000000002</v>
      </c>
      <c r="X579" s="33" t="str">
        <f t="shared" si="38"/>
        <v>Low Quality</v>
      </c>
      <c r="Y579" s="27" t="str">
        <f t="shared" si="39"/>
        <v>18</v>
      </c>
    </row>
    <row r="580" spans="1:25" x14ac:dyDescent="0.25">
      <c r="A580" s="1">
        <v>45408</v>
      </c>
      <c r="B580" t="s">
        <v>35</v>
      </c>
      <c r="C580">
        <v>3</v>
      </c>
      <c r="D580" t="s">
        <v>43</v>
      </c>
      <c r="E580" t="s">
        <v>22</v>
      </c>
      <c r="F580" t="s">
        <v>73</v>
      </c>
      <c r="G580" t="s">
        <v>60</v>
      </c>
      <c r="H580" t="s">
        <v>61</v>
      </c>
      <c r="I580">
        <v>2</v>
      </c>
      <c r="J580">
        <v>5.14</v>
      </c>
      <c r="K580">
        <v>2</v>
      </c>
      <c r="L580">
        <v>395.79</v>
      </c>
      <c r="M580">
        <v>41</v>
      </c>
      <c r="N580" t="s">
        <v>49</v>
      </c>
      <c r="O580">
        <v>44</v>
      </c>
      <c r="P580">
        <v>524</v>
      </c>
      <c r="Q580" s="27" t="str">
        <f>IF(D580=Pivot!$AS$4,R579, "")</f>
        <v/>
      </c>
      <c r="R580" t="s">
        <v>34</v>
      </c>
      <c r="S580" s="5">
        <v>8.4</v>
      </c>
      <c r="T580">
        <v>81.2</v>
      </c>
      <c r="U580">
        <v>270.45999999999998</v>
      </c>
      <c r="V580" s="27">
        <f t="shared" si="36"/>
        <v>20.56</v>
      </c>
      <c r="W580">
        <f t="shared" si="37"/>
        <v>666.25</v>
      </c>
      <c r="X580" s="33" t="str">
        <f t="shared" si="38"/>
        <v>High Quality</v>
      </c>
      <c r="Y580" s="27" t="str">
        <f t="shared" si="39"/>
        <v>6</v>
      </c>
    </row>
    <row r="581" spans="1:25" x14ac:dyDescent="0.25">
      <c r="A581" s="1">
        <v>45337</v>
      </c>
      <c r="B581" t="s">
        <v>20</v>
      </c>
      <c r="C581">
        <v>2</v>
      </c>
      <c r="D581" t="s">
        <v>66</v>
      </c>
      <c r="E581" t="s">
        <v>67</v>
      </c>
      <c r="F581" t="s">
        <v>31</v>
      </c>
      <c r="G581" t="s">
        <v>60</v>
      </c>
      <c r="H581" t="s">
        <v>33</v>
      </c>
      <c r="I581">
        <v>5</v>
      </c>
      <c r="J581">
        <v>13.86</v>
      </c>
      <c r="K581">
        <v>8</v>
      </c>
      <c r="L581">
        <v>448.26</v>
      </c>
      <c r="M581">
        <v>88</v>
      </c>
      <c r="N581" t="s">
        <v>41</v>
      </c>
      <c r="O581">
        <v>16</v>
      </c>
      <c r="P581">
        <v>292</v>
      </c>
      <c r="Q581" s="27" t="str">
        <f>IF(D581=Pivot!$AS$4,R580, "")</f>
        <v/>
      </c>
      <c r="R581" t="s">
        <v>42</v>
      </c>
      <c r="S581" s="5">
        <v>5.48</v>
      </c>
      <c r="T581">
        <v>84.04</v>
      </c>
      <c r="U581">
        <v>657.45</v>
      </c>
      <c r="V581" s="27">
        <f t="shared" si="36"/>
        <v>554.4</v>
      </c>
      <c r="W581">
        <f t="shared" si="37"/>
        <v>1105.71</v>
      </c>
      <c r="X581" s="33" t="str">
        <f t="shared" si="38"/>
        <v>Mid Quality</v>
      </c>
      <c r="Y581" s="27" t="str">
        <f t="shared" si="39"/>
        <v>14</v>
      </c>
    </row>
    <row r="582" spans="1:25" x14ac:dyDescent="0.25">
      <c r="A582" s="1">
        <v>45518</v>
      </c>
      <c r="B582" t="s">
        <v>50</v>
      </c>
      <c r="C582">
        <v>3</v>
      </c>
      <c r="D582" t="s">
        <v>77</v>
      </c>
      <c r="E582" t="s">
        <v>30</v>
      </c>
      <c r="F582" t="s">
        <v>44</v>
      </c>
      <c r="G582" t="s">
        <v>32</v>
      </c>
      <c r="H582" t="s">
        <v>61</v>
      </c>
      <c r="I582">
        <v>2</v>
      </c>
      <c r="J582">
        <v>16.260000000000002</v>
      </c>
      <c r="K582">
        <v>9</v>
      </c>
      <c r="L582">
        <v>149.69</v>
      </c>
      <c r="M582">
        <v>52</v>
      </c>
      <c r="N582" t="s">
        <v>41</v>
      </c>
      <c r="O582">
        <v>38</v>
      </c>
      <c r="P582">
        <v>500</v>
      </c>
      <c r="Q582" s="27" t="str">
        <f>IF(D582=Pivot!$AS$4,R581, "")</f>
        <v/>
      </c>
      <c r="R582" t="s">
        <v>57</v>
      </c>
      <c r="S582" s="5">
        <v>7.6</v>
      </c>
      <c r="T582">
        <v>82.8</v>
      </c>
      <c r="U582">
        <v>129.72999999999999</v>
      </c>
      <c r="V582" s="27">
        <f t="shared" si="36"/>
        <v>292.68</v>
      </c>
      <c r="W582">
        <f t="shared" si="37"/>
        <v>279.41999999999996</v>
      </c>
      <c r="X582" s="33" t="str">
        <f t="shared" si="38"/>
        <v>Low Quality</v>
      </c>
      <c r="Y582" s="27" t="str">
        <f t="shared" si="39"/>
        <v>18</v>
      </c>
    </row>
    <row r="583" spans="1:25" x14ac:dyDescent="0.25">
      <c r="A583" s="1">
        <v>45449</v>
      </c>
      <c r="B583" t="s">
        <v>75</v>
      </c>
      <c r="C583">
        <v>3</v>
      </c>
      <c r="D583" t="s">
        <v>76</v>
      </c>
      <c r="E583" t="s">
        <v>30</v>
      </c>
      <c r="F583" t="s">
        <v>70</v>
      </c>
      <c r="G583" t="s">
        <v>24</v>
      </c>
      <c r="H583" t="s">
        <v>33</v>
      </c>
      <c r="I583">
        <v>2</v>
      </c>
      <c r="J583">
        <v>11.68</v>
      </c>
      <c r="K583">
        <v>9</v>
      </c>
      <c r="L583">
        <v>258.60000000000002</v>
      </c>
      <c r="M583">
        <v>58</v>
      </c>
      <c r="N583" t="s">
        <v>49</v>
      </c>
      <c r="O583">
        <v>3</v>
      </c>
      <c r="P583">
        <v>208</v>
      </c>
      <c r="Q583" s="27" t="str">
        <f>IF(D583=Pivot!$AS$4,R582, "")</f>
        <v/>
      </c>
      <c r="R583" t="s">
        <v>42</v>
      </c>
      <c r="S583" s="5">
        <v>1.44</v>
      </c>
      <c r="T583">
        <v>95.12</v>
      </c>
      <c r="U583">
        <v>249.98</v>
      </c>
      <c r="V583" s="27">
        <f t="shared" si="36"/>
        <v>210.24</v>
      </c>
      <c r="W583">
        <f t="shared" si="37"/>
        <v>508.58000000000004</v>
      </c>
      <c r="X583" s="33" t="str">
        <f t="shared" si="38"/>
        <v>Mid Quality</v>
      </c>
      <c r="Y583" s="27" t="str">
        <f t="shared" si="39"/>
        <v>12</v>
      </c>
    </row>
    <row r="584" spans="1:25" x14ac:dyDescent="0.25">
      <c r="A584" s="1">
        <v>45479</v>
      </c>
      <c r="B584" t="s">
        <v>65</v>
      </c>
      <c r="C584">
        <v>3</v>
      </c>
      <c r="D584" t="s">
        <v>85</v>
      </c>
      <c r="E584" t="s">
        <v>37</v>
      </c>
      <c r="F584" t="s">
        <v>89</v>
      </c>
      <c r="G584" t="s">
        <v>32</v>
      </c>
      <c r="H584" t="s">
        <v>61</v>
      </c>
      <c r="I584">
        <v>2</v>
      </c>
      <c r="J584">
        <v>15.08</v>
      </c>
      <c r="K584">
        <v>2</v>
      </c>
      <c r="L584">
        <v>261.64999999999998</v>
      </c>
      <c r="M584">
        <v>52</v>
      </c>
      <c r="N584" t="s">
        <v>26</v>
      </c>
      <c r="O584">
        <v>2</v>
      </c>
      <c r="P584">
        <v>891</v>
      </c>
      <c r="Q584" s="27" t="str">
        <f>IF(D584=Pivot!$AS$4,R583, "")</f>
        <v/>
      </c>
      <c r="R584" t="s">
        <v>34</v>
      </c>
      <c r="S584" s="5">
        <v>0.22</v>
      </c>
      <c r="T584">
        <v>97.56</v>
      </c>
      <c r="U584">
        <v>226.76</v>
      </c>
      <c r="V584" s="27">
        <f t="shared" si="36"/>
        <v>60.32</v>
      </c>
      <c r="W584">
        <f t="shared" si="37"/>
        <v>488.40999999999997</v>
      </c>
      <c r="X584" s="33" t="str">
        <f t="shared" si="38"/>
        <v>Low Quality</v>
      </c>
      <c r="Y584" s="27" t="str">
        <f t="shared" si="39"/>
        <v>16</v>
      </c>
    </row>
    <row r="585" spans="1:25" x14ac:dyDescent="0.25">
      <c r="A585" s="1">
        <v>45503</v>
      </c>
      <c r="B585" t="s">
        <v>28</v>
      </c>
      <c r="C585">
        <v>3</v>
      </c>
      <c r="D585" t="s">
        <v>71</v>
      </c>
      <c r="E585" t="s">
        <v>37</v>
      </c>
      <c r="F585" t="s">
        <v>70</v>
      </c>
      <c r="G585" t="s">
        <v>32</v>
      </c>
      <c r="H585" t="s">
        <v>33</v>
      </c>
      <c r="I585">
        <v>4</v>
      </c>
      <c r="J585">
        <v>13.58</v>
      </c>
      <c r="K585">
        <v>2</v>
      </c>
      <c r="L585">
        <v>443.11</v>
      </c>
      <c r="M585">
        <v>10</v>
      </c>
      <c r="N585" t="s">
        <v>49</v>
      </c>
      <c r="O585">
        <v>5</v>
      </c>
      <c r="P585">
        <v>362</v>
      </c>
      <c r="Q585" s="27" t="str">
        <f>IF(D585=Pivot!$AS$4,R584, "")</f>
        <v/>
      </c>
      <c r="R585" t="s">
        <v>42</v>
      </c>
      <c r="S585" s="5">
        <v>1.38</v>
      </c>
      <c r="T585">
        <v>93.24</v>
      </c>
      <c r="U585">
        <v>73.849999999999994</v>
      </c>
      <c r="V585" s="27">
        <f t="shared" si="36"/>
        <v>108.64</v>
      </c>
      <c r="W585">
        <f t="shared" si="37"/>
        <v>516.96</v>
      </c>
      <c r="X585" s="33" t="str">
        <f t="shared" si="38"/>
        <v>Mid Quality</v>
      </c>
      <c r="Y585" s="27" t="str">
        <f t="shared" si="39"/>
        <v>14</v>
      </c>
    </row>
    <row r="586" spans="1:25" x14ac:dyDescent="0.25">
      <c r="A586" s="1">
        <v>45425</v>
      </c>
      <c r="B586" t="s">
        <v>20</v>
      </c>
      <c r="C586">
        <v>1</v>
      </c>
      <c r="D586" t="s">
        <v>21</v>
      </c>
      <c r="E586" t="s">
        <v>51</v>
      </c>
      <c r="F586" t="s">
        <v>56</v>
      </c>
      <c r="G586" t="s">
        <v>60</v>
      </c>
      <c r="H586" t="s">
        <v>33</v>
      </c>
      <c r="I586">
        <v>2</v>
      </c>
      <c r="J586">
        <v>7.76</v>
      </c>
      <c r="K586">
        <v>7</v>
      </c>
      <c r="L586">
        <v>393.26</v>
      </c>
      <c r="M586">
        <v>38</v>
      </c>
      <c r="N586" t="s">
        <v>55</v>
      </c>
      <c r="O586">
        <v>11</v>
      </c>
      <c r="P586">
        <v>428</v>
      </c>
      <c r="Q586" s="27" t="str">
        <f>IF(D586=Pivot!$AS$4,R585, "")</f>
        <v/>
      </c>
      <c r="R586" t="s">
        <v>27</v>
      </c>
      <c r="S586" s="5">
        <v>2.57</v>
      </c>
      <c r="T586">
        <v>92.86</v>
      </c>
      <c r="U586">
        <v>249.06</v>
      </c>
      <c r="V586" s="27">
        <f t="shared" si="36"/>
        <v>108.64</v>
      </c>
      <c r="W586">
        <f t="shared" si="37"/>
        <v>642.31999999999994</v>
      </c>
      <c r="X586" s="33" t="str">
        <f t="shared" si="38"/>
        <v>Mid Quality</v>
      </c>
      <c r="Y586" s="27" t="str">
        <f t="shared" si="39"/>
        <v>8</v>
      </c>
    </row>
    <row r="587" spans="1:25" x14ac:dyDescent="0.25">
      <c r="A587" s="1">
        <v>45371</v>
      </c>
      <c r="B587" t="s">
        <v>75</v>
      </c>
      <c r="C587">
        <v>1</v>
      </c>
      <c r="D587" t="s">
        <v>21</v>
      </c>
      <c r="E587" t="s">
        <v>51</v>
      </c>
      <c r="F587" t="s">
        <v>78</v>
      </c>
      <c r="G587" t="s">
        <v>60</v>
      </c>
      <c r="H587" t="s">
        <v>25</v>
      </c>
      <c r="I587">
        <v>1</v>
      </c>
      <c r="J587">
        <v>16.37</v>
      </c>
      <c r="K587">
        <v>4</v>
      </c>
      <c r="L587">
        <v>280.88</v>
      </c>
      <c r="M587">
        <v>67</v>
      </c>
      <c r="N587" t="s">
        <v>63</v>
      </c>
      <c r="O587">
        <v>25</v>
      </c>
      <c r="P587">
        <v>462</v>
      </c>
      <c r="Q587" s="27" t="str">
        <f>IF(D587=Pivot!$AS$4,R586, "")</f>
        <v/>
      </c>
      <c r="R587" t="s">
        <v>42</v>
      </c>
      <c r="S587" s="5">
        <v>5.41</v>
      </c>
      <c r="T587">
        <v>88.18</v>
      </c>
      <c r="U587">
        <v>313.64999999999998</v>
      </c>
      <c r="V587" s="27">
        <f t="shared" si="36"/>
        <v>65.48</v>
      </c>
      <c r="W587">
        <f t="shared" si="37"/>
        <v>594.53</v>
      </c>
      <c r="X587" s="33" t="str">
        <f t="shared" si="38"/>
        <v>Low Quality</v>
      </c>
      <c r="Y587" s="27" t="str">
        <f t="shared" si="39"/>
        <v>18</v>
      </c>
    </row>
    <row r="588" spans="1:25" x14ac:dyDescent="0.25">
      <c r="A588" s="1">
        <v>45447</v>
      </c>
      <c r="B588" t="s">
        <v>28</v>
      </c>
      <c r="C588">
        <v>2</v>
      </c>
      <c r="D588" t="s">
        <v>53</v>
      </c>
      <c r="E588" t="s">
        <v>51</v>
      </c>
      <c r="F588" t="s">
        <v>62</v>
      </c>
      <c r="G588" t="s">
        <v>52</v>
      </c>
      <c r="H588" t="s">
        <v>61</v>
      </c>
      <c r="I588">
        <v>1</v>
      </c>
      <c r="J588">
        <v>6.6</v>
      </c>
      <c r="K588">
        <v>1</v>
      </c>
      <c r="L588">
        <v>351.84</v>
      </c>
      <c r="M588">
        <v>82</v>
      </c>
      <c r="N588" t="s">
        <v>45</v>
      </c>
      <c r="O588">
        <v>35</v>
      </c>
      <c r="P588">
        <v>966</v>
      </c>
      <c r="Q588" s="27" t="str">
        <f>IF(D588=Pivot!$AS$4,R587, "")</f>
        <v/>
      </c>
      <c r="R588" t="s">
        <v>46</v>
      </c>
      <c r="S588" s="5">
        <v>3.62</v>
      </c>
      <c r="T588">
        <v>91.76</v>
      </c>
      <c r="U588">
        <v>480.85</v>
      </c>
      <c r="V588" s="27">
        <f t="shared" si="36"/>
        <v>6.6</v>
      </c>
      <c r="W588">
        <f t="shared" si="37"/>
        <v>832.69</v>
      </c>
      <c r="X588" s="33" t="str">
        <f t="shared" si="38"/>
        <v>Mid Quality</v>
      </c>
      <c r="Y588" s="27" t="str">
        <f t="shared" si="39"/>
        <v>8</v>
      </c>
    </row>
    <row r="589" spans="1:25" x14ac:dyDescent="0.25">
      <c r="A589" s="1">
        <v>45297</v>
      </c>
      <c r="B589" t="s">
        <v>75</v>
      </c>
      <c r="C589">
        <v>1</v>
      </c>
      <c r="D589" t="s">
        <v>83</v>
      </c>
      <c r="E589" t="s">
        <v>37</v>
      </c>
      <c r="F589" t="s">
        <v>78</v>
      </c>
      <c r="G589" t="s">
        <v>52</v>
      </c>
      <c r="H589" t="s">
        <v>61</v>
      </c>
      <c r="I589">
        <v>5</v>
      </c>
      <c r="J589">
        <v>11.85</v>
      </c>
      <c r="K589">
        <v>8</v>
      </c>
      <c r="L589">
        <v>431.31</v>
      </c>
      <c r="M589">
        <v>52</v>
      </c>
      <c r="N589" t="s">
        <v>49</v>
      </c>
      <c r="O589">
        <v>35</v>
      </c>
      <c r="P589">
        <v>477</v>
      </c>
      <c r="Q589" s="27" t="str">
        <f>IF(D589=Pivot!$AS$4,R588, "")</f>
        <v/>
      </c>
      <c r="R589" t="s">
        <v>34</v>
      </c>
      <c r="S589" s="5">
        <v>7.34</v>
      </c>
      <c r="T589">
        <v>80.319999999999993</v>
      </c>
      <c r="U589">
        <v>373.8</v>
      </c>
      <c r="V589" s="27">
        <f t="shared" si="36"/>
        <v>474</v>
      </c>
      <c r="W589">
        <f t="shared" si="37"/>
        <v>805.11</v>
      </c>
      <c r="X589" s="33" t="str">
        <f t="shared" si="38"/>
        <v>Mid Quality</v>
      </c>
      <c r="Y589" s="27" t="str">
        <f t="shared" si="39"/>
        <v>12</v>
      </c>
    </row>
    <row r="590" spans="1:25" x14ac:dyDescent="0.25">
      <c r="A590" s="1">
        <v>45292</v>
      </c>
      <c r="B590" t="s">
        <v>35</v>
      </c>
      <c r="C590">
        <v>1</v>
      </c>
      <c r="D590" t="s">
        <v>76</v>
      </c>
      <c r="E590" t="s">
        <v>37</v>
      </c>
      <c r="F590" t="s">
        <v>23</v>
      </c>
      <c r="G590" t="s">
        <v>32</v>
      </c>
      <c r="H590" t="s">
        <v>61</v>
      </c>
      <c r="I590">
        <v>4</v>
      </c>
      <c r="J590">
        <v>15.16</v>
      </c>
      <c r="K590">
        <v>2</v>
      </c>
      <c r="L590">
        <v>54.29</v>
      </c>
      <c r="M590">
        <v>27</v>
      </c>
      <c r="N590" t="s">
        <v>49</v>
      </c>
      <c r="O590">
        <v>22</v>
      </c>
      <c r="P590">
        <v>879</v>
      </c>
      <c r="Q590" s="27" t="str">
        <f>IF(D590=Pivot!$AS$4,R589, "")</f>
        <v/>
      </c>
      <c r="R590" t="s">
        <v>42</v>
      </c>
      <c r="S590" s="5">
        <v>2.5</v>
      </c>
      <c r="T590">
        <v>91</v>
      </c>
      <c r="U590">
        <v>24.43</v>
      </c>
      <c r="V590" s="27">
        <f t="shared" si="36"/>
        <v>121.28</v>
      </c>
      <c r="W590">
        <f t="shared" si="37"/>
        <v>78.72</v>
      </c>
      <c r="X590" s="33" t="str">
        <f t="shared" si="38"/>
        <v>Low Quality</v>
      </c>
      <c r="Y590" s="27" t="str">
        <f t="shared" si="39"/>
        <v>16</v>
      </c>
    </row>
    <row r="591" spans="1:25" x14ac:dyDescent="0.25">
      <c r="A591" s="1">
        <v>45559</v>
      </c>
      <c r="B591" t="s">
        <v>75</v>
      </c>
      <c r="C591">
        <v>2</v>
      </c>
      <c r="D591" t="s">
        <v>83</v>
      </c>
      <c r="E591" t="s">
        <v>37</v>
      </c>
      <c r="F591" t="s">
        <v>23</v>
      </c>
      <c r="G591" t="s">
        <v>39</v>
      </c>
      <c r="H591" t="s">
        <v>40</v>
      </c>
      <c r="I591">
        <v>1</v>
      </c>
      <c r="J591">
        <v>8.1999999999999993</v>
      </c>
      <c r="K591">
        <v>3</v>
      </c>
      <c r="L591">
        <v>231.3</v>
      </c>
      <c r="M591">
        <v>88</v>
      </c>
      <c r="N591" t="s">
        <v>41</v>
      </c>
      <c r="O591">
        <v>37</v>
      </c>
      <c r="P591">
        <v>440</v>
      </c>
      <c r="Q591" s="27" t="str">
        <f>IF(D591=Pivot!$AS$4,R590, "")</f>
        <v/>
      </c>
      <c r="R591" t="s">
        <v>34</v>
      </c>
      <c r="S591" s="5">
        <v>8.41</v>
      </c>
      <c r="T591">
        <v>82.18</v>
      </c>
      <c r="U591">
        <v>339.24</v>
      </c>
      <c r="V591" s="27">
        <f t="shared" si="36"/>
        <v>24.599999999999998</v>
      </c>
      <c r="W591">
        <f t="shared" si="37"/>
        <v>570.54</v>
      </c>
      <c r="X591" s="33" t="str">
        <f t="shared" si="38"/>
        <v>Mid Quality</v>
      </c>
      <c r="Y591" s="27" t="str">
        <f t="shared" si="39"/>
        <v>10</v>
      </c>
    </row>
    <row r="592" spans="1:25" x14ac:dyDescent="0.25">
      <c r="A592" s="1">
        <v>45361</v>
      </c>
      <c r="B592" t="s">
        <v>65</v>
      </c>
      <c r="C592">
        <v>1</v>
      </c>
      <c r="D592" t="s">
        <v>76</v>
      </c>
      <c r="E592" t="s">
        <v>30</v>
      </c>
      <c r="F592" t="s">
        <v>56</v>
      </c>
      <c r="G592" t="s">
        <v>39</v>
      </c>
      <c r="H592" t="s">
        <v>33</v>
      </c>
      <c r="I592">
        <v>4</v>
      </c>
      <c r="J592">
        <v>6.75</v>
      </c>
      <c r="K592">
        <v>5</v>
      </c>
      <c r="L592">
        <v>458.26</v>
      </c>
      <c r="M592">
        <v>17</v>
      </c>
      <c r="N592" t="s">
        <v>55</v>
      </c>
      <c r="O592">
        <v>22</v>
      </c>
      <c r="P592">
        <v>358</v>
      </c>
      <c r="Q592" s="27" t="str">
        <f>IF(D592=Pivot!$AS$4,R591, "")</f>
        <v/>
      </c>
      <c r="R592" t="s">
        <v>27</v>
      </c>
      <c r="S592" s="5">
        <v>6.15</v>
      </c>
      <c r="T592">
        <v>83.7</v>
      </c>
      <c r="U592">
        <v>129.84</v>
      </c>
      <c r="V592" s="27">
        <f t="shared" si="36"/>
        <v>135</v>
      </c>
      <c r="W592">
        <f t="shared" si="37"/>
        <v>588.1</v>
      </c>
      <c r="X592" s="33" t="str">
        <f t="shared" si="38"/>
        <v>Mid Quality</v>
      </c>
      <c r="Y592" s="27" t="str">
        <f t="shared" si="39"/>
        <v>8</v>
      </c>
    </row>
    <row r="593" spans="1:25" x14ac:dyDescent="0.25">
      <c r="A593" s="1">
        <v>45468</v>
      </c>
      <c r="B593" t="s">
        <v>75</v>
      </c>
      <c r="C593">
        <v>1</v>
      </c>
      <c r="D593" t="s">
        <v>76</v>
      </c>
      <c r="E593" t="s">
        <v>37</v>
      </c>
      <c r="F593" t="s">
        <v>73</v>
      </c>
      <c r="G593" t="s">
        <v>52</v>
      </c>
      <c r="H593" t="s">
        <v>61</v>
      </c>
      <c r="I593">
        <v>4</v>
      </c>
      <c r="J593">
        <v>9.73</v>
      </c>
      <c r="K593">
        <v>3</v>
      </c>
      <c r="L593">
        <v>383.14</v>
      </c>
      <c r="M593">
        <v>51</v>
      </c>
      <c r="N593" t="s">
        <v>41</v>
      </c>
      <c r="O593">
        <v>11</v>
      </c>
      <c r="P593">
        <v>434</v>
      </c>
      <c r="Q593" s="27" t="str">
        <f>IF(D593=Pivot!$AS$4,R592, "")</f>
        <v/>
      </c>
      <c r="R593" t="s">
        <v>46</v>
      </c>
      <c r="S593" s="5">
        <v>2.5299999999999998</v>
      </c>
      <c r="T593">
        <v>90.94</v>
      </c>
      <c r="U593">
        <v>325.67</v>
      </c>
      <c r="V593" s="27">
        <f t="shared" si="36"/>
        <v>116.76</v>
      </c>
      <c r="W593">
        <f t="shared" si="37"/>
        <v>708.81</v>
      </c>
      <c r="X593" s="33" t="str">
        <f t="shared" si="38"/>
        <v>Mid Quality</v>
      </c>
      <c r="Y593" s="27" t="str">
        <f t="shared" si="39"/>
        <v>10</v>
      </c>
    </row>
    <row r="594" spans="1:25" x14ac:dyDescent="0.25">
      <c r="A594" s="1">
        <v>45438</v>
      </c>
      <c r="B594" t="s">
        <v>75</v>
      </c>
      <c r="C594">
        <v>2</v>
      </c>
      <c r="D594" t="s">
        <v>80</v>
      </c>
      <c r="E594" t="s">
        <v>30</v>
      </c>
      <c r="F594" t="s">
        <v>69</v>
      </c>
      <c r="G594" t="s">
        <v>39</v>
      </c>
      <c r="H594" t="s">
        <v>40</v>
      </c>
      <c r="I594">
        <v>5</v>
      </c>
      <c r="J594">
        <v>16.54</v>
      </c>
      <c r="K594">
        <v>7</v>
      </c>
      <c r="L594">
        <v>294.27999999999997</v>
      </c>
      <c r="M594">
        <v>48</v>
      </c>
      <c r="N594" t="s">
        <v>26</v>
      </c>
      <c r="O594">
        <v>32</v>
      </c>
      <c r="P594">
        <v>184</v>
      </c>
      <c r="Q594" s="27" t="str">
        <f>IF(D594=Pivot!$AS$4,R593, "")</f>
        <v>Eğitim önerildi</v>
      </c>
      <c r="R594" t="s">
        <v>57</v>
      </c>
      <c r="S594" s="5">
        <v>17.39</v>
      </c>
      <c r="T594">
        <v>60.22</v>
      </c>
      <c r="U594">
        <v>235.42</v>
      </c>
      <c r="V594" s="27">
        <f t="shared" si="36"/>
        <v>578.9</v>
      </c>
      <c r="W594">
        <f t="shared" si="37"/>
        <v>529.69999999999993</v>
      </c>
      <c r="X594" s="33" t="str">
        <f t="shared" si="38"/>
        <v>Low Quality</v>
      </c>
      <c r="Y594" s="27" t="str">
        <f t="shared" si="39"/>
        <v>18</v>
      </c>
    </row>
    <row r="595" spans="1:25" x14ac:dyDescent="0.25">
      <c r="A595" s="1">
        <v>45532</v>
      </c>
      <c r="B595" t="s">
        <v>65</v>
      </c>
      <c r="C595">
        <v>2</v>
      </c>
      <c r="D595" t="s">
        <v>88</v>
      </c>
      <c r="E595" t="s">
        <v>51</v>
      </c>
      <c r="F595" t="s">
        <v>38</v>
      </c>
      <c r="G595" t="s">
        <v>52</v>
      </c>
      <c r="H595" t="s">
        <v>25</v>
      </c>
      <c r="I595">
        <v>4</v>
      </c>
      <c r="J595">
        <v>18.670000000000002</v>
      </c>
      <c r="K595">
        <v>7</v>
      </c>
      <c r="L595">
        <v>288.33999999999997</v>
      </c>
      <c r="M595">
        <v>36</v>
      </c>
      <c r="N595" t="s">
        <v>49</v>
      </c>
      <c r="O595">
        <v>35</v>
      </c>
      <c r="P595">
        <v>621</v>
      </c>
      <c r="Q595" s="27" t="str">
        <f>IF(D595=Pivot!$AS$4,R594, "")</f>
        <v/>
      </c>
      <c r="R595" t="s">
        <v>42</v>
      </c>
      <c r="S595" s="5">
        <v>5.64</v>
      </c>
      <c r="T595">
        <v>84.72</v>
      </c>
      <c r="U595">
        <v>173</v>
      </c>
      <c r="V595" s="27">
        <f t="shared" si="36"/>
        <v>522.76</v>
      </c>
      <c r="W595">
        <f t="shared" si="37"/>
        <v>461.34</v>
      </c>
      <c r="X595" s="33" t="str">
        <f t="shared" si="38"/>
        <v>Low Quality</v>
      </c>
      <c r="Y595" s="27" t="str">
        <f t="shared" si="39"/>
        <v>20</v>
      </c>
    </row>
    <row r="596" spans="1:25" x14ac:dyDescent="0.25">
      <c r="A596" s="1">
        <v>45565</v>
      </c>
      <c r="B596" t="s">
        <v>20</v>
      </c>
      <c r="C596">
        <v>2</v>
      </c>
      <c r="D596" t="s">
        <v>91</v>
      </c>
      <c r="E596" t="s">
        <v>51</v>
      </c>
      <c r="F596" t="s">
        <v>69</v>
      </c>
      <c r="G596" t="s">
        <v>60</v>
      </c>
      <c r="H596" t="s">
        <v>61</v>
      </c>
      <c r="I596">
        <v>2</v>
      </c>
      <c r="J596">
        <v>11.36</v>
      </c>
      <c r="K596">
        <v>2</v>
      </c>
      <c r="L596">
        <v>206.5</v>
      </c>
      <c r="M596">
        <v>30</v>
      </c>
      <c r="N596" t="s">
        <v>49</v>
      </c>
      <c r="O596">
        <v>31</v>
      </c>
      <c r="P596">
        <v>900</v>
      </c>
      <c r="Q596" s="27" t="str">
        <f>IF(D596=Pivot!$AS$4,R595, "")</f>
        <v/>
      </c>
      <c r="R596" t="s">
        <v>27</v>
      </c>
      <c r="S596" s="5">
        <v>3.44</v>
      </c>
      <c r="T596">
        <v>91.12</v>
      </c>
      <c r="U596">
        <v>103.25</v>
      </c>
      <c r="V596" s="27">
        <f t="shared" si="36"/>
        <v>45.44</v>
      </c>
      <c r="W596">
        <f t="shared" si="37"/>
        <v>309.75</v>
      </c>
      <c r="X596" s="33" t="str">
        <f t="shared" si="38"/>
        <v>Mid Quality</v>
      </c>
      <c r="Y596" s="27" t="str">
        <f t="shared" si="39"/>
        <v>12</v>
      </c>
    </row>
    <row r="597" spans="1:25" x14ac:dyDescent="0.25">
      <c r="A597" s="1">
        <v>45296</v>
      </c>
      <c r="B597" t="s">
        <v>75</v>
      </c>
      <c r="C597">
        <v>3</v>
      </c>
      <c r="D597" t="s">
        <v>80</v>
      </c>
      <c r="E597" t="s">
        <v>51</v>
      </c>
      <c r="F597" t="s">
        <v>84</v>
      </c>
      <c r="G597" t="s">
        <v>32</v>
      </c>
      <c r="H597" t="s">
        <v>61</v>
      </c>
      <c r="I597">
        <v>4</v>
      </c>
      <c r="J597">
        <v>13.57</v>
      </c>
      <c r="K597">
        <v>7</v>
      </c>
      <c r="L597">
        <v>284.23</v>
      </c>
      <c r="M597">
        <v>57</v>
      </c>
      <c r="N597" t="s">
        <v>41</v>
      </c>
      <c r="O597">
        <v>45</v>
      </c>
      <c r="P597">
        <v>913</v>
      </c>
      <c r="Q597" s="27" t="str">
        <f>IF(D597=Pivot!$AS$4,R596, "")</f>
        <v>Kontrol tekrarlandı</v>
      </c>
      <c r="R597" t="s">
        <v>34</v>
      </c>
      <c r="S597" s="5">
        <v>4.93</v>
      </c>
      <c r="T597">
        <v>86.14</v>
      </c>
      <c r="U597">
        <v>270.02</v>
      </c>
      <c r="V597" s="27">
        <f t="shared" si="36"/>
        <v>379.96000000000004</v>
      </c>
      <c r="W597">
        <f t="shared" si="37"/>
        <v>554.25</v>
      </c>
      <c r="X597" s="33" t="str">
        <f t="shared" si="38"/>
        <v>Mid Quality</v>
      </c>
      <c r="Y597" s="27" t="str">
        <f t="shared" si="39"/>
        <v>14</v>
      </c>
    </row>
    <row r="598" spans="1:25" x14ac:dyDescent="0.25">
      <c r="A598" s="1">
        <v>45543</v>
      </c>
      <c r="B598" t="s">
        <v>65</v>
      </c>
      <c r="C598">
        <v>3</v>
      </c>
      <c r="D598" t="s">
        <v>21</v>
      </c>
      <c r="E598" t="s">
        <v>67</v>
      </c>
      <c r="F598" t="s">
        <v>44</v>
      </c>
      <c r="G598" t="s">
        <v>24</v>
      </c>
      <c r="H598" t="s">
        <v>40</v>
      </c>
      <c r="I598">
        <v>5</v>
      </c>
      <c r="J598">
        <v>18.16</v>
      </c>
      <c r="K598">
        <v>6</v>
      </c>
      <c r="L598">
        <v>344.92</v>
      </c>
      <c r="M598">
        <v>18</v>
      </c>
      <c r="N598" t="s">
        <v>49</v>
      </c>
      <c r="O598">
        <v>8</v>
      </c>
      <c r="P598">
        <v>670</v>
      </c>
      <c r="Q598" s="27" t="str">
        <f>IF(D598=Pivot!$AS$4,R597, "")</f>
        <v/>
      </c>
      <c r="R598" t="s">
        <v>34</v>
      </c>
      <c r="S598" s="5">
        <v>1.19</v>
      </c>
      <c r="T598">
        <v>92.62</v>
      </c>
      <c r="U598">
        <v>103.48</v>
      </c>
      <c r="V598" s="27">
        <f t="shared" si="36"/>
        <v>544.79999999999995</v>
      </c>
      <c r="W598">
        <f t="shared" si="37"/>
        <v>448.40000000000003</v>
      </c>
      <c r="X598" s="33" t="str">
        <f t="shared" si="38"/>
        <v>Low Quality</v>
      </c>
      <c r="Y598" s="27" t="str">
        <f t="shared" si="39"/>
        <v>20</v>
      </c>
    </row>
    <row r="599" spans="1:25" x14ac:dyDescent="0.25">
      <c r="A599" s="1">
        <v>45536</v>
      </c>
      <c r="B599" t="s">
        <v>28</v>
      </c>
      <c r="C599">
        <v>2</v>
      </c>
      <c r="D599" t="s">
        <v>43</v>
      </c>
      <c r="E599" t="s">
        <v>67</v>
      </c>
      <c r="F599" t="s">
        <v>54</v>
      </c>
      <c r="G599" t="s">
        <v>32</v>
      </c>
      <c r="H599" t="s">
        <v>33</v>
      </c>
      <c r="I599">
        <v>5</v>
      </c>
      <c r="J599">
        <v>2.87</v>
      </c>
      <c r="K599">
        <v>9</v>
      </c>
      <c r="L599">
        <v>238.26</v>
      </c>
      <c r="M599">
        <v>56</v>
      </c>
      <c r="N599" t="s">
        <v>26</v>
      </c>
      <c r="O599">
        <v>20</v>
      </c>
      <c r="P599">
        <v>407</v>
      </c>
      <c r="Q599" s="27" t="str">
        <f>IF(D599=Pivot!$AS$4,R598, "")</f>
        <v/>
      </c>
      <c r="R599" t="s">
        <v>27</v>
      </c>
      <c r="S599" s="5">
        <v>4.91</v>
      </c>
      <c r="T599">
        <v>85.18</v>
      </c>
      <c r="U599">
        <v>222.38</v>
      </c>
      <c r="V599" s="27">
        <f t="shared" si="36"/>
        <v>129.15</v>
      </c>
      <c r="W599">
        <f t="shared" si="37"/>
        <v>460.64</v>
      </c>
      <c r="X599" s="33" t="str">
        <f t="shared" si="38"/>
        <v>High Quality</v>
      </c>
      <c r="Y599" s="27" t="str">
        <f t="shared" si="39"/>
        <v>4</v>
      </c>
    </row>
    <row r="600" spans="1:25" x14ac:dyDescent="0.25">
      <c r="A600" s="1">
        <v>45445</v>
      </c>
      <c r="B600" t="s">
        <v>35</v>
      </c>
      <c r="C600">
        <v>2</v>
      </c>
      <c r="D600" t="s">
        <v>66</v>
      </c>
      <c r="E600" t="s">
        <v>22</v>
      </c>
      <c r="F600" t="s">
        <v>44</v>
      </c>
      <c r="G600" t="s">
        <v>52</v>
      </c>
      <c r="H600" t="s">
        <v>25</v>
      </c>
      <c r="I600">
        <v>5</v>
      </c>
      <c r="J600">
        <v>5.41</v>
      </c>
      <c r="K600">
        <v>9</v>
      </c>
      <c r="L600">
        <v>371.37</v>
      </c>
      <c r="M600">
        <v>40</v>
      </c>
      <c r="N600" t="s">
        <v>63</v>
      </c>
      <c r="O600">
        <v>42</v>
      </c>
      <c r="P600">
        <v>361</v>
      </c>
      <c r="Q600" s="27" t="str">
        <f>IF(D600=Pivot!$AS$4,R599, "")</f>
        <v/>
      </c>
      <c r="R600" t="s">
        <v>42</v>
      </c>
      <c r="S600" s="5">
        <v>11.63</v>
      </c>
      <c r="T600">
        <v>71.739999999999995</v>
      </c>
      <c r="U600">
        <v>247.58</v>
      </c>
      <c r="V600" s="27">
        <f t="shared" si="36"/>
        <v>243.45000000000002</v>
      </c>
      <c r="W600">
        <f t="shared" si="37"/>
        <v>618.95000000000005</v>
      </c>
      <c r="X600" s="33" t="str">
        <f t="shared" si="38"/>
        <v>High Quality</v>
      </c>
      <c r="Y600" s="27" t="str">
        <f t="shared" si="39"/>
        <v>6</v>
      </c>
    </row>
    <row r="601" spans="1:25" x14ac:dyDescent="0.25">
      <c r="A601" s="1">
        <v>45296</v>
      </c>
      <c r="B601" t="s">
        <v>35</v>
      </c>
      <c r="C601">
        <v>2</v>
      </c>
      <c r="D601" t="s">
        <v>36</v>
      </c>
      <c r="E601" t="s">
        <v>22</v>
      </c>
      <c r="F601" t="s">
        <v>38</v>
      </c>
      <c r="G601" t="s">
        <v>52</v>
      </c>
      <c r="H601" t="s">
        <v>61</v>
      </c>
      <c r="I601">
        <v>1</v>
      </c>
      <c r="J601">
        <v>14.47</v>
      </c>
      <c r="K601">
        <v>2</v>
      </c>
      <c r="L601">
        <v>437.55</v>
      </c>
      <c r="M601">
        <v>12</v>
      </c>
      <c r="N601" t="s">
        <v>45</v>
      </c>
      <c r="O601">
        <v>34</v>
      </c>
      <c r="P601">
        <v>997</v>
      </c>
      <c r="Q601" s="27" t="str">
        <f>IF(D601=Pivot!$AS$4,R600, "")</f>
        <v/>
      </c>
      <c r="R601" t="s">
        <v>57</v>
      </c>
      <c r="S601" s="5">
        <v>3.41</v>
      </c>
      <c r="T601">
        <v>92.18</v>
      </c>
      <c r="U601">
        <v>87.51</v>
      </c>
      <c r="V601" s="27">
        <f t="shared" si="36"/>
        <v>28.94</v>
      </c>
      <c r="W601">
        <f t="shared" si="37"/>
        <v>525.06000000000006</v>
      </c>
      <c r="X601" s="33" t="str">
        <f t="shared" si="38"/>
        <v>Mid Quality</v>
      </c>
      <c r="Y601" s="27" t="str">
        <f t="shared" si="39"/>
        <v>16</v>
      </c>
    </row>
    <row r="602" spans="1:25" x14ac:dyDescent="0.25">
      <c r="A602" s="1">
        <v>45512</v>
      </c>
      <c r="B602" t="s">
        <v>75</v>
      </c>
      <c r="C602">
        <v>3</v>
      </c>
      <c r="D602" t="s">
        <v>88</v>
      </c>
      <c r="E602" t="s">
        <v>22</v>
      </c>
      <c r="F602" t="s">
        <v>73</v>
      </c>
      <c r="G602" t="s">
        <v>32</v>
      </c>
      <c r="H602" t="s">
        <v>33</v>
      </c>
      <c r="I602">
        <v>2</v>
      </c>
      <c r="J602">
        <v>16.649999999999999</v>
      </c>
      <c r="K602">
        <v>7</v>
      </c>
      <c r="L602">
        <v>119.61</v>
      </c>
      <c r="M602">
        <v>44</v>
      </c>
      <c r="N602" t="s">
        <v>45</v>
      </c>
      <c r="O602">
        <v>4</v>
      </c>
      <c r="P602">
        <v>896</v>
      </c>
      <c r="Q602" s="27" t="str">
        <f>IF(D602=Pivot!$AS$4,R601, "")</f>
        <v/>
      </c>
      <c r="R602" t="s">
        <v>42</v>
      </c>
      <c r="S602" s="5">
        <v>0.45</v>
      </c>
      <c r="T602">
        <v>97.1</v>
      </c>
      <c r="U602">
        <v>87.71</v>
      </c>
      <c r="V602" s="27">
        <f t="shared" si="36"/>
        <v>233.09999999999997</v>
      </c>
      <c r="W602">
        <f t="shared" si="37"/>
        <v>207.32</v>
      </c>
      <c r="X602" s="33" t="str">
        <f t="shared" si="38"/>
        <v>Low Quality</v>
      </c>
      <c r="Y602" s="27" t="str">
        <f t="shared" si="39"/>
        <v>18</v>
      </c>
    </row>
    <row r="603" spans="1:25" x14ac:dyDescent="0.25">
      <c r="A603" s="1">
        <v>45441</v>
      </c>
      <c r="B603" t="s">
        <v>20</v>
      </c>
      <c r="C603">
        <v>3</v>
      </c>
      <c r="D603" t="s">
        <v>66</v>
      </c>
      <c r="E603" t="s">
        <v>67</v>
      </c>
      <c r="F603" t="s">
        <v>31</v>
      </c>
      <c r="G603" t="s">
        <v>52</v>
      </c>
      <c r="H603" t="s">
        <v>25</v>
      </c>
      <c r="I603">
        <v>1</v>
      </c>
      <c r="J603">
        <v>17.28</v>
      </c>
      <c r="K603">
        <v>5</v>
      </c>
      <c r="L603">
        <v>253.2</v>
      </c>
      <c r="M603">
        <v>26</v>
      </c>
      <c r="N603" t="s">
        <v>45</v>
      </c>
      <c r="O603">
        <v>18</v>
      </c>
      <c r="P603">
        <v>730</v>
      </c>
      <c r="Q603" s="27" t="str">
        <f>IF(D603=Pivot!$AS$4,R602, "")</f>
        <v/>
      </c>
      <c r="R603" t="s">
        <v>46</v>
      </c>
      <c r="S603" s="5">
        <v>2.4700000000000002</v>
      </c>
      <c r="T603">
        <v>94.06</v>
      </c>
      <c r="U603">
        <v>109.72</v>
      </c>
      <c r="V603" s="27">
        <f t="shared" si="36"/>
        <v>86.4</v>
      </c>
      <c r="W603">
        <f t="shared" si="37"/>
        <v>362.91999999999996</v>
      </c>
      <c r="X603" s="33" t="str">
        <f t="shared" si="38"/>
        <v>Low Quality</v>
      </c>
      <c r="Y603" s="27" t="str">
        <f t="shared" si="39"/>
        <v>18</v>
      </c>
    </row>
    <row r="604" spans="1:25" x14ac:dyDescent="0.25">
      <c r="A604" s="1">
        <v>45410</v>
      </c>
      <c r="B604" t="s">
        <v>20</v>
      </c>
      <c r="C604">
        <v>1</v>
      </c>
      <c r="D604" t="s">
        <v>66</v>
      </c>
      <c r="E604" t="s">
        <v>67</v>
      </c>
      <c r="F604" t="s">
        <v>23</v>
      </c>
      <c r="G604" t="s">
        <v>39</v>
      </c>
      <c r="H604" t="s">
        <v>48</v>
      </c>
      <c r="I604">
        <v>3</v>
      </c>
      <c r="J604">
        <v>8.89</v>
      </c>
      <c r="K604">
        <v>6</v>
      </c>
      <c r="L604">
        <v>233.61</v>
      </c>
      <c r="M604">
        <v>20</v>
      </c>
      <c r="N604" t="s">
        <v>63</v>
      </c>
      <c r="O604">
        <v>4</v>
      </c>
      <c r="P604">
        <v>779</v>
      </c>
      <c r="Q604" s="27" t="str">
        <f>IF(D604=Pivot!$AS$4,R603, "")</f>
        <v/>
      </c>
      <c r="R604" t="s">
        <v>42</v>
      </c>
      <c r="S604" s="5">
        <v>0.51</v>
      </c>
      <c r="T604">
        <v>95.98</v>
      </c>
      <c r="U604">
        <v>77.87</v>
      </c>
      <c r="V604" s="27">
        <f t="shared" si="36"/>
        <v>160.02000000000001</v>
      </c>
      <c r="W604">
        <f t="shared" si="37"/>
        <v>311.48</v>
      </c>
      <c r="X604" s="33" t="str">
        <f t="shared" si="38"/>
        <v>Mid Quality</v>
      </c>
      <c r="Y604" s="27" t="str">
        <f t="shared" si="39"/>
        <v>10</v>
      </c>
    </row>
    <row r="605" spans="1:25" x14ac:dyDescent="0.25">
      <c r="A605" s="1">
        <v>45295</v>
      </c>
      <c r="B605" t="s">
        <v>28</v>
      </c>
      <c r="C605">
        <v>1</v>
      </c>
      <c r="D605" t="s">
        <v>83</v>
      </c>
      <c r="E605" t="s">
        <v>22</v>
      </c>
      <c r="F605" t="s">
        <v>38</v>
      </c>
      <c r="G605" t="s">
        <v>39</v>
      </c>
      <c r="H605" t="s">
        <v>48</v>
      </c>
      <c r="I605">
        <v>2</v>
      </c>
      <c r="J605">
        <v>2.7</v>
      </c>
      <c r="K605">
        <v>1</v>
      </c>
      <c r="L605">
        <v>359.36</v>
      </c>
      <c r="M605">
        <v>64</v>
      </c>
      <c r="N605" t="s">
        <v>49</v>
      </c>
      <c r="O605">
        <v>20</v>
      </c>
      <c r="P605">
        <v>964</v>
      </c>
      <c r="Q605" s="27" t="str">
        <f>IF(D605=Pivot!$AS$4,R604, "")</f>
        <v/>
      </c>
      <c r="R605" t="s">
        <v>46</v>
      </c>
      <c r="S605" s="5">
        <v>2.0699999999999998</v>
      </c>
      <c r="T605">
        <v>93.86</v>
      </c>
      <c r="U605">
        <v>383.32</v>
      </c>
      <c r="V605" s="27">
        <f t="shared" si="36"/>
        <v>5.4</v>
      </c>
      <c r="W605">
        <f t="shared" si="37"/>
        <v>742.68000000000006</v>
      </c>
      <c r="X605" s="33" t="str">
        <f t="shared" si="38"/>
        <v>High Quality</v>
      </c>
      <c r="Y605" s="27" t="str">
        <f t="shared" si="39"/>
        <v>4</v>
      </c>
    </row>
    <row r="606" spans="1:25" x14ac:dyDescent="0.25">
      <c r="A606" s="1">
        <v>45572</v>
      </c>
      <c r="B606" t="s">
        <v>75</v>
      </c>
      <c r="C606">
        <v>2</v>
      </c>
      <c r="D606" t="s">
        <v>79</v>
      </c>
      <c r="E606" t="s">
        <v>22</v>
      </c>
      <c r="F606" t="s">
        <v>89</v>
      </c>
      <c r="G606" t="s">
        <v>52</v>
      </c>
      <c r="H606" t="s">
        <v>25</v>
      </c>
      <c r="I606">
        <v>4</v>
      </c>
      <c r="J606">
        <v>9.32</v>
      </c>
      <c r="K606">
        <v>7</v>
      </c>
      <c r="L606">
        <v>162.44</v>
      </c>
      <c r="M606">
        <v>64</v>
      </c>
      <c r="N606" t="s">
        <v>41</v>
      </c>
      <c r="O606">
        <v>9</v>
      </c>
      <c r="P606">
        <v>800</v>
      </c>
      <c r="Q606" s="27" t="str">
        <f>IF(D606=Pivot!$AS$4,R605, "")</f>
        <v/>
      </c>
      <c r="R606" t="s">
        <v>34</v>
      </c>
      <c r="S606" s="5">
        <v>1.1200000000000001</v>
      </c>
      <c r="T606">
        <v>93.76</v>
      </c>
      <c r="U606">
        <v>173.27</v>
      </c>
      <c r="V606" s="27">
        <f t="shared" si="36"/>
        <v>260.96000000000004</v>
      </c>
      <c r="W606">
        <f t="shared" si="37"/>
        <v>335.71000000000004</v>
      </c>
      <c r="X606" s="33" t="str">
        <f t="shared" si="38"/>
        <v>Mid Quality</v>
      </c>
      <c r="Y606" s="27" t="str">
        <f t="shared" si="39"/>
        <v>10</v>
      </c>
    </row>
    <row r="607" spans="1:25" x14ac:dyDescent="0.25">
      <c r="A607" s="1">
        <v>45483</v>
      </c>
      <c r="B607" t="s">
        <v>35</v>
      </c>
      <c r="C607">
        <v>3</v>
      </c>
      <c r="D607" t="s">
        <v>83</v>
      </c>
      <c r="E607" t="s">
        <v>37</v>
      </c>
      <c r="F607" t="s">
        <v>86</v>
      </c>
      <c r="G607" t="s">
        <v>52</v>
      </c>
      <c r="H607" t="s">
        <v>40</v>
      </c>
      <c r="I607">
        <v>5</v>
      </c>
      <c r="J607">
        <v>5.38</v>
      </c>
      <c r="K607">
        <v>6</v>
      </c>
      <c r="L607">
        <v>338.11</v>
      </c>
      <c r="M607">
        <v>14</v>
      </c>
      <c r="N607" t="s">
        <v>55</v>
      </c>
      <c r="O607">
        <v>16</v>
      </c>
      <c r="P607">
        <v>551</v>
      </c>
      <c r="Q607" s="27" t="str">
        <f>IF(D607=Pivot!$AS$4,R606, "")</f>
        <v/>
      </c>
      <c r="R607" t="s">
        <v>46</v>
      </c>
      <c r="S607" s="5">
        <v>2.9</v>
      </c>
      <c r="T607">
        <v>89.2</v>
      </c>
      <c r="U607">
        <v>78.89</v>
      </c>
      <c r="V607" s="27">
        <f t="shared" si="36"/>
        <v>161.4</v>
      </c>
      <c r="W607">
        <f t="shared" si="37"/>
        <v>417</v>
      </c>
      <c r="X607" s="33" t="str">
        <f t="shared" si="38"/>
        <v>High Quality</v>
      </c>
      <c r="Y607" s="27" t="str">
        <f t="shared" si="39"/>
        <v>6</v>
      </c>
    </row>
    <row r="608" spans="1:25" x14ac:dyDescent="0.25">
      <c r="A608" s="1">
        <v>45388</v>
      </c>
      <c r="B608" t="s">
        <v>20</v>
      </c>
      <c r="C608">
        <v>3</v>
      </c>
      <c r="D608" t="s">
        <v>53</v>
      </c>
      <c r="E608" t="s">
        <v>22</v>
      </c>
      <c r="F608" t="s">
        <v>87</v>
      </c>
      <c r="G608" t="s">
        <v>39</v>
      </c>
      <c r="H608" t="s">
        <v>25</v>
      </c>
      <c r="I608">
        <v>3</v>
      </c>
      <c r="J608">
        <v>6.53</v>
      </c>
      <c r="K608">
        <v>4</v>
      </c>
      <c r="L608">
        <v>444.87</v>
      </c>
      <c r="M608">
        <v>29</v>
      </c>
      <c r="N608" t="s">
        <v>49</v>
      </c>
      <c r="O608">
        <v>26</v>
      </c>
      <c r="P608">
        <v>350</v>
      </c>
      <c r="Q608" s="27" t="str">
        <f>IF(D608=Pivot!$AS$4,R607, "")</f>
        <v/>
      </c>
      <c r="R608" t="s">
        <v>57</v>
      </c>
      <c r="S608" s="5">
        <v>7.43</v>
      </c>
      <c r="T608">
        <v>82.14</v>
      </c>
      <c r="U608">
        <v>215.02</v>
      </c>
      <c r="V608" s="27">
        <f t="shared" si="36"/>
        <v>78.36</v>
      </c>
      <c r="W608">
        <f t="shared" si="37"/>
        <v>659.89</v>
      </c>
      <c r="X608" s="33" t="str">
        <f t="shared" si="38"/>
        <v>Mid Quality</v>
      </c>
      <c r="Y608" s="27" t="str">
        <f t="shared" si="39"/>
        <v>8</v>
      </c>
    </row>
    <row r="609" spans="1:25" x14ac:dyDescent="0.25">
      <c r="A609" s="1">
        <v>45502</v>
      </c>
      <c r="B609" t="s">
        <v>75</v>
      </c>
      <c r="C609">
        <v>3</v>
      </c>
      <c r="D609" t="s">
        <v>58</v>
      </c>
      <c r="E609" t="s">
        <v>37</v>
      </c>
      <c r="F609" t="s">
        <v>73</v>
      </c>
      <c r="G609" t="s">
        <v>52</v>
      </c>
      <c r="H609" t="s">
        <v>25</v>
      </c>
      <c r="I609">
        <v>2</v>
      </c>
      <c r="J609">
        <v>15.67</v>
      </c>
      <c r="K609">
        <v>1</v>
      </c>
      <c r="L609">
        <v>238.16</v>
      </c>
      <c r="M609">
        <v>35</v>
      </c>
      <c r="N609" t="s">
        <v>63</v>
      </c>
      <c r="O609">
        <v>38</v>
      </c>
      <c r="P609">
        <v>423</v>
      </c>
      <c r="Q609" s="27" t="str">
        <f>IF(D609=Pivot!$AS$4,R608, "")</f>
        <v/>
      </c>
      <c r="R609" t="s">
        <v>27</v>
      </c>
      <c r="S609" s="5">
        <v>8.98</v>
      </c>
      <c r="T609">
        <v>80.040000000000006</v>
      </c>
      <c r="U609">
        <v>138.93</v>
      </c>
      <c r="V609" s="27">
        <f t="shared" si="36"/>
        <v>31.34</v>
      </c>
      <c r="W609">
        <f t="shared" si="37"/>
        <v>377.09000000000003</v>
      </c>
      <c r="X609" s="33" t="str">
        <f t="shared" si="38"/>
        <v>Low Quality</v>
      </c>
      <c r="Y609" s="27" t="str">
        <f t="shared" si="39"/>
        <v>16</v>
      </c>
    </row>
    <row r="610" spans="1:25" x14ac:dyDescent="0.25">
      <c r="A610" s="1">
        <v>45579</v>
      </c>
      <c r="B610" t="s">
        <v>20</v>
      </c>
      <c r="C610">
        <v>2</v>
      </c>
      <c r="D610" t="s">
        <v>74</v>
      </c>
      <c r="E610" t="s">
        <v>30</v>
      </c>
      <c r="F610" t="s">
        <v>89</v>
      </c>
      <c r="G610" t="s">
        <v>52</v>
      </c>
      <c r="H610" t="s">
        <v>40</v>
      </c>
      <c r="I610">
        <v>1</v>
      </c>
      <c r="J610">
        <v>2.44</v>
      </c>
      <c r="K610">
        <v>9</v>
      </c>
      <c r="L610">
        <v>459.96</v>
      </c>
      <c r="M610">
        <v>25</v>
      </c>
      <c r="N610" t="s">
        <v>26</v>
      </c>
      <c r="O610">
        <v>25</v>
      </c>
      <c r="P610">
        <v>328</v>
      </c>
      <c r="Q610" s="27" t="str">
        <f>IF(D610=Pivot!$AS$4,R609, "")</f>
        <v/>
      </c>
      <c r="R610" t="s">
        <v>46</v>
      </c>
      <c r="S610" s="5">
        <v>7.62</v>
      </c>
      <c r="T610">
        <v>83.76</v>
      </c>
      <c r="U610">
        <v>191.65</v>
      </c>
      <c r="V610" s="27">
        <f t="shared" si="36"/>
        <v>21.96</v>
      </c>
      <c r="W610">
        <f t="shared" si="37"/>
        <v>651.61</v>
      </c>
      <c r="X610" s="33" t="str">
        <f t="shared" si="38"/>
        <v>High Quality</v>
      </c>
      <c r="Y610" s="27" t="str">
        <f t="shared" si="39"/>
        <v>4</v>
      </c>
    </row>
    <row r="611" spans="1:25" x14ac:dyDescent="0.25">
      <c r="A611" s="1">
        <v>45515</v>
      </c>
      <c r="B611" t="s">
        <v>65</v>
      </c>
      <c r="C611">
        <v>1</v>
      </c>
      <c r="D611" t="s">
        <v>47</v>
      </c>
      <c r="E611" t="s">
        <v>67</v>
      </c>
      <c r="F611" t="s">
        <v>54</v>
      </c>
      <c r="G611" t="s">
        <v>32</v>
      </c>
      <c r="H611" t="s">
        <v>40</v>
      </c>
      <c r="I611">
        <v>5</v>
      </c>
      <c r="J611">
        <v>16.72</v>
      </c>
      <c r="K611">
        <v>4</v>
      </c>
      <c r="L611">
        <v>496.92</v>
      </c>
      <c r="M611">
        <v>85</v>
      </c>
      <c r="N611" t="s">
        <v>63</v>
      </c>
      <c r="O611">
        <v>4</v>
      </c>
      <c r="P611">
        <v>801</v>
      </c>
      <c r="Q611" s="27" t="str">
        <f>IF(D611=Pivot!$AS$4,R610, "")</f>
        <v/>
      </c>
      <c r="R611" t="s">
        <v>42</v>
      </c>
      <c r="S611" s="5">
        <v>0.5</v>
      </c>
      <c r="T611">
        <v>94</v>
      </c>
      <c r="U611">
        <v>703.97</v>
      </c>
      <c r="V611" s="27">
        <f t="shared" si="36"/>
        <v>334.4</v>
      </c>
      <c r="W611">
        <f t="shared" si="37"/>
        <v>1200.8900000000001</v>
      </c>
      <c r="X611" s="33" t="str">
        <f t="shared" si="38"/>
        <v>Low Quality</v>
      </c>
      <c r="Y611" s="27" t="str">
        <f t="shared" si="39"/>
        <v>18</v>
      </c>
    </row>
    <row r="612" spans="1:25" x14ac:dyDescent="0.25">
      <c r="A612" s="1">
        <v>45494</v>
      </c>
      <c r="B612" t="s">
        <v>20</v>
      </c>
      <c r="C612">
        <v>2</v>
      </c>
      <c r="D612" t="s">
        <v>80</v>
      </c>
      <c r="E612" t="s">
        <v>22</v>
      </c>
      <c r="F612" t="s">
        <v>78</v>
      </c>
      <c r="G612" t="s">
        <v>24</v>
      </c>
      <c r="H612" t="s">
        <v>33</v>
      </c>
      <c r="I612">
        <v>1</v>
      </c>
      <c r="J612">
        <v>9.1300000000000008</v>
      </c>
      <c r="K612">
        <v>2</v>
      </c>
      <c r="L612">
        <v>97.74</v>
      </c>
      <c r="M612">
        <v>37</v>
      </c>
      <c r="N612" t="s">
        <v>45</v>
      </c>
      <c r="O612">
        <v>41</v>
      </c>
      <c r="P612">
        <v>927</v>
      </c>
      <c r="Q612" s="27" t="str">
        <f>IF(D612=Pivot!$AS$4,R611, "")</f>
        <v>Makine ayarı değiştirildi</v>
      </c>
      <c r="R612" t="s">
        <v>46</v>
      </c>
      <c r="S612" s="5">
        <v>4.42</v>
      </c>
      <c r="T612">
        <v>90.16</v>
      </c>
      <c r="U612">
        <v>60.27</v>
      </c>
      <c r="V612" s="27">
        <f t="shared" si="36"/>
        <v>18.260000000000002</v>
      </c>
      <c r="W612">
        <f t="shared" si="37"/>
        <v>158.01</v>
      </c>
      <c r="X612" s="33" t="str">
        <f t="shared" si="38"/>
        <v>Mid Quality</v>
      </c>
      <c r="Y612" s="27" t="str">
        <f t="shared" si="39"/>
        <v>10</v>
      </c>
    </row>
    <row r="613" spans="1:25" x14ac:dyDescent="0.25">
      <c r="A613" s="1">
        <v>45419</v>
      </c>
      <c r="B613" t="s">
        <v>35</v>
      </c>
      <c r="C613">
        <v>1</v>
      </c>
      <c r="D613" t="s">
        <v>74</v>
      </c>
      <c r="E613" t="s">
        <v>67</v>
      </c>
      <c r="F613" t="s">
        <v>54</v>
      </c>
      <c r="G613" t="s">
        <v>39</v>
      </c>
      <c r="H613" t="s">
        <v>33</v>
      </c>
      <c r="I613">
        <v>2</v>
      </c>
      <c r="J613">
        <v>12.33</v>
      </c>
      <c r="K613">
        <v>8</v>
      </c>
      <c r="L613">
        <v>154.87</v>
      </c>
      <c r="M613">
        <v>35</v>
      </c>
      <c r="N613" t="s">
        <v>49</v>
      </c>
      <c r="O613">
        <v>45</v>
      </c>
      <c r="P613">
        <v>735</v>
      </c>
      <c r="Q613" s="27" t="str">
        <f>IF(D613=Pivot!$AS$4,R612, "")</f>
        <v/>
      </c>
      <c r="R613" t="s">
        <v>34</v>
      </c>
      <c r="S613" s="5">
        <v>6.12</v>
      </c>
      <c r="T613">
        <v>85.76</v>
      </c>
      <c r="U613">
        <v>90.34</v>
      </c>
      <c r="V613" s="27">
        <f t="shared" si="36"/>
        <v>197.28</v>
      </c>
      <c r="W613">
        <f t="shared" si="37"/>
        <v>245.21</v>
      </c>
      <c r="X613" s="33" t="str">
        <f t="shared" si="38"/>
        <v>Mid Quality</v>
      </c>
      <c r="Y613" s="27" t="str">
        <f t="shared" si="39"/>
        <v>14</v>
      </c>
    </row>
    <row r="614" spans="1:25" x14ac:dyDescent="0.25">
      <c r="A614" s="1">
        <v>45375</v>
      </c>
      <c r="B614" t="s">
        <v>50</v>
      </c>
      <c r="C614">
        <v>1</v>
      </c>
      <c r="D614" t="s">
        <v>66</v>
      </c>
      <c r="E614" t="s">
        <v>67</v>
      </c>
      <c r="F614" t="s">
        <v>70</v>
      </c>
      <c r="G614" t="s">
        <v>32</v>
      </c>
      <c r="H614" t="s">
        <v>40</v>
      </c>
      <c r="I614">
        <v>2</v>
      </c>
      <c r="J614">
        <v>2.7</v>
      </c>
      <c r="K614">
        <v>2</v>
      </c>
      <c r="L614">
        <v>477.67</v>
      </c>
      <c r="M614">
        <v>25</v>
      </c>
      <c r="N614" t="s">
        <v>45</v>
      </c>
      <c r="O614">
        <v>41</v>
      </c>
      <c r="P614">
        <v>695</v>
      </c>
      <c r="Q614" s="27" t="str">
        <f>IF(D614=Pivot!$AS$4,R613, "")</f>
        <v/>
      </c>
      <c r="R614" t="s">
        <v>46</v>
      </c>
      <c r="S614" s="5">
        <v>5.9</v>
      </c>
      <c r="T614">
        <v>86.2</v>
      </c>
      <c r="U614">
        <v>199.03</v>
      </c>
      <c r="V614" s="27">
        <f t="shared" si="36"/>
        <v>10.8</v>
      </c>
      <c r="W614">
        <f t="shared" si="37"/>
        <v>676.7</v>
      </c>
      <c r="X614" s="33" t="str">
        <f t="shared" si="38"/>
        <v>High Quality</v>
      </c>
      <c r="Y614" s="27" t="str">
        <f t="shared" si="39"/>
        <v>4</v>
      </c>
    </row>
    <row r="615" spans="1:25" x14ac:dyDescent="0.25">
      <c r="A615" s="1">
        <v>45491</v>
      </c>
      <c r="B615" t="s">
        <v>28</v>
      </c>
      <c r="C615">
        <v>2</v>
      </c>
      <c r="D615" t="s">
        <v>53</v>
      </c>
      <c r="E615" t="s">
        <v>67</v>
      </c>
      <c r="F615" t="s">
        <v>73</v>
      </c>
      <c r="G615" t="s">
        <v>24</v>
      </c>
      <c r="H615" t="s">
        <v>48</v>
      </c>
      <c r="I615">
        <v>3</v>
      </c>
      <c r="J615">
        <v>7.41</v>
      </c>
      <c r="K615">
        <v>5</v>
      </c>
      <c r="L615">
        <v>481.25</v>
      </c>
      <c r="M615">
        <v>40</v>
      </c>
      <c r="N615" t="s">
        <v>55</v>
      </c>
      <c r="O615">
        <v>38</v>
      </c>
      <c r="P615">
        <v>396</v>
      </c>
      <c r="Q615" s="27" t="str">
        <f>IF(D615=Pivot!$AS$4,R614, "")</f>
        <v/>
      </c>
      <c r="R615" t="s">
        <v>57</v>
      </c>
      <c r="S615" s="5">
        <v>9.6</v>
      </c>
      <c r="T615">
        <v>77.8</v>
      </c>
      <c r="U615">
        <v>320.83</v>
      </c>
      <c r="V615" s="27">
        <f t="shared" si="36"/>
        <v>111.15</v>
      </c>
      <c r="W615">
        <f t="shared" si="37"/>
        <v>802.07999999999993</v>
      </c>
      <c r="X615" s="33" t="str">
        <f t="shared" si="38"/>
        <v>Mid Quality</v>
      </c>
      <c r="Y615" s="27" t="str">
        <f t="shared" si="39"/>
        <v>8</v>
      </c>
    </row>
    <row r="616" spans="1:25" x14ac:dyDescent="0.25">
      <c r="A616" s="1">
        <v>45485</v>
      </c>
      <c r="B616" t="s">
        <v>28</v>
      </c>
      <c r="C616">
        <v>1</v>
      </c>
      <c r="D616" t="s">
        <v>66</v>
      </c>
      <c r="E616" t="s">
        <v>30</v>
      </c>
      <c r="F616" t="s">
        <v>86</v>
      </c>
      <c r="G616" t="s">
        <v>52</v>
      </c>
      <c r="H616" t="s">
        <v>48</v>
      </c>
      <c r="I616">
        <v>4</v>
      </c>
      <c r="J616">
        <v>2.7</v>
      </c>
      <c r="K616">
        <v>6</v>
      </c>
      <c r="L616">
        <v>93.97</v>
      </c>
      <c r="M616">
        <v>69</v>
      </c>
      <c r="N616" t="s">
        <v>26</v>
      </c>
      <c r="O616">
        <v>19</v>
      </c>
      <c r="P616">
        <v>826</v>
      </c>
      <c r="Q616" s="27" t="str">
        <f>IF(D616=Pivot!$AS$4,R615, "")</f>
        <v/>
      </c>
      <c r="R616" t="s">
        <v>46</v>
      </c>
      <c r="S616" s="5">
        <v>2.2999999999999998</v>
      </c>
      <c r="T616">
        <v>91.4</v>
      </c>
      <c r="U616">
        <v>108.07</v>
      </c>
      <c r="V616" s="27">
        <f t="shared" si="36"/>
        <v>64.800000000000011</v>
      </c>
      <c r="W616">
        <f t="shared" si="37"/>
        <v>202.04</v>
      </c>
      <c r="X616" s="33" t="str">
        <f t="shared" si="38"/>
        <v>High Quality</v>
      </c>
      <c r="Y616" s="27" t="str">
        <f t="shared" si="39"/>
        <v>4</v>
      </c>
    </row>
    <row r="617" spans="1:25" x14ac:dyDescent="0.25">
      <c r="A617" s="1">
        <v>45404</v>
      </c>
      <c r="B617" t="s">
        <v>35</v>
      </c>
      <c r="C617">
        <v>1</v>
      </c>
      <c r="D617" t="s">
        <v>36</v>
      </c>
      <c r="E617" t="s">
        <v>51</v>
      </c>
      <c r="F617" t="s">
        <v>59</v>
      </c>
      <c r="G617" t="s">
        <v>52</v>
      </c>
      <c r="H617" t="s">
        <v>25</v>
      </c>
      <c r="I617">
        <v>1</v>
      </c>
      <c r="J617">
        <v>19.27</v>
      </c>
      <c r="K617">
        <v>8</v>
      </c>
      <c r="L617">
        <v>56.75</v>
      </c>
      <c r="M617">
        <v>8</v>
      </c>
      <c r="N617" t="s">
        <v>45</v>
      </c>
      <c r="O617">
        <v>14</v>
      </c>
      <c r="P617">
        <v>336</v>
      </c>
      <c r="Q617" s="27" t="str">
        <f>IF(D617=Pivot!$AS$4,R616, "")</f>
        <v/>
      </c>
      <c r="R617" t="s">
        <v>57</v>
      </c>
      <c r="S617" s="5">
        <v>4.17</v>
      </c>
      <c r="T617">
        <v>90.66</v>
      </c>
      <c r="U617">
        <v>7.57</v>
      </c>
      <c r="V617" s="27">
        <f t="shared" si="36"/>
        <v>154.16</v>
      </c>
      <c r="W617">
        <f t="shared" si="37"/>
        <v>64.319999999999993</v>
      </c>
      <c r="X617" s="33" t="str">
        <f t="shared" si="38"/>
        <v>Low Quality</v>
      </c>
      <c r="Y617" s="27" t="str">
        <f t="shared" si="39"/>
        <v>20</v>
      </c>
    </row>
    <row r="618" spans="1:25" x14ac:dyDescent="0.25">
      <c r="A618" s="1">
        <v>45426</v>
      </c>
      <c r="B618" t="s">
        <v>20</v>
      </c>
      <c r="C618">
        <v>3</v>
      </c>
      <c r="D618" t="s">
        <v>80</v>
      </c>
      <c r="E618" t="s">
        <v>22</v>
      </c>
      <c r="F618" t="s">
        <v>54</v>
      </c>
      <c r="G618" t="s">
        <v>32</v>
      </c>
      <c r="H618" t="s">
        <v>61</v>
      </c>
      <c r="I618">
        <v>3</v>
      </c>
      <c r="J618">
        <v>16.34</v>
      </c>
      <c r="K618">
        <v>1</v>
      </c>
      <c r="L618">
        <v>122.5</v>
      </c>
      <c r="M618">
        <v>72</v>
      </c>
      <c r="N618" t="s">
        <v>55</v>
      </c>
      <c r="O618">
        <v>21</v>
      </c>
      <c r="P618">
        <v>724</v>
      </c>
      <c r="Q618" s="27" t="str">
        <f>IF(D618=Pivot!$AS$4,R617, "")</f>
        <v>Rutin kontrol</v>
      </c>
      <c r="R618" t="s">
        <v>42</v>
      </c>
      <c r="S618" s="5">
        <v>2.9</v>
      </c>
      <c r="T618">
        <v>91.2</v>
      </c>
      <c r="U618">
        <v>147</v>
      </c>
      <c r="V618" s="27">
        <f t="shared" si="36"/>
        <v>49.019999999999996</v>
      </c>
      <c r="W618">
        <f t="shared" si="37"/>
        <v>269.5</v>
      </c>
      <c r="X618" s="33" t="str">
        <f t="shared" si="38"/>
        <v>Low Quality</v>
      </c>
      <c r="Y618" s="27" t="str">
        <f t="shared" si="39"/>
        <v>18</v>
      </c>
    </row>
    <row r="619" spans="1:25" x14ac:dyDescent="0.25">
      <c r="A619" s="1">
        <v>45332</v>
      </c>
      <c r="B619" t="s">
        <v>75</v>
      </c>
      <c r="C619">
        <v>1</v>
      </c>
      <c r="D619" t="s">
        <v>53</v>
      </c>
      <c r="E619" t="s">
        <v>51</v>
      </c>
      <c r="F619" t="s">
        <v>90</v>
      </c>
      <c r="G619" t="s">
        <v>52</v>
      </c>
      <c r="H619" t="s">
        <v>25</v>
      </c>
      <c r="I619">
        <v>5</v>
      </c>
      <c r="J619">
        <v>9.73</v>
      </c>
      <c r="K619">
        <v>1</v>
      </c>
      <c r="L619">
        <v>498.21</v>
      </c>
      <c r="M619">
        <v>8</v>
      </c>
      <c r="N619" t="s">
        <v>63</v>
      </c>
      <c r="O619">
        <v>15</v>
      </c>
      <c r="P619">
        <v>316</v>
      </c>
      <c r="Q619" s="27" t="str">
        <f>IF(D619=Pivot!$AS$4,R618, "")</f>
        <v/>
      </c>
      <c r="R619" t="s">
        <v>34</v>
      </c>
      <c r="S619" s="5">
        <v>4.75</v>
      </c>
      <c r="T619">
        <v>85.5</v>
      </c>
      <c r="U619">
        <v>66.430000000000007</v>
      </c>
      <c r="V619" s="27">
        <f t="shared" si="36"/>
        <v>48.650000000000006</v>
      </c>
      <c r="W619">
        <f t="shared" si="37"/>
        <v>564.64</v>
      </c>
      <c r="X619" s="33" t="str">
        <f t="shared" si="38"/>
        <v>Mid Quality</v>
      </c>
      <c r="Y619" s="27" t="str">
        <f t="shared" si="39"/>
        <v>10</v>
      </c>
    </row>
    <row r="620" spans="1:25" x14ac:dyDescent="0.25">
      <c r="A620" s="1">
        <v>45508</v>
      </c>
      <c r="B620" t="s">
        <v>20</v>
      </c>
      <c r="C620">
        <v>2</v>
      </c>
      <c r="D620" t="s">
        <v>58</v>
      </c>
      <c r="E620" t="s">
        <v>51</v>
      </c>
      <c r="F620" t="s">
        <v>44</v>
      </c>
      <c r="G620" t="s">
        <v>60</v>
      </c>
      <c r="H620" t="s">
        <v>25</v>
      </c>
      <c r="I620">
        <v>4</v>
      </c>
      <c r="J620">
        <v>5.25</v>
      </c>
      <c r="K620">
        <v>4</v>
      </c>
      <c r="L620">
        <v>131</v>
      </c>
      <c r="M620">
        <v>13</v>
      </c>
      <c r="N620" t="s">
        <v>45</v>
      </c>
      <c r="O620">
        <v>3</v>
      </c>
      <c r="P620">
        <v>932</v>
      </c>
      <c r="Q620" s="27" t="str">
        <f>IF(D620=Pivot!$AS$4,R619, "")</f>
        <v/>
      </c>
      <c r="R620" t="s">
        <v>27</v>
      </c>
      <c r="S620" s="5">
        <v>0.32</v>
      </c>
      <c r="T620">
        <v>95.36</v>
      </c>
      <c r="U620">
        <v>28.38</v>
      </c>
      <c r="V620" s="27">
        <f t="shared" si="36"/>
        <v>84</v>
      </c>
      <c r="W620">
        <f t="shared" si="37"/>
        <v>159.38</v>
      </c>
      <c r="X620" s="33" t="str">
        <f t="shared" si="38"/>
        <v>High Quality</v>
      </c>
      <c r="Y620" s="27" t="str">
        <f t="shared" si="39"/>
        <v>6</v>
      </c>
    </row>
    <row r="621" spans="1:25" x14ac:dyDescent="0.25">
      <c r="A621" s="1">
        <v>45414</v>
      </c>
      <c r="B621" t="s">
        <v>35</v>
      </c>
      <c r="C621">
        <v>2</v>
      </c>
      <c r="D621" t="s">
        <v>77</v>
      </c>
      <c r="E621" t="s">
        <v>51</v>
      </c>
      <c r="F621" t="s">
        <v>73</v>
      </c>
      <c r="G621" t="s">
        <v>32</v>
      </c>
      <c r="H621" t="s">
        <v>61</v>
      </c>
      <c r="I621">
        <v>3</v>
      </c>
      <c r="J621">
        <v>18.739999999999998</v>
      </c>
      <c r="K621">
        <v>5</v>
      </c>
      <c r="L621">
        <v>276.14999999999998</v>
      </c>
      <c r="M621">
        <v>34</v>
      </c>
      <c r="N621" t="s">
        <v>45</v>
      </c>
      <c r="O621">
        <v>37</v>
      </c>
      <c r="P621">
        <v>345</v>
      </c>
      <c r="Q621" s="27" t="str">
        <f>IF(D621=Pivot!$AS$4,R620, "")</f>
        <v/>
      </c>
      <c r="R621" t="s">
        <v>42</v>
      </c>
      <c r="S621" s="5">
        <v>10.72</v>
      </c>
      <c r="T621">
        <v>75.56</v>
      </c>
      <c r="U621">
        <v>156.47999999999999</v>
      </c>
      <c r="V621" s="27">
        <f t="shared" si="36"/>
        <v>281.09999999999997</v>
      </c>
      <c r="W621">
        <f t="shared" si="37"/>
        <v>432.63</v>
      </c>
      <c r="X621" s="33" t="str">
        <f t="shared" si="38"/>
        <v>Low Quality</v>
      </c>
      <c r="Y621" s="27" t="str">
        <f t="shared" si="39"/>
        <v>20</v>
      </c>
    </row>
    <row r="622" spans="1:25" x14ac:dyDescent="0.25">
      <c r="A622" s="1">
        <v>45556</v>
      </c>
      <c r="B622" t="s">
        <v>28</v>
      </c>
      <c r="C622">
        <v>1</v>
      </c>
      <c r="D622" t="s">
        <v>83</v>
      </c>
      <c r="E622" t="s">
        <v>67</v>
      </c>
      <c r="F622" t="s">
        <v>87</v>
      </c>
      <c r="G622" t="s">
        <v>24</v>
      </c>
      <c r="H622" t="s">
        <v>40</v>
      </c>
      <c r="I622">
        <v>1</v>
      </c>
      <c r="J622">
        <v>7.55</v>
      </c>
      <c r="K622">
        <v>9</v>
      </c>
      <c r="L622">
        <v>431.79</v>
      </c>
      <c r="M622">
        <v>49</v>
      </c>
      <c r="N622" t="s">
        <v>41</v>
      </c>
      <c r="O622">
        <v>46</v>
      </c>
      <c r="P622">
        <v>547</v>
      </c>
      <c r="Q622" s="27" t="str">
        <f>IF(D622=Pivot!$AS$4,R621, "")</f>
        <v/>
      </c>
      <c r="R622" t="s">
        <v>42</v>
      </c>
      <c r="S622" s="5">
        <v>8.41</v>
      </c>
      <c r="T622">
        <v>82.18</v>
      </c>
      <c r="U622">
        <v>352.63</v>
      </c>
      <c r="V622" s="27">
        <f t="shared" si="36"/>
        <v>67.95</v>
      </c>
      <c r="W622">
        <f t="shared" si="37"/>
        <v>784.42000000000007</v>
      </c>
      <c r="X622" s="33" t="str">
        <f t="shared" si="38"/>
        <v>Mid Quality</v>
      </c>
      <c r="Y622" s="27" t="str">
        <f t="shared" si="39"/>
        <v>8</v>
      </c>
    </row>
    <row r="623" spans="1:25" x14ac:dyDescent="0.25">
      <c r="A623" s="1">
        <v>45431</v>
      </c>
      <c r="B623" t="s">
        <v>20</v>
      </c>
      <c r="C623">
        <v>3</v>
      </c>
      <c r="D623" t="s">
        <v>74</v>
      </c>
      <c r="E623" t="s">
        <v>37</v>
      </c>
      <c r="F623" t="s">
        <v>69</v>
      </c>
      <c r="G623" t="s">
        <v>32</v>
      </c>
      <c r="H623" t="s">
        <v>48</v>
      </c>
      <c r="I623">
        <v>2</v>
      </c>
      <c r="J623">
        <v>4.0599999999999996</v>
      </c>
      <c r="K623">
        <v>7</v>
      </c>
      <c r="L623">
        <v>59.18</v>
      </c>
      <c r="M623">
        <v>8</v>
      </c>
      <c r="N623" t="s">
        <v>26</v>
      </c>
      <c r="O623">
        <v>16</v>
      </c>
      <c r="P623">
        <v>946</v>
      </c>
      <c r="Q623" s="27" t="str">
        <f>IF(D623=Pivot!$AS$4,R622, "")</f>
        <v/>
      </c>
      <c r="R623" t="s">
        <v>27</v>
      </c>
      <c r="S623" s="5">
        <v>1.69</v>
      </c>
      <c r="T623">
        <v>94.62</v>
      </c>
      <c r="U623">
        <v>7.89</v>
      </c>
      <c r="V623" s="27">
        <f t="shared" si="36"/>
        <v>56.839999999999996</v>
      </c>
      <c r="W623">
        <f t="shared" si="37"/>
        <v>67.069999999999993</v>
      </c>
      <c r="X623" s="33" t="str">
        <f t="shared" si="38"/>
        <v>High Quality</v>
      </c>
      <c r="Y623" s="27" t="str">
        <f t="shared" si="39"/>
        <v>6</v>
      </c>
    </row>
    <row r="624" spans="1:25" x14ac:dyDescent="0.25">
      <c r="A624" s="1">
        <v>45437</v>
      </c>
      <c r="B624" t="s">
        <v>28</v>
      </c>
      <c r="C624">
        <v>3</v>
      </c>
      <c r="D624" t="s">
        <v>85</v>
      </c>
      <c r="E624" t="s">
        <v>67</v>
      </c>
      <c r="F624" t="s">
        <v>84</v>
      </c>
      <c r="G624" t="s">
        <v>39</v>
      </c>
      <c r="H624" t="s">
        <v>25</v>
      </c>
      <c r="I624">
        <v>5</v>
      </c>
      <c r="J624">
        <v>11.7</v>
      </c>
      <c r="K624">
        <v>7</v>
      </c>
      <c r="L624">
        <v>322.02</v>
      </c>
      <c r="M624">
        <v>73</v>
      </c>
      <c r="N624" t="s">
        <v>26</v>
      </c>
      <c r="O624">
        <v>14</v>
      </c>
      <c r="P624">
        <v>418</v>
      </c>
      <c r="Q624" s="27" t="str">
        <f>IF(D624=Pivot!$AS$4,R623, "")</f>
        <v/>
      </c>
      <c r="R624" t="s">
        <v>46</v>
      </c>
      <c r="S624" s="5">
        <v>3.35</v>
      </c>
      <c r="T624">
        <v>88.3</v>
      </c>
      <c r="U624">
        <v>391.79</v>
      </c>
      <c r="V624" s="27">
        <f t="shared" si="36"/>
        <v>409.5</v>
      </c>
      <c r="W624">
        <f t="shared" si="37"/>
        <v>713.81</v>
      </c>
      <c r="X624" s="33" t="str">
        <f t="shared" si="38"/>
        <v>Mid Quality</v>
      </c>
      <c r="Y624" s="27" t="str">
        <f t="shared" si="39"/>
        <v>12</v>
      </c>
    </row>
    <row r="625" spans="1:25" x14ac:dyDescent="0.25">
      <c r="A625" s="1">
        <v>45564</v>
      </c>
      <c r="B625" t="s">
        <v>75</v>
      </c>
      <c r="C625">
        <v>1</v>
      </c>
      <c r="D625" t="s">
        <v>66</v>
      </c>
      <c r="E625" t="s">
        <v>67</v>
      </c>
      <c r="F625" t="s">
        <v>90</v>
      </c>
      <c r="G625" t="s">
        <v>32</v>
      </c>
      <c r="H625" t="s">
        <v>61</v>
      </c>
      <c r="I625">
        <v>1</v>
      </c>
      <c r="J625">
        <v>18.93</v>
      </c>
      <c r="K625">
        <v>8</v>
      </c>
      <c r="L625">
        <v>174.66</v>
      </c>
      <c r="M625">
        <v>27</v>
      </c>
      <c r="N625" t="s">
        <v>63</v>
      </c>
      <c r="O625">
        <v>9</v>
      </c>
      <c r="P625">
        <v>531</v>
      </c>
      <c r="Q625" s="27" t="str">
        <f>IF(D625=Pivot!$AS$4,R624, "")</f>
        <v/>
      </c>
      <c r="R625" t="s">
        <v>46</v>
      </c>
      <c r="S625" s="5">
        <v>1.69</v>
      </c>
      <c r="T625">
        <v>95.62</v>
      </c>
      <c r="U625">
        <v>78.599999999999994</v>
      </c>
      <c r="V625" s="27">
        <f t="shared" si="36"/>
        <v>151.44</v>
      </c>
      <c r="W625">
        <f t="shared" si="37"/>
        <v>253.26</v>
      </c>
      <c r="X625" s="33" t="str">
        <f t="shared" si="38"/>
        <v>Low Quality</v>
      </c>
      <c r="Y625" s="27" t="str">
        <f t="shared" si="39"/>
        <v>20</v>
      </c>
    </row>
    <row r="626" spans="1:25" x14ac:dyDescent="0.25">
      <c r="A626" s="1">
        <v>45429</v>
      </c>
      <c r="B626" t="s">
        <v>28</v>
      </c>
      <c r="C626">
        <v>1</v>
      </c>
      <c r="D626" t="s">
        <v>29</v>
      </c>
      <c r="E626" t="s">
        <v>51</v>
      </c>
      <c r="F626" t="s">
        <v>62</v>
      </c>
      <c r="G626" t="s">
        <v>52</v>
      </c>
      <c r="H626" t="s">
        <v>33</v>
      </c>
      <c r="I626">
        <v>4</v>
      </c>
      <c r="J626">
        <v>1.07</v>
      </c>
      <c r="K626">
        <v>5</v>
      </c>
      <c r="L626">
        <v>438.05</v>
      </c>
      <c r="M626">
        <v>20</v>
      </c>
      <c r="N626" t="s">
        <v>41</v>
      </c>
      <c r="O626">
        <v>47</v>
      </c>
      <c r="P626">
        <v>503</v>
      </c>
      <c r="Q626" s="27" t="str">
        <f>IF(D626=Pivot!$AS$4,R625, "")</f>
        <v/>
      </c>
      <c r="R626" t="s">
        <v>46</v>
      </c>
      <c r="S626" s="5">
        <v>9.34</v>
      </c>
      <c r="T626">
        <v>77.319999999999993</v>
      </c>
      <c r="U626">
        <v>146.02000000000001</v>
      </c>
      <c r="V626" s="27">
        <f t="shared" si="36"/>
        <v>21.400000000000002</v>
      </c>
      <c r="W626">
        <f t="shared" si="37"/>
        <v>584.07000000000005</v>
      </c>
      <c r="X626" s="33" t="str">
        <f t="shared" si="38"/>
        <v>High Quality</v>
      </c>
      <c r="Y626" s="27" t="str">
        <f t="shared" si="39"/>
        <v>2</v>
      </c>
    </row>
    <row r="627" spans="1:25" x14ac:dyDescent="0.25">
      <c r="A627" s="1">
        <v>45503</v>
      </c>
      <c r="B627" t="s">
        <v>28</v>
      </c>
      <c r="C627">
        <v>2</v>
      </c>
      <c r="D627" t="s">
        <v>64</v>
      </c>
      <c r="E627" t="s">
        <v>67</v>
      </c>
      <c r="F627" t="s">
        <v>31</v>
      </c>
      <c r="G627" t="s">
        <v>52</v>
      </c>
      <c r="H627" t="s">
        <v>25</v>
      </c>
      <c r="I627">
        <v>4</v>
      </c>
      <c r="J627">
        <v>5.52</v>
      </c>
      <c r="K627">
        <v>5</v>
      </c>
      <c r="L627">
        <v>177.56</v>
      </c>
      <c r="M627">
        <v>26</v>
      </c>
      <c r="N627" t="s">
        <v>55</v>
      </c>
      <c r="O627">
        <v>7</v>
      </c>
      <c r="P627">
        <v>985</v>
      </c>
      <c r="Q627" s="27" t="str">
        <f>IF(D627=Pivot!$AS$4,R626, "")</f>
        <v/>
      </c>
      <c r="R627" t="s">
        <v>34</v>
      </c>
      <c r="S627" s="5">
        <v>0.71</v>
      </c>
      <c r="T627">
        <v>94.58</v>
      </c>
      <c r="U627">
        <v>76.94</v>
      </c>
      <c r="V627" s="27">
        <f t="shared" si="36"/>
        <v>110.39999999999999</v>
      </c>
      <c r="W627">
        <f t="shared" si="37"/>
        <v>254.5</v>
      </c>
      <c r="X627" s="33" t="str">
        <f t="shared" si="38"/>
        <v>High Quality</v>
      </c>
      <c r="Y627" s="27" t="str">
        <f t="shared" si="39"/>
        <v>6</v>
      </c>
    </row>
    <row r="628" spans="1:25" x14ac:dyDescent="0.25">
      <c r="A628" s="1">
        <v>45388</v>
      </c>
      <c r="B628" t="s">
        <v>50</v>
      </c>
      <c r="C628">
        <v>1</v>
      </c>
      <c r="D628" t="s">
        <v>36</v>
      </c>
      <c r="E628" t="s">
        <v>51</v>
      </c>
      <c r="F628" t="s">
        <v>70</v>
      </c>
      <c r="G628" t="s">
        <v>60</v>
      </c>
      <c r="H628" t="s">
        <v>48</v>
      </c>
      <c r="I628">
        <v>2</v>
      </c>
      <c r="J628">
        <v>18.829999999999998</v>
      </c>
      <c r="K628">
        <v>1</v>
      </c>
      <c r="L628">
        <v>359.04</v>
      </c>
      <c r="M628">
        <v>76</v>
      </c>
      <c r="N628" t="s">
        <v>55</v>
      </c>
      <c r="O628">
        <v>14</v>
      </c>
      <c r="P628">
        <v>136</v>
      </c>
      <c r="Q628" s="27" t="str">
        <f>IF(D628=Pivot!$AS$4,R627, "")</f>
        <v/>
      </c>
      <c r="R628" t="s">
        <v>42</v>
      </c>
      <c r="S628" s="5">
        <v>10.29</v>
      </c>
      <c r="T628">
        <v>77.42</v>
      </c>
      <c r="U628">
        <v>454.78</v>
      </c>
      <c r="V628" s="27">
        <f t="shared" si="36"/>
        <v>37.659999999999997</v>
      </c>
      <c r="W628">
        <f t="shared" si="37"/>
        <v>813.81999999999994</v>
      </c>
      <c r="X628" s="33" t="str">
        <f t="shared" si="38"/>
        <v>Low Quality</v>
      </c>
      <c r="Y628" s="27" t="str">
        <f t="shared" si="39"/>
        <v>20</v>
      </c>
    </row>
    <row r="629" spans="1:25" x14ac:dyDescent="0.25">
      <c r="A629" s="1">
        <v>45327</v>
      </c>
      <c r="B629" t="s">
        <v>50</v>
      </c>
      <c r="C629">
        <v>3</v>
      </c>
      <c r="D629" t="s">
        <v>85</v>
      </c>
      <c r="E629" t="s">
        <v>37</v>
      </c>
      <c r="F629" t="s">
        <v>31</v>
      </c>
      <c r="G629" t="s">
        <v>60</v>
      </c>
      <c r="H629" t="s">
        <v>40</v>
      </c>
      <c r="I629">
        <v>2</v>
      </c>
      <c r="J629">
        <v>4.25</v>
      </c>
      <c r="K629">
        <v>9</v>
      </c>
      <c r="L629">
        <v>353.4</v>
      </c>
      <c r="M629">
        <v>52</v>
      </c>
      <c r="N629" t="s">
        <v>63</v>
      </c>
      <c r="O629">
        <v>6</v>
      </c>
      <c r="P629">
        <v>675</v>
      </c>
      <c r="Q629" s="27" t="str">
        <f>IF(D629=Pivot!$AS$4,R628, "")</f>
        <v/>
      </c>
      <c r="R629" t="s">
        <v>57</v>
      </c>
      <c r="S629" s="5">
        <v>0.89</v>
      </c>
      <c r="T629">
        <v>96.22</v>
      </c>
      <c r="U629">
        <v>306.27999999999997</v>
      </c>
      <c r="V629" s="27">
        <f t="shared" si="36"/>
        <v>76.5</v>
      </c>
      <c r="W629">
        <f t="shared" si="37"/>
        <v>659.68</v>
      </c>
      <c r="X629" s="33" t="str">
        <f t="shared" si="38"/>
        <v>High Quality</v>
      </c>
      <c r="Y629" s="27" t="str">
        <f t="shared" si="39"/>
        <v>6</v>
      </c>
    </row>
    <row r="630" spans="1:25" x14ac:dyDescent="0.25">
      <c r="A630" s="1">
        <v>45385</v>
      </c>
      <c r="B630" t="s">
        <v>65</v>
      </c>
      <c r="C630">
        <v>1</v>
      </c>
      <c r="D630" t="s">
        <v>79</v>
      </c>
      <c r="E630" t="s">
        <v>22</v>
      </c>
      <c r="F630" t="s">
        <v>23</v>
      </c>
      <c r="G630" t="s">
        <v>60</v>
      </c>
      <c r="H630" t="s">
        <v>25</v>
      </c>
      <c r="I630">
        <v>5</v>
      </c>
      <c r="J630">
        <v>3.15</v>
      </c>
      <c r="K630">
        <v>6</v>
      </c>
      <c r="L630">
        <v>149.66999999999999</v>
      </c>
      <c r="M630">
        <v>66</v>
      </c>
      <c r="N630" t="s">
        <v>26</v>
      </c>
      <c r="O630">
        <v>21</v>
      </c>
      <c r="P630">
        <v>830</v>
      </c>
      <c r="Q630" s="27" t="str">
        <f>IF(D630=Pivot!$AS$4,R629, "")</f>
        <v/>
      </c>
      <c r="R630" t="s">
        <v>27</v>
      </c>
      <c r="S630" s="5">
        <v>2.5299999999999998</v>
      </c>
      <c r="T630">
        <v>89.94</v>
      </c>
      <c r="U630">
        <v>164.64</v>
      </c>
      <c r="V630" s="27">
        <f t="shared" si="36"/>
        <v>94.5</v>
      </c>
      <c r="W630">
        <f t="shared" si="37"/>
        <v>314.30999999999995</v>
      </c>
      <c r="X630" s="33" t="str">
        <f t="shared" si="38"/>
        <v>High Quality</v>
      </c>
      <c r="Y630" s="27" t="str">
        <f t="shared" si="39"/>
        <v>4</v>
      </c>
    </row>
    <row r="631" spans="1:25" x14ac:dyDescent="0.25">
      <c r="A631" s="1">
        <v>45361</v>
      </c>
      <c r="B631" t="s">
        <v>50</v>
      </c>
      <c r="C631">
        <v>2</v>
      </c>
      <c r="D631" t="s">
        <v>58</v>
      </c>
      <c r="E631" t="s">
        <v>51</v>
      </c>
      <c r="F631" t="s">
        <v>87</v>
      </c>
      <c r="G631" t="s">
        <v>24</v>
      </c>
      <c r="H631" t="s">
        <v>25</v>
      </c>
      <c r="I631">
        <v>5</v>
      </c>
      <c r="J631">
        <v>11.83</v>
      </c>
      <c r="K631">
        <v>9</v>
      </c>
      <c r="L631">
        <v>65.66</v>
      </c>
      <c r="M631">
        <v>64</v>
      </c>
      <c r="N631" t="s">
        <v>55</v>
      </c>
      <c r="O631">
        <v>15</v>
      </c>
      <c r="P631">
        <v>441</v>
      </c>
      <c r="Q631" s="27" t="str">
        <f>IF(D631=Pivot!$AS$4,R630, "")</f>
        <v/>
      </c>
      <c r="R631" t="s">
        <v>42</v>
      </c>
      <c r="S631" s="5">
        <v>3.4</v>
      </c>
      <c r="T631">
        <v>88.2</v>
      </c>
      <c r="U631">
        <v>70.040000000000006</v>
      </c>
      <c r="V631" s="27">
        <f t="shared" si="36"/>
        <v>532.35</v>
      </c>
      <c r="W631">
        <f t="shared" si="37"/>
        <v>135.69999999999999</v>
      </c>
      <c r="X631" s="33" t="str">
        <f t="shared" si="38"/>
        <v>Mid Quality</v>
      </c>
      <c r="Y631" s="27" t="str">
        <f t="shared" si="39"/>
        <v>12</v>
      </c>
    </row>
    <row r="632" spans="1:25" x14ac:dyDescent="0.25">
      <c r="A632" s="1">
        <v>45440</v>
      </c>
      <c r="B632" t="s">
        <v>28</v>
      </c>
      <c r="C632">
        <v>2</v>
      </c>
      <c r="D632" t="s">
        <v>82</v>
      </c>
      <c r="E632" t="s">
        <v>37</v>
      </c>
      <c r="F632" t="s">
        <v>70</v>
      </c>
      <c r="G632" t="s">
        <v>60</v>
      </c>
      <c r="H632" t="s">
        <v>61</v>
      </c>
      <c r="I632">
        <v>2</v>
      </c>
      <c r="J632">
        <v>17.38</v>
      </c>
      <c r="K632">
        <v>3</v>
      </c>
      <c r="L632">
        <v>234.16</v>
      </c>
      <c r="M632">
        <v>84</v>
      </c>
      <c r="N632" t="s">
        <v>63</v>
      </c>
      <c r="O632">
        <v>8</v>
      </c>
      <c r="P632">
        <v>488</v>
      </c>
      <c r="Q632" s="27" t="str">
        <f>IF(D632=Pivot!$AS$4,R631, "")</f>
        <v/>
      </c>
      <c r="R632" t="s">
        <v>46</v>
      </c>
      <c r="S632" s="5">
        <v>1.64</v>
      </c>
      <c r="T632">
        <v>94.72</v>
      </c>
      <c r="U632">
        <v>327.82</v>
      </c>
      <c r="V632" s="27">
        <f t="shared" si="36"/>
        <v>104.28</v>
      </c>
      <c r="W632">
        <f t="shared" si="37"/>
        <v>561.98</v>
      </c>
      <c r="X632" s="33" t="str">
        <f t="shared" si="38"/>
        <v>Low Quality</v>
      </c>
      <c r="Y632" s="27" t="str">
        <f t="shared" si="39"/>
        <v>18</v>
      </c>
    </row>
    <row r="633" spans="1:25" x14ac:dyDescent="0.25">
      <c r="A633" s="1">
        <v>45348</v>
      </c>
      <c r="B633" t="s">
        <v>35</v>
      </c>
      <c r="C633">
        <v>2</v>
      </c>
      <c r="D633" t="s">
        <v>58</v>
      </c>
      <c r="E633" t="s">
        <v>22</v>
      </c>
      <c r="F633" t="s">
        <v>68</v>
      </c>
      <c r="G633" t="s">
        <v>24</v>
      </c>
      <c r="H633" t="s">
        <v>33</v>
      </c>
      <c r="I633">
        <v>2</v>
      </c>
      <c r="J633">
        <v>10.07</v>
      </c>
      <c r="K633">
        <v>5</v>
      </c>
      <c r="L633">
        <v>180.14</v>
      </c>
      <c r="M633">
        <v>9</v>
      </c>
      <c r="N633" t="s">
        <v>55</v>
      </c>
      <c r="O633">
        <v>34</v>
      </c>
      <c r="P633">
        <v>133</v>
      </c>
      <c r="Q633" s="27" t="str">
        <f>IF(D633=Pivot!$AS$4,R632, "")</f>
        <v/>
      </c>
      <c r="R633" t="s">
        <v>27</v>
      </c>
      <c r="S633" s="5">
        <v>25.56</v>
      </c>
      <c r="T633">
        <v>46.88</v>
      </c>
      <c r="U633">
        <v>27.02</v>
      </c>
      <c r="V633" s="27">
        <f t="shared" si="36"/>
        <v>100.7</v>
      </c>
      <c r="W633">
        <f t="shared" si="37"/>
        <v>207.16</v>
      </c>
      <c r="X633" s="33" t="str">
        <f t="shared" si="38"/>
        <v>Mid Quality</v>
      </c>
      <c r="Y633" s="27" t="str">
        <f t="shared" si="39"/>
        <v>12</v>
      </c>
    </row>
    <row r="634" spans="1:25" x14ac:dyDescent="0.25">
      <c r="A634" s="1">
        <v>45525</v>
      </c>
      <c r="B634" t="s">
        <v>28</v>
      </c>
      <c r="C634">
        <v>2</v>
      </c>
      <c r="D634" t="s">
        <v>58</v>
      </c>
      <c r="E634" t="s">
        <v>30</v>
      </c>
      <c r="F634" t="s">
        <v>31</v>
      </c>
      <c r="G634" t="s">
        <v>60</v>
      </c>
      <c r="H634" t="s">
        <v>33</v>
      </c>
      <c r="I634">
        <v>4</v>
      </c>
      <c r="J634">
        <v>19.899999999999999</v>
      </c>
      <c r="K634">
        <v>2</v>
      </c>
      <c r="L634">
        <v>414.04</v>
      </c>
      <c r="M634">
        <v>84</v>
      </c>
      <c r="N634" t="s">
        <v>49</v>
      </c>
      <c r="O634">
        <v>40</v>
      </c>
      <c r="P634">
        <v>138</v>
      </c>
      <c r="Q634" s="27" t="str">
        <f>IF(D634=Pivot!$AS$4,R633, "")</f>
        <v/>
      </c>
      <c r="R634" t="s">
        <v>57</v>
      </c>
      <c r="S634" s="5">
        <v>28.99</v>
      </c>
      <c r="T634">
        <v>38.020000000000003</v>
      </c>
      <c r="U634">
        <v>579.66</v>
      </c>
      <c r="V634" s="27">
        <f t="shared" si="36"/>
        <v>159.19999999999999</v>
      </c>
      <c r="W634">
        <f t="shared" si="37"/>
        <v>993.7</v>
      </c>
      <c r="X634" s="33" t="str">
        <f t="shared" si="38"/>
        <v>Low Quality</v>
      </c>
      <c r="Y634" s="27" t="str">
        <f t="shared" si="39"/>
        <v>20</v>
      </c>
    </row>
    <row r="635" spans="1:25" x14ac:dyDescent="0.25">
      <c r="A635" s="1">
        <v>45523</v>
      </c>
      <c r="B635" t="s">
        <v>35</v>
      </c>
      <c r="C635">
        <v>2</v>
      </c>
      <c r="D635" t="s">
        <v>36</v>
      </c>
      <c r="E635" t="s">
        <v>51</v>
      </c>
      <c r="F635" t="s">
        <v>69</v>
      </c>
      <c r="G635" t="s">
        <v>24</v>
      </c>
      <c r="H635" t="s">
        <v>40</v>
      </c>
      <c r="I635">
        <v>2</v>
      </c>
      <c r="J635">
        <v>13.9</v>
      </c>
      <c r="K635">
        <v>5</v>
      </c>
      <c r="L635">
        <v>410.16</v>
      </c>
      <c r="M635">
        <v>11</v>
      </c>
      <c r="N635" t="s">
        <v>45</v>
      </c>
      <c r="O635">
        <v>1</v>
      </c>
      <c r="P635">
        <v>678</v>
      </c>
      <c r="Q635" s="27" t="str">
        <f>IF(D635=Pivot!$AS$4,R634, "")</f>
        <v/>
      </c>
      <c r="R635" t="s">
        <v>42</v>
      </c>
      <c r="S635" s="5">
        <v>0.15</v>
      </c>
      <c r="T635">
        <v>97.7</v>
      </c>
      <c r="U635">
        <v>75.2</v>
      </c>
      <c r="V635" s="27">
        <f t="shared" si="36"/>
        <v>139</v>
      </c>
      <c r="W635">
        <f t="shared" si="37"/>
        <v>485.36</v>
      </c>
      <c r="X635" s="33" t="str">
        <f t="shared" si="38"/>
        <v>Mid Quality</v>
      </c>
      <c r="Y635" s="27" t="str">
        <f t="shared" si="39"/>
        <v>14</v>
      </c>
    </row>
    <row r="636" spans="1:25" x14ac:dyDescent="0.25">
      <c r="A636" s="1">
        <v>45431</v>
      </c>
      <c r="B636" t="s">
        <v>35</v>
      </c>
      <c r="C636">
        <v>1</v>
      </c>
      <c r="D636" t="s">
        <v>74</v>
      </c>
      <c r="E636" t="s">
        <v>51</v>
      </c>
      <c r="F636" t="s">
        <v>90</v>
      </c>
      <c r="G636" t="s">
        <v>32</v>
      </c>
      <c r="H636" t="s">
        <v>48</v>
      </c>
      <c r="I636">
        <v>3</v>
      </c>
      <c r="J636">
        <v>2.41</v>
      </c>
      <c r="K636">
        <v>8</v>
      </c>
      <c r="L636">
        <v>255.66</v>
      </c>
      <c r="M636">
        <v>55</v>
      </c>
      <c r="N636" t="s">
        <v>26</v>
      </c>
      <c r="O636">
        <v>32</v>
      </c>
      <c r="P636">
        <v>308</v>
      </c>
      <c r="Q636" s="27" t="str">
        <f>IF(D636=Pivot!$AS$4,R635, "")</f>
        <v/>
      </c>
      <c r="R636" t="s">
        <v>42</v>
      </c>
      <c r="S636" s="5">
        <v>10.39</v>
      </c>
      <c r="T636">
        <v>76.22</v>
      </c>
      <c r="U636">
        <v>234.36</v>
      </c>
      <c r="V636" s="27">
        <f t="shared" si="36"/>
        <v>57.84</v>
      </c>
      <c r="W636">
        <f t="shared" si="37"/>
        <v>490.02</v>
      </c>
      <c r="X636" s="33" t="str">
        <f t="shared" si="38"/>
        <v>High Quality</v>
      </c>
      <c r="Y636" s="27" t="str">
        <f t="shared" si="39"/>
        <v>4</v>
      </c>
    </row>
    <row r="637" spans="1:25" x14ac:dyDescent="0.25">
      <c r="A637" s="1">
        <v>45543</v>
      </c>
      <c r="B637" t="s">
        <v>50</v>
      </c>
      <c r="C637">
        <v>1</v>
      </c>
      <c r="D637" t="s">
        <v>74</v>
      </c>
      <c r="E637" t="s">
        <v>30</v>
      </c>
      <c r="F637" t="s">
        <v>81</v>
      </c>
      <c r="G637" t="s">
        <v>32</v>
      </c>
      <c r="H637" t="s">
        <v>40</v>
      </c>
      <c r="I637">
        <v>1</v>
      </c>
      <c r="J637">
        <v>19.86</v>
      </c>
      <c r="K637">
        <v>2</v>
      </c>
      <c r="L637">
        <v>322.93</v>
      </c>
      <c r="M637">
        <v>69</v>
      </c>
      <c r="N637" t="s">
        <v>49</v>
      </c>
      <c r="O637">
        <v>49</v>
      </c>
      <c r="P637">
        <v>929</v>
      </c>
      <c r="Q637" s="27" t="str">
        <f>IF(D637=Pivot!$AS$4,R636, "")</f>
        <v/>
      </c>
      <c r="R637" t="s">
        <v>34</v>
      </c>
      <c r="S637" s="5">
        <v>5.27</v>
      </c>
      <c r="T637">
        <v>88.46</v>
      </c>
      <c r="U637">
        <v>371.37</v>
      </c>
      <c r="V637" s="27">
        <f t="shared" si="36"/>
        <v>39.72</v>
      </c>
      <c r="W637">
        <f t="shared" si="37"/>
        <v>694.3</v>
      </c>
      <c r="X637" s="33" t="str">
        <f t="shared" si="38"/>
        <v>Low Quality</v>
      </c>
      <c r="Y637" s="27" t="str">
        <f t="shared" si="39"/>
        <v>20</v>
      </c>
    </row>
    <row r="638" spans="1:25" x14ac:dyDescent="0.25">
      <c r="A638" s="1">
        <v>45388</v>
      </c>
      <c r="B638" t="s">
        <v>20</v>
      </c>
      <c r="C638">
        <v>1</v>
      </c>
      <c r="D638" t="s">
        <v>66</v>
      </c>
      <c r="E638" t="s">
        <v>30</v>
      </c>
      <c r="F638" t="s">
        <v>90</v>
      </c>
      <c r="G638" t="s">
        <v>52</v>
      </c>
      <c r="H638" t="s">
        <v>25</v>
      </c>
      <c r="I638">
        <v>2</v>
      </c>
      <c r="J638">
        <v>8.75</v>
      </c>
      <c r="K638">
        <v>8</v>
      </c>
      <c r="L638">
        <v>321.92</v>
      </c>
      <c r="M638">
        <v>13</v>
      </c>
      <c r="N638" t="s">
        <v>63</v>
      </c>
      <c r="O638">
        <v>5</v>
      </c>
      <c r="P638">
        <v>955</v>
      </c>
      <c r="Q638" s="27" t="str">
        <f>IF(D638=Pivot!$AS$4,R637, "")</f>
        <v/>
      </c>
      <c r="R638" t="s">
        <v>42</v>
      </c>
      <c r="S638" s="5">
        <v>0.52</v>
      </c>
      <c r="T638">
        <v>96.96</v>
      </c>
      <c r="U638">
        <v>69.75</v>
      </c>
      <c r="V638" s="27">
        <f t="shared" si="36"/>
        <v>140</v>
      </c>
      <c r="W638">
        <f t="shared" si="37"/>
        <v>391.67</v>
      </c>
      <c r="X638" s="33" t="str">
        <f t="shared" si="38"/>
        <v>Mid Quality</v>
      </c>
      <c r="Y638" s="27" t="str">
        <f t="shared" si="39"/>
        <v>10</v>
      </c>
    </row>
    <row r="639" spans="1:25" x14ac:dyDescent="0.25">
      <c r="A639" s="1">
        <v>45456</v>
      </c>
      <c r="B639" t="s">
        <v>75</v>
      </c>
      <c r="C639">
        <v>1</v>
      </c>
      <c r="D639" t="s">
        <v>21</v>
      </c>
      <c r="E639" t="s">
        <v>51</v>
      </c>
      <c r="F639" t="s">
        <v>87</v>
      </c>
      <c r="G639" t="s">
        <v>24</v>
      </c>
      <c r="H639" t="s">
        <v>25</v>
      </c>
      <c r="I639">
        <v>5</v>
      </c>
      <c r="J639">
        <v>6.46</v>
      </c>
      <c r="K639">
        <v>4</v>
      </c>
      <c r="L639">
        <v>422.22</v>
      </c>
      <c r="M639">
        <v>86</v>
      </c>
      <c r="N639" t="s">
        <v>63</v>
      </c>
      <c r="O639">
        <v>30</v>
      </c>
      <c r="P639">
        <v>251</v>
      </c>
      <c r="Q639" s="27" t="str">
        <f>IF(D639=Pivot!$AS$4,R638, "")</f>
        <v/>
      </c>
      <c r="R639" t="s">
        <v>42</v>
      </c>
      <c r="S639" s="5">
        <v>11.95</v>
      </c>
      <c r="T639">
        <v>71.099999999999994</v>
      </c>
      <c r="U639">
        <v>605.17999999999995</v>
      </c>
      <c r="V639" s="27">
        <f t="shared" si="36"/>
        <v>129.19999999999999</v>
      </c>
      <c r="W639">
        <f t="shared" si="37"/>
        <v>1027.4000000000001</v>
      </c>
      <c r="X639" s="33" t="str">
        <f t="shared" si="38"/>
        <v>Mid Quality</v>
      </c>
      <c r="Y639" s="27" t="str">
        <f t="shared" si="39"/>
        <v>8</v>
      </c>
    </row>
    <row r="640" spans="1:25" x14ac:dyDescent="0.25">
      <c r="A640" s="1">
        <v>45301</v>
      </c>
      <c r="B640" t="s">
        <v>50</v>
      </c>
      <c r="C640">
        <v>2</v>
      </c>
      <c r="D640" t="s">
        <v>71</v>
      </c>
      <c r="E640" t="s">
        <v>30</v>
      </c>
      <c r="F640" t="s">
        <v>31</v>
      </c>
      <c r="G640" t="s">
        <v>39</v>
      </c>
      <c r="H640" t="s">
        <v>33</v>
      </c>
      <c r="I640">
        <v>3</v>
      </c>
      <c r="J640">
        <v>11.6</v>
      </c>
      <c r="K640">
        <v>1</v>
      </c>
      <c r="L640">
        <v>241.25</v>
      </c>
      <c r="M640">
        <v>49</v>
      </c>
      <c r="N640" t="s">
        <v>49</v>
      </c>
      <c r="O640">
        <v>22</v>
      </c>
      <c r="P640">
        <v>998</v>
      </c>
      <c r="Q640" s="27" t="str">
        <f>IF(D640=Pivot!$AS$4,R639, "")</f>
        <v/>
      </c>
      <c r="R640" t="s">
        <v>57</v>
      </c>
      <c r="S640" s="5">
        <v>2.2000000000000002</v>
      </c>
      <c r="T640">
        <v>92.6</v>
      </c>
      <c r="U640">
        <v>197.02</v>
      </c>
      <c r="V640" s="27">
        <f t="shared" si="36"/>
        <v>34.799999999999997</v>
      </c>
      <c r="W640">
        <f t="shared" si="37"/>
        <v>438.27</v>
      </c>
      <c r="X640" s="33" t="str">
        <f t="shared" si="38"/>
        <v>Mid Quality</v>
      </c>
      <c r="Y640" s="27" t="str">
        <f t="shared" si="39"/>
        <v>12</v>
      </c>
    </row>
    <row r="641" spans="1:25" x14ac:dyDescent="0.25">
      <c r="A641" s="1">
        <v>45369</v>
      </c>
      <c r="B641" t="s">
        <v>50</v>
      </c>
      <c r="C641">
        <v>3</v>
      </c>
      <c r="D641" t="s">
        <v>79</v>
      </c>
      <c r="E641" t="s">
        <v>67</v>
      </c>
      <c r="F641" t="s">
        <v>73</v>
      </c>
      <c r="G641" t="s">
        <v>52</v>
      </c>
      <c r="H641" t="s">
        <v>48</v>
      </c>
      <c r="I641">
        <v>5</v>
      </c>
      <c r="J641">
        <v>6.78</v>
      </c>
      <c r="K641">
        <v>5</v>
      </c>
      <c r="L641">
        <v>173.95</v>
      </c>
      <c r="M641">
        <v>51</v>
      </c>
      <c r="N641" t="s">
        <v>45</v>
      </c>
      <c r="O641">
        <v>20</v>
      </c>
      <c r="P641">
        <v>464</v>
      </c>
      <c r="Q641" s="27" t="str">
        <f>IF(D641=Pivot!$AS$4,R640, "")</f>
        <v/>
      </c>
      <c r="R641" t="s">
        <v>57</v>
      </c>
      <c r="S641" s="5">
        <v>4.3099999999999996</v>
      </c>
      <c r="T641">
        <v>86.38</v>
      </c>
      <c r="U641">
        <v>147.86000000000001</v>
      </c>
      <c r="V641" s="27">
        <f t="shared" si="36"/>
        <v>169.5</v>
      </c>
      <c r="W641">
        <f t="shared" si="37"/>
        <v>321.81</v>
      </c>
      <c r="X641" s="33" t="str">
        <f t="shared" si="38"/>
        <v>Mid Quality</v>
      </c>
      <c r="Y641" s="27" t="str">
        <f t="shared" si="39"/>
        <v>8</v>
      </c>
    </row>
    <row r="642" spans="1:25" x14ac:dyDescent="0.25">
      <c r="A642" s="1">
        <v>45317</v>
      </c>
      <c r="B642" t="s">
        <v>20</v>
      </c>
      <c r="C642">
        <v>1</v>
      </c>
      <c r="D642" t="s">
        <v>91</v>
      </c>
      <c r="E642" t="s">
        <v>22</v>
      </c>
      <c r="F642" t="s">
        <v>89</v>
      </c>
      <c r="G642" t="s">
        <v>32</v>
      </c>
      <c r="H642" t="s">
        <v>61</v>
      </c>
      <c r="I642">
        <v>3</v>
      </c>
      <c r="J642">
        <v>2.64</v>
      </c>
      <c r="K642">
        <v>1</v>
      </c>
      <c r="L642">
        <v>169.27</v>
      </c>
      <c r="M642">
        <v>71</v>
      </c>
      <c r="N642" t="s">
        <v>45</v>
      </c>
      <c r="O642">
        <v>16</v>
      </c>
      <c r="P642">
        <v>298</v>
      </c>
      <c r="Q642" s="27" t="str">
        <f>IF(D642=Pivot!$AS$4,R641, "")</f>
        <v/>
      </c>
      <c r="R642" t="s">
        <v>27</v>
      </c>
      <c r="S642" s="5">
        <v>5.37</v>
      </c>
      <c r="T642">
        <v>86.26</v>
      </c>
      <c r="U642">
        <v>200.3</v>
      </c>
      <c r="V642" s="27">
        <f t="shared" ref="V642:V705" si="40">K642*I642*J642</f>
        <v>7.92</v>
      </c>
      <c r="W642">
        <f t="shared" ref="W642:W705" si="41">U642+L642</f>
        <v>369.57000000000005</v>
      </c>
      <c r="X642" s="33" t="str">
        <f t="shared" ref="X642:X705" si="42">_xlfn.IFS(J642&lt;6,"High Quality",J642&lt;=15,"Mid Quality",J642&gt;15,"Low Quality")</f>
        <v>High Quality</v>
      </c>
      <c r="Y642" s="27" t="str">
        <f t="shared" ref="Y642:Y705" si="43">_xlfn.IFS(J642&lt;=0,"0",J642&lt;=2,"2",J642&lt;=4,"4",J642&lt;=6,"6",J642&lt;=8,"8",J642&lt;=10,"10",J642&lt;=12,"12",J642&lt;=14,"14",J642&lt;=16,"16",J642&lt;=16,"16",J642&lt;=18,"18",J642&lt;=20,"20")</f>
        <v>4</v>
      </c>
    </row>
    <row r="643" spans="1:25" x14ac:dyDescent="0.25">
      <c r="A643" s="1">
        <v>45565</v>
      </c>
      <c r="B643" t="s">
        <v>75</v>
      </c>
      <c r="C643">
        <v>3</v>
      </c>
      <c r="D643" t="s">
        <v>83</v>
      </c>
      <c r="E643" t="s">
        <v>22</v>
      </c>
      <c r="F643" t="s">
        <v>86</v>
      </c>
      <c r="G643" t="s">
        <v>24</v>
      </c>
      <c r="H643" t="s">
        <v>48</v>
      </c>
      <c r="I643">
        <v>2</v>
      </c>
      <c r="J643">
        <v>1.03</v>
      </c>
      <c r="K643">
        <v>7</v>
      </c>
      <c r="L643">
        <v>291.29000000000002</v>
      </c>
      <c r="M643">
        <v>28</v>
      </c>
      <c r="N643" t="s">
        <v>41</v>
      </c>
      <c r="O643">
        <v>7</v>
      </c>
      <c r="P643">
        <v>700</v>
      </c>
      <c r="Q643" s="27" t="str">
        <f>IF(D643=Pivot!$AS$4,R642, "")</f>
        <v/>
      </c>
      <c r="R643" t="s">
        <v>46</v>
      </c>
      <c r="S643" s="5">
        <v>1</v>
      </c>
      <c r="T643">
        <v>96</v>
      </c>
      <c r="U643">
        <v>135.94</v>
      </c>
      <c r="V643" s="27">
        <f t="shared" si="40"/>
        <v>14.42</v>
      </c>
      <c r="W643">
        <f t="shared" si="41"/>
        <v>427.23</v>
      </c>
      <c r="X643" s="33" t="str">
        <f t="shared" si="42"/>
        <v>High Quality</v>
      </c>
      <c r="Y643" s="27" t="str">
        <f t="shared" si="43"/>
        <v>2</v>
      </c>
    </row>
    <row r="644" spans="1:25" x14ac:dyDescent="0.25">
      <c r="A644" s="1">
        <v>45303</v>
      </c>
      <c r="B644" t="s">
        <v>28</v>
      </c>
      <c r="C644">
        <v>1</v>
      </c>
      <c r="D644" t="s">
        <v>66</v>
      </c>
      <c r="E644" t="s">
        <v>22</v>
      </c>
      <c r="F644" t="s">
        <v>68</v>
      </c>
      <c r="G644" t="s">
        <v>60</v>
      </c>
      <c r="H644" t="s">
        <v>25</v>
      </c>
      <c r="I644">
        <v>1</v>
      </c>
      <c r="J644">
        <v>9.5399999999999991</v>
      </c>
      <c r="K644">
        <v>8</v>
      </c>
      <c r="L644">
        <v>252.12</v>
      </c>
      <c r="M644">
        <v>14</v>
      </c>
      <c r="N644" t="s">
        <v>55</v>
      </c>
      <c r="O644">
        <v>7</v>
      </c>
      <c r="P644">
        <v>859</v>
      </c>
      <c r="Q644" s="27" t="str">
        <f>IF(D644=Pivot!$AS$4,R643, "")</f>
        <v/>
      </c>
      <c r="R644" t="s">
        <v>57</v>
      </c>
      <c r="S644" s="5">
        <v>0.81</v>
      </c>
      <c r="T644">
        <v>97.38</v>
      </c>
      <c r="U644">
        <v>58.83</v>
      </c>
      <c r="V644" s="27">
        <f t="shared" si="40"/>
        <v>76.319999999999993</v>
      </c>
      <c r="W644">
        <f t="shared" si="41"/>
        <v>310.95</v>
      </c>
      <c r="X644" s="33" t="str">
        <f t="shared" si="42"/>
        <v>Mid Quality</v>
      </c>
      <c r="Y644" s="27" t="str">
        <f t="shared" si="43"/>
        <v>10</v>
      </c>
    </row>
    <row r="645" spans="1:25" x14ac:dyDescent="0.25">
      <c r="A645" s="1">
        <v>45387</v>
      </c>
      <c r="B645" t="s">
        <v>65</v>
      </c>
      <c r="C645">
        <v>1</v>
      </c>
      <c r="D645" t="s">
        <v>66</v>
      </c>
      <c r="E645" t="s">
        <v>67</v>
      </c>
      <c r="F645" t="s">
        <v>56</v>
      </c>
      <c r="G645" t="s">
        <v>39</v>
      </c>
      <c r="H645" t="s">
        <v>61</v>
      </c>
      <c r="I645">
        <v>5</v>
      </c>
      <c r="J645">
        <v>16.899999999999999</v>
      </c>
      <c r="K645">
        <v>3</v>
      </c>
      <c r="L645">
        <v>248.05</v>
      </c>
      <c r="M645">
        <v>77</v>
      </c>
      <c r="N645" t="s">
        <v>41</v>
      </c>
      <c r="O645">
        <v>2</v>
      </c>
      <c r="P645">
        <v>934</v>
      </c>
      <c r="Q645" s="27" t="str">
        <f>IF(D645=Pivot!$AS$4,R644, "")</f>
        <v/>
      </c>
      <c r="R645" t="s">
        <v>27</v>
      </c>
      <c r="S645" s="5">
        <v>0.21</v>
      </c>
      <c r="T645">
        <v>94.58</v>
      </c>
      <c r="U645">
        <v>318.33</v>
      </c>
      <c r="V645" s="27">
        <f t="shared" si="40"/>
        <v>253.49999999999997</v>
      </c>
      <c r="W645">
        <f t="shared" si="41"/>
        <v>566.38</v>
      </c>
      <c r="X645" s="33" t="str">
        <f t="shared" si="42"/>
        <v>Low Quality</v>
      </c>
      <c r="Y645" s="27" t="str">
        <f t="shared" si="43"/>
        <v>18</v>
      </c>
    </row>
    <row r="646" spans="1:25" x14ac:dyDescent="0.25">
      <c r="A646" s="1">
        <v>45344</v>
      </c>
      <c r="B646" t="s">
        <v>65</v>
      </c>
      <c r="C646">
        <v>3</v>
      </c>
      <c r="D646" t="s">
        <v>76</v>
      </c>
      <c r="E646" t="s">
        <v>30</v>
      </c>
      <c r="F646" t="s">
        <v>23</v>
      </c>
      <c r="G646" t="s">
        <v>32</v>
      </c>
      <c r="H646" t="s">
        <v>48</v>
      </c>
      <c r="I646">
        <v>3</v>
      </c>
      <c r="J646">
        <v>11.87</v>
      </c>
      <c r="K646">
        <v>3</v>
      </c>
      <c r="L646">
        <v>91.01</v>
      </c>
      <c r="M646">
        <v>81</v>
      </c>
      <c r="N646" t="s">
        <v>45</v>
      </c>
      <c r="O646">
        <v>47</v>
      </c>
      <c r="P646">
        <v>178</v>
      </c>
      <c r="Q646" s="27" t="str">
        <f>IF(D646=Pivot!$AS$4,R645, "")</f>
        <v/>
      </c>
      <c r="R646" t="s">
        <v>42</v>
      </c>
      <c r="S646" s="5">
        <v>26.4</v>
      </c>
      <c r="T646">
        <v>44.2</v>
      </c>
      <c r="U646">
        <v>122.86</v>
      </c>
      <c r="V646" s="27">
        <f t="shared" si="40"/>
        <v>106.83</v>
      </c>
      <c r="W646">
        <f t="shared" si="41"/>
        <v>213.87</v>
      </c>
      <c r="X646" s="33" t="str">
        <f t="shared" si="42"/>
        <v>Mid Quality</v>
      </c>
      <c r="Y646" s="27" t="str">
        <f t="shared" si="43"/>
        <v>12</v>
      </c>
    </row>
    <row r="647" spans="1:25" x14ac:dyDescent="0.25">
      <c r="A647" s="1">
        <v>45436</v>
      </c>
      <c r="B647" t="s">
        <v>28</v>
      </c>
      <c r="C647">
        <v>2</v>
      </c>
      <c r="D647" t="s">
        <v>88</v>
      </c>
      <c r="E647" t="s">
        <v>37</v>
      </c>
      <c r="F647" t="s">
        <v>90</v>
      </c>
      <c r="G647" t="s">
        <v>52</v>
      </c>
      <c r="H647" t="s">
        <v>48</v>
      </c>
      <c r="I647">
        <v>4</v>
      </c>
      <c r="J647">
        <v>19.98</v>
      </c>
      <c r="K647">
        <v>7</v>
      </c>
      <c r="L647">
        <v>373.37</v>
      </c>
      <c r="M647">
        <v>52</v>
      </c>
      <c r="N647" t="s">
        <v>49</v>
      </c>
      <c r="O647">
        <v>14</v>
      </c>
      <c r="P647">
        <v>576</v>
      </c>
      <c r="Q647" s="27" t="str">
        <f>IF(D647=Pivot!$AS$4,R646, "")</f>
        <v/>
      </c>
      <c r="R647" t="s">
        <v>27</v>
      </c>
      <c r="S647" s="5">
        <v>2.4300000000000002</v>
      </c>
      <c r="T647">
        <v>91.14</v>
      </c>
      <c r="U647">
        <v>323.58999999999997</v>
      </c>
      <c r="V647" s="27">
        <f t="shared" si="40"/>
        <v>559.44000000000005</v>
      </c>
      <c r="W647">
        <f t="shared" si="41"/>
        <v>696.96</v>
      </c>
      <c r="X647" s="33" t="str">
        <f t="shared" si="42"/>
        <v>Low Quality</v>
      </c>
      <c r="Y647" s="27" t="str">
        <f t="shared" si="43"/>
        <v>20</v>
      </c>
    </row>
    <row r="648" spans="1:25" x14ac:dyDescent="0.25">
      <c r="A648" s="1">
        <v>45429</v>
      </c>
      <c r="B648" t="s">
        <v>50</v>
      </c>
      <c r="C648">
        <v>1</v>
      </c>
      <c r="D648" t="s">
        <v>79</v>
      </c>
      <c r="E648" t="s">
        <v>30</v>
      </c>
      <c r="F648" t="s">
        <v>31</v>
      </c>
      <c r="G648" t="s">
        <v>24</v>
      </c>
      <c r="H648" t="s">
        <v>61</v>
      </c>
      <c r="I648">
        <v>2</v>
      </c>
      <c r="J648">
        <v>6.45</v>
      </c>
      <c r="K648">
        <v>4</v>
      </c>
      <c r="L648">
        <v>146.18</v>
      </c>
      <c r="M648">
        <v>39</v>
      </c>
      <c r="N648" t="s">
        <v>55</v>
      </c>
      <c r="O648">
        <v>31</v>
      </c>
      <c r="P648">
        <v>533</v>
      </c>
      <c r="Q648" s="27" t="str">
        <f>IF(D648=Pivot!$AS$4,R647, "")</f>
        <v/>
      </c>
      <c r="R648" t="s">
        <v>27</v>
      </c>
      <c r="S648" s="5">
        <v>5.82</v>
      </c>
      <c r="T648">
        <v>86.36</v>
      </c>
      <c r="U648">
        <v>95.02</v>
      </c>
      <c r="V648" s="27">
        <f t="shared" si="40"/>
        <v>51.6</v>
      </c>
      <c r="W648">
        <f t="shared" si="41"/>
        <v>241.2</v>
      </c>
      <c r="X648" s="33" t="str">
        <f t="shared" si="42"/>
        <v>Mid Quality</v>
      </c>
      <c r="Y648" s="27" t="str">
        <f t="shared" si="43"/>
        <v>8</v>
      </c>
    </row>
    <row r="649" spans="1:25" x14ac:dyDescent="0.25">
      <c r="A649" s="1">
        <v>45356</v>
      </c>
      <c r="B649" t="s">
        <v>75</v>
      </c>
      <c r="C649">
        <v>1</v>
      </c>
      <c r="D649" t="s">
        <v>43</v>
      </c>
      <c r="E649" t="s">
        <v>51</v>
      </c>
      <c r="F649" t="s">
        <v>31</v>
      </c>
      <c r="G649" t="s">
        <v>39</v>
      </c>
      <c r="H649" t="s">
        <v>25</v>
      </c>
      <c r="I649">
        <v>1</v>
      </c>
      <c r="J649">
        <v>6.33</v>
      </c>
      <c r="K649">
        <v>3</v>
      </c>
      <c r="L649">
        <v>138.63</v>
      </c>
      <c r="M649">
        <v>58</v>
      </c>
      <c r="N649" t="s">
        <v>49</v>
      </c>
      <c r="O649">
        <v>41</v>
      </c>
      <c r="P649">
        <v>896</v>
      </c>
      <c r="Q649" s="27" t="str">
        <f>IF(D649=Pivot!$AS$4,R648, "")</f>
        <v/>
      </c>
      <c r="R649" t="s">
        <v>27</v>
      </c>
      <c r="S649" s="5">
        <v>4.58</v>
      </c>
      <c r="T649">
        <v>89.84</v>
      </c>
      <c r="U649">
        <v>134.01</v>
      </c>
      <c r="V649" s="27">
        <f t="shared" si="40"/>
        <v>18.990000000000002</v>
      </c>
      <c r="W649">
        <f t="shared" si="41"/>
        <v>272.64</v>
      </c>
      <c r="X649" s="33" t="str">
        <f t="shared" si="42"/>
        <v>Mid Quality</v>
      </c>
      <c r="Y649" s="27" t="str">
        <f t="shared" si="43"/>
        <v>8</v>
      </c>
    </row>
    <row r="650" spans="1:25" x14ac:dyDescent="0.25">
      <c r="A650" s="1">
        <v>45516</v>
      </c>
      <c r="B650" t="s">
        <v>50</v>
      </c>
      <c r="C650">
        <v>1</v>
      </c>
      <c r="D650" t="s">
        <v>77</v>
      </c>
      <c r="E650" t="s">
        <v>22</v>
      </c>
      <c r="F650" t="s">
        <v>87</v>
      </c>
      <c r="G650" t="s">
        <v>24</v>
      </c>
      <c r="H650" t="s">
        <v>48</v>
      </c>
      <c r="I650">
        <v>2</v>
      </c>
      <c r="J650">
        <v>4.04</v>
      </c>
      <c r="K650">
        <v>8</v>
      </c>
      <c r="L650">
        <v>235.74</v>
      </c>
      <c r="M650">
        <v>85</v>
      </c>
      <c r="N650" t="s">
        <v>41</v>
      </c>
      <c r="O650">
        <v>14</v>
      </c>
      <c r="P650">
        <v>941</v>
      </c>
      <c r="Q650" s="27" t="str">
        <f>IF(D650=Pivot!$AS$4,R649, "")</f>
        <v/>
      </c>
      <c r="R650" t="s">
        <v>27</v>
      </c>
      <c r="S650" s="5">
        <v>1.49</v>
      </c>
      <c r="T650">
        <v>95.02</v>
      </c>
      <c r="U650">
        <v>333.96</v>
      </c>
      <c r="V650" s="27">
        <f t="shared" si="40"/>
        <v>64.64</v>
      </c>
      <c r="W650">
        <f t="shared" si="41"/>
        <v>569.70000000000005</v>
      </c>
      <c r="X650" s="33" t="str">
        <f t="shared" si="42"/>
        <v>High Quality</v>
      </c>
      <c r="Y650" s="27" t="str">
        <f t="shared" si="43"/>
        <v>6</v>
      </c>
    </row>
    <row r="651" spans="1:25" x14ac:dyDescent="0.25">
      <c r="A651" s="1">
        <v>45296</v>
      </c>
      <c r="B651" t="s">
        <v>35</v>
      </c>
      <c r="C651">
        <v>3</v>
      </c>
      <c r="D651" t="s">
        <v>83</v>
      </c>
      <c r="E651" t="s">
        <v>30</v>
      </c>
      <c r="F651" t="s">
        <v>38</v>
      </c>
      <c r="G651" t="s">
        <v>60</v>
      </c>
      <c r="H651" t="s">
        <v>61</v>
      </c>
      <c r="I651">
        <v>4</v>
      </c>
      <c r="J651">
        <v>4.12</v>
      </c>
      <c r="K651">
        <v>3</v>
      </c>
      <c r="L651">
        <v>152.5</v>
      </c>
      <c r="M651">
        <v>75</v>
      </c>
      <c r="N651" t="s">
        <v>63</v>
      </c>
      <c r="O651">
        <v>5</v>
      </c>
      <c r="P651">
        <v>131</v>
      </c>
      <c r="Q651" s="27" t="str">
        <f>IF(D651=Pivot!$AS$4,R650, "")</f>
        <v/>
      </c>
      <c r="R651" t="s">
        <v>57</v>
      </c>
      <c r="S651" s="5">
        <v>3.82</v>
      </c>
      <c r="T651">
        <v>88.36</v>
      </c>
      <c r="U651">
        <v>190.62</v>
      </c>
      <c r="V651" s="27">
        <f t="shared" si="40"/>
        <v>49.44</v>
      </c>
      <c r="W651">
        <f t="shared" si="41"/>
        <v>343.12</v>
      </c>
      <c r="X651" s="33" t="str">
        <f t="shared" si="42"/>
        <v>High Quality</v>
      </c>
      <c r="Y651" s="27" t="str">
        <f t="shared" si="43"/>
        <v>6</v>
      </c>
    </row>
    <row r="652" spans="1:25" x14ac:dyDescent="0.25">
      <c r="A652" s="1">
        <v>45411</v>
      </c>
      <c r="B652" t="s">
        <v>50</v>
      </c>
      <c r="C652">
        <v>2</v>
      </c>
      <c r="D652" t="s">
        <v>64</v>
      </c>
      <c r="E652" t="s">
        <v>37</v>
      </c>
      <c r="F652" t="s">
        <v>62</v>
      </c>
      <c r="G652" t="s">
        <v>52</v>
      </c>
      <c r="H652" t="s">
        <v>25</v>
      </c>
      <c r="I652">
        <v>1</v>
      </c>
      <c r="J652">
        <v>6.42</v>
      </c>
      <c r="K652">
        <v>7</v>
      </c>
      <c r="L652">
        <v>312.74</v>
      </c>
      <c r="M652">
        <v>20</v>
      </c>
      <c r="N652" t="s">
        <v>49</v>
      </c>
      <c r="O652">
        <v>11</v>
      </c>
      <c r="P652">
        <v>186</v>
      </c>
      <c r="Q652" s="27" t="str">
        <f>IF(D652=Pivot!$AS$4,R651, "")</f>
        <v/>
      </c>
      <c r="R652" t="s">
        <v>46</v>
      </c>
      <c r="S652" s="5">
        <v>5.91</v>
      </c>
      <c r="T652">
        <v>87.18</v>
      </c>
      <c r="U652">
        <v>104.25</v>
      </c>
      <c r="V652" s="27">
        <f t="shared" si="40"/>
        <v>44.94</v>
      </c>
      <c r="W652">
        <f t="shared" si="41"/>
        <v>416.99</v>
      </c>
      <c r="X652" s="33" t="str">
        <f t="shared" si="42"/>
        <v>Mid Quality</v>
      </c>
      <c r="Y652" s="27" t="str">
        <f t="shared" si="43"/>
        <v>8</v>
      </c>
    </row>
    <row r="653" spans="1:25" x14ac:dyDescent="0.25">
      <c r="A653" s="1">
        <v>45338</v>
      </c>
      <c r="B653" t="s">
        <v>50</v>
      </c>
      <c r="C653">
        <v>3</v>
      </c>
      <c r="D653" t="s">
        <v>64</v>
      </c>
      <c r="E653" t="s">
        <v>51</v>
      </c>
      <c r="F653" t="s">
        <v>81</v>
      </c>
      <c r="G653" t="s">
        <v>24</v>
      </c>
      <c r="H653" t="s">
        <v>61</v>
      </c>
      <c r="I653">
        <v>4</v>
      </c>
      <c r="J653">
        <v>16.059999999999999</v>
      </c>
      <c r="K653">
        <v>2</v>
      </c>
      <c r="L653">
        <v>217.16</v>
      </c>
      <c r="M653">
        <v>57</v>
      </c>
      <c r="N653" t="s">
        <v>41</v>
      </c>
      <c r="O653">
        <v>40</v>
      </c>
      <c r="P653">
        <v>650</v>
      </c>
      <c r="Q653" s="27" t="str">
        <f>IF(D653=Pivot!$AS$4,R652, "")</f>
        <v/>
      </c>
      <c r="R653" t="s">
        <v>27</v>
      </c>
      <c r="S653" s="5">
        <v>6.15</v>
      </c>
      <c r="T653">
        <v>83.7</v>
      </c>
      <c r="U653">
        <v>206.3</v>
      </c>
      <c r="V653" s="27">
        <f t="shared" si="40"/>
        <v>128.47999999999999</v>
      </c>
      <c r="W653">
        <f t="shared" si="41"/>
        <v>423.46000000000004</v>
      </c>
      <c r="X653" s="33" t="str">
        <f t="shared" si="42"/>
        <v>Low Quality</v>
      </c>
      <c r="Y653" s="27" t="str">
        <f t="shared" si="43"/>
        <v>18</v>
      </c>
    </row>
    <row r="654" spans="1:25" x14ac:dyDescent="0.25">
      <c r="A654" s="1">
        <v>45369</v>
      </c>
      <c r="B654" t="s">
        <v>28</v>
      </c>
      <c r="C654">
        <v>3</v>
      </c>
      <c r="D654" t="s">
        <v>29</v>
      </c>
      <c r="E654" t="s">
        <v>67</v>
      </c>
      <c r="F654" t="s">
        <v>56</v>
      </c>
      <c r="G654" t="s">
        <v>32</v>
      </c>
      <c r="H654" t="s">
        <v>61</v>
      </c>
      <c r="I654">
        <v>2</v>
      </c>
      <c r="J654">
        <v>18.21</v>
      </c>
      <c r="K654">
        <v>1</v>
      </c>
      <c r="L654">
        <v>252.01</v>
      </c>
      <c r="M654">
        <v>44</v>
      </c>
      <c r="N654" t="s">
        <v>41</v>
      </c>
      <c r="O654">
        <v>5</v>
      </c>
      <c r="P654">
        <v>492</v>
      </c>
      <c r="Q654" s="27" t="str">
        <f>IF(D654=Pivot!$AS$4,R653, "")</f>
        <v/>
      </c>
      <c r="R654" t="s">
        <v>34</v>
      </c>
      <c r="S654" s="5">
        <v>1.02</v>
      </c>
      <c r="T654">
        <v>95.96</v>
      </c>
      <c r="U654">
        <v>184.81</v>
      </c>
      <c r="V654" s="27">
        <f t="shared" si="40"/>
        <v>36.42</v>
      </c>
      <c r="W654">
        <f t="shared" si="41"/>
        <v>436.82</v>
      </c>
      <c r="X654" s="33" t="str">
        <f t="shared" si="42"/>
        <v>Low Quality</v>
      </c>
      <c r="Y654" s="27" t="str">
        <f t="shared" si="43"/>
        <v>20</v>
      </c>
    </row>
    <row r="655" spans="1:25" x14ac:dyDescent="0.25">
      <c r="A655" s="1">
        <v>45299</v>
      </c>
      <c r="B655" t="s">
        <v>28</v>
      </c>
      <c r="C655">
        <v>2</v>
      </c>
      <c r="D655" t="s">
        <v>76</v>
      </c>
      <c r="E655" t="s">
        <v>67</v>
      </c>
      <c r="F655" t="s">
        <v>81</v>
      </c>
      <c r="G655" t="s">
        <v>52</v>
      </c>
      <c r="H655" t="s">
        <v>48</v>
      </c>
      <c r="I655">
        <v>3</v>
      </c>
      <c r="J655">
        <v>19.53</v>
      </c>
      <c r="K655">
        <v>6</v>
      </c>
      <c r="L655">
        <v>291.73</v>
      </c>
      <c r="M655">
        <v>24</v>
      </c>
      <c r="N655" t="s">
        <v>41</v>
      </c>
      <c r="O655">
        <v>29</v>
      </c>
      <c r="P655">
        <v>712</v>
      </c>
      <c r="Q655" s="27" t="str">
        <f>IF(D655=Pivot!$AS$4,R654, "")</f>
        <v/>
      </c>
      <c r="R655" t="s">
        <v>42</v>
      </c>
      <c r="S655" s="5">
        <v>4.07</v>
      </c>
      <c r="T655">
        <v>88.86</v>
      </c>
      <c r="U655">
        <v>116.69</v>
      </c>
      <c r="V655" s="27">
        <f t="shared" si="40"/>
        <v>351.54</v>
      </c>
      <c r="W655">
        <f t="shared" si="41"/>
        <v>408.42</v>
      </c>
      <c r="X655" s="33" t="str">
        <f t="shared" si="42"/>
        <v>Low Quality</v>
      </c>
      <c r="Y655" s="27" t="str">
        <f t="shared" si="43"/>
        <v>20</v>
      </c>
    </row>
    <row r="656" spans="1:25" x14ac:dyDescent="0.25">
      <c r="A656" s="1">
        <v>45544</v>
      </c>
      <c r="B656" t="s">
        <v>28</v>
      </c>
      <c r="C656">
        <v>3</v>
      </c>
      <c r="D656" t="s">
        <v>76</v>
      </c>
      <c r="E656" t="s">
        <v>37</v>
      </c>
      <c r="F656" t="s">
        <v>90</v>
      </c>
      <c r="G656" t="s">
        <v>32</v>
      </c>
      <c r="H656" t="s">
        <v>25</v>
      </c>
      <c r="I656">
        <v>2</v>
      </c>
      <c r="J656">
        <v>5.41</v>
      </c>
      <c r="K656">
        <v>8</v>
      </c>
      <c r="L656">
        <v>141.59</v>
      </c>
      <c r="M656">
        <v>73</v>
      </c>
      <c r="N656" t="s">
        <v>63</v>
      </c>
      <c r="O656">
        <v>11</v>
      </c>
      <c r="P656">
        <v>343</v>
      </c>
      <c r="Q656" s="27" t="str">
        <f>IF(D656=Pivot!$AS$4,R655, "")</f>
        <v/>
      </c>
      <c r="R656" t="s">
        <v>42</v>
      </c>
      <c r="S656" s="5">
        <v>3.21</v>
      </c>
      <c r="T656">
        <v>91.58</v>
      </c>
      <c r="U656">
        <v>172.27</v>
      </c>
      <c r="V656" s="27">
        <f t="shared" si="40"/>
        <v>86.56</v>
      </c>
      <c r="W656">
        <f t="shared" si="41"/>
        <v>313.86</v>
      </c>
      <c r="X656" s="33" t="str">
        <f t="shared" si="42"/>
        <v>High Quality</v>
      </c>
      <c r="Y656" s="27" t="str">
        <f t="shared" si="43"/>
        <v>6</v>
      </c>
    </row>
    <row r="657" spans="1:25" x14ac:dyDescent="0.25">
      <c r="A657" s="1">
        <v>45403</v>
      </c>
      <c r="B657" t="s">
        <v>65</v>
      </c>
      <c r="C657">
        <v>2</v>
      </c>
      <c r="D657" t="s">
        <v>43</v>
      </c>
      <c r="E657" t="s">
        <v>51</v>
      </c>
      <c r="F657" t="s">
        <v>59</v>
      </c>
      <c r="G657" t="s">
        <v>24</v>
      </c>
      <c r="H657" t="s">
        <v>48</v>
      </c>
      <c r="I657">
        <v>2</v>
      </c>
      <c r="J657">
        <v>17.739999999999998</v>
      </c>
      <c r="K657">
        <v>1</v>
      </c>
      <c r="L657">
        <v>120.09</v>
      </c>
      <c r="M657">
        <v>49</v>
      </c>
      <c r="N657" t="s">
        <v>63</v>
      </c>
      <c r="O657">
        <v>5</v>
      </c>
      <c r="P657">
        <v>331</v>
      </c>
      <c r="Q657" s="27" t="str">
        <f>IF(D657=Pivot!$AS$4,R656, "")</f>
        <v/>
      </c>
      <c r="R657" t="s">
        <v>42</v>
      </c>
      <c r="S657" s="5">
        <v>1.51</v>
      </c>
      <c r="T657">
        <v>94.98</v>
      </c>
      <c r="U657">
        <v>98.07</v>
      </c>
      <c r="V657" s="27">
        <f t="shared" si="40"/>
        <v>35.479999999999997</v>
      </c>
      <c r="W657">
        <f t="shared" si="41"/>
        <v>218.16</v>
      </c>
      <c r="X657" s="33" t="str">
        <f t="shared" si="42"/>
        <v>Low Quality</v>
      </c>
      <c r="Y657" s="27" t="str">
        <f t="shared" si="43"/>
        <v>18</v>
      </c>
    </row>
    <row r="658" spans="1:25" x14ac:dyDescent="0.25">
      <c r="A658" s="1">
        <v>45467</v>
      </c>
      <c r="B658" t="s">
        <v>35</v>
      </c>
      <c r="C658">
        <v>1</v>
      </c>
      <c r="D658" t="s">
        <v>21</v>
      </c>
      <c r="E658" t="s">
        <v>22</v>
      </c>
      <c r="F658" t="s">
        <v>62</v>
      </c>
      <c r="G658" t="s">
        <v>52</v>
      </c>
      <c r="H658" t="s">
        <v>40</v>
      </c>
      <c r="I658">
        <v>2</v>
      </c>
      <c r="J658">
        <v>7.24</v>
      </c>
      <c r="K658">
        <v>9</v>
      </c>
      <c r="L658">
        <v>446.19</v>
      </c>
      <c r="M658">
        <v>10</v>
      </c>
      <c r="N658" t="s">
        <v>63</v>
      </c>
      <c r="O658">
        <v>49</v>
      </c>
      <c r="P658">
        <v>679</v>
      </c>
      <c r="Q658" s="27" t="str">
        <f>IF(D658=Pivot!$AS$4,R657, "")</f>
        <v/>
      </c>
      <c r="R658" t="s">
        <v>42</v>
      </c>
      <c r="S658" s="5">
        <v>7.22</v>
      </c>
      <c r="T658">
        <v>83.56</v>
      </c>
      <c r="U658">
        <v>74.36</v>
      </c>
      <c r="V658" s="27">
        <f t="shared" si="40"/>
        <v>130.32</v>
      </c>
      <c r="W658">
        <f t="shared" si="41"/>
        <v>520.54999999999995</v>
      </c>
      <c r="X658" s="33" t="str">
        <f t="shared" si="42"/>
        <v>Mid Quality</v>
      </c>
      <c r="Y658" s="27" t="str">
        <f t="shared" si="43"/>
        <v>8</v>
      </c>
    </row>
    <row r="659" spans="1:25" x14ac:dyDescent="0.25">
      <c r="A659" s="1">
        <v>45507</v>
      </c>
      <c r="B659" t="s">
        <v>28</v>
      </c>
      <c r="C659">
        <v>2</v>
      </c>
      <c r="D659" t="s">
        <v>64</v>
      </c>
      <c r="E659" t="s">
        <v>30</v>
      </c>
      <c r="F659" t="s">
        <v>90</v>
      </c>
      <c r="G659" t="s">
        <v>32</v>
      </c>
      <c r="H659" t="s">
        <v>40</v>
      </c>
      <c r="I659">
        <v>5</v>
      </c>
      <c r="J659">
        <v>3.14</v>
      </c>
      <c r="K659">
        <v>3</v>
      </c>
      <c r="L659">
        <v>245.18</v>
      </c>
      <c r="M659">
        <v>73</v>
      </c>
      <c r="N659" t="s">
        <v>55</v>
      </c>
      <c r="O659">
        <v>32</v>
      </c>
      <c r="P659">
        <v>291</v>
      </c>
      <c r="Q659" s="27" t="str">
        <f>IF(D659=Pivot!$AS$4,R658, "")</f>
        <v/>
      </c>
      <c r="R659" t="s">
        <v>42</v>
      </c>
      <c r="S659" s="5">
        <v>11</v>
      </c>
      <c r="T659">
        <v>73</v>
      </c>
      <c r="U659">
        <v>298.3</v>
      </c>
      <c r="V659" s="27">
        <f t="shared" si="40"/>
        <v>47.1</v>
      </c>
      <c r="W659">
        <f t="shared" si="41"/>
        <v>543.48</v>
      </c>
      <c r="X659" s="33" t="str">
        <f t="shared" si="42"/>
        <v>High Quality</v>
      </c>
      <c r="Y659" s="27" t="str">
        <f t="shared" si="43"/>
        <v>4</v>
      </c>
    </row>
    <row r="660" spans="1:25" x14ac:dyDescent="0.25">
      <c r="A660" s="1">
        <v>45451</v>
      </c>
      <c r="B660" t="s">
        <v>75</v>
      </c>
      <c r="C660">
        <v>1</v>
      </c>
      <c r="D660" t="s">
        <v>47</v>
      </c>
      <c r="E660" t="s">
        <v>51</v>
      </c>
      <c r="F660" t="s">
        <v>69</v>
      </c>
      <c r="G660" t="s">
        <v>60</v>
      </c>
      <c r="H660" t="s">
        <v>25</v>
      </c>
      <c r="I660">
        <v>4</v>
      </c>
      <c r="J660">
        <v>17.53</v>
      </c>
      <c r="K660">
        <v>3</v>
      </c>
      <c r="L660">
        <v>235.44</v>
      </c>
      <c r="M660">
        <v>53</v>
      </c>
      <c r="N660" t="s">
        <v>63</v>
      </c>
      <c r="O660">
        <v>36</v>
      </c>
      <c r="P660">
        <v>639</v>
      </c>
      <c r="Q660" s="27" t="str">
        <f>IF(D660=Pivot!$AS$4,R659, "")</f>
        <v/>
      </c>
      <c r="R660" t="s">
        <v>27</v>
      </c>
      <c r="S660" s="5">
        <v>5.63</v>
      </c>
      <c r="T660">
        <v>84.74</v>
      </c>
      <c r="U660">
        <v>207.97</v>
      </c>
      <c r="V660" s="27">
        <f t="shared" si="40"/>
        <v>210.36</v>
      </c>
      <c r="W660">
        <f t="shared" si="41"/>
        <v>443.40999999999997</v>
      </c>
      <c r="X660" s="33" t="str">
        <f t="shared" si="42"/>
        <v>Low Quality</v>
      </c>
      <c r="Y660" s="27" t="str">
        <f t="shared" si="43"/>
        <v>18</v>
      </c>
    </row>
    <row r="661" spans="1:25" x14ac:dyDescent="0.25">
      <c r="A661" s="1">
        <v>45547</v>
      </c>
      <c r="B661" t="s">
        <v>65</v>
      </c>
      <c r="C661">
        <v>3</v>
      </c>
      <c r="D661" t="s">
        <v>66</v>
      </c>
      <c r="E661" t="s">
        <v>67</v>
      </c>
      <c r="F661" t="s">
        <v>87</v>
      </c>
      <c r="G661" t="s">
        <v>60</v>
      </c>
      <c r="H661" t="s">
        <v>61</v>
      </c>
      <c r="I661">
        <v>4</v>
      </c>
      <c r="J661">
        <v>13.09</v>
      </c>
      <c r="K661">
        <v>4</v>
      </c>
      <c r="L661">
        <v>66.03</v>
      </c>
      <c r="M661">
        <v>43</v>
      </c>
      <c r="N661" t="s">
        <v>63</v>
      </c>
      <c r="O661">
        <v>15</v>
      </c>
      <c r="P661">
        <v>369</v>
      </c>
      <c r="Q661" s="27" t="str">
        <f>IF(D661=Pivot!$AS$4,R660, "")</f>
        <v/>
      </c>
      <c r="R661" t="s">
        <v>46</v>
      </c>
      <c r="S661" s="5">
        <v>4.07</v>
      </c>
      <c r="T661">
        <v>87.86</v>
      </c>
      <c r="U661">
        <v>47.32</v>
      </c>
      <c r="V661" s="27">
        <f t="shared" si="40"/>
        <v>209.44</v>
      </c>
      <c r="W661">
        <f t="shared" si="41"/>
        <v>113.35</v>
      </c>
      <c r="X661" s="33" t="str">
        <f t="shared" si="42"/>
        <v>Mid Quality</v>
      </c>
      <c r="Y661" s="27" t="str">
        <f t="shared" si="43"/>
        <v>14</v>
      </c>
    </row>
    <row r="662" spans="1:25" x14ac:dyDescent="0.25">
      <c r="A662" s="1">
        <v>45482</v>
      </c>
      <c r="B662" t="s">
        <v>20</v>
      </c>
      <c r="C662">
        <v>3</v>
      </c>
      <c r="D662" t="s">
        <v>88</v>
      </c>
      <c r="E662" t="s">
        <v>37</v>
      </c>
      <c r="F662" t="s">
        <v>81</v>
      </c>
      <c r="G662" t="s">
        <v>24</v>
      </c>
      <c r="H662" t="s">
        <v>48</v>
      </c>
      <c r="I662">
        <v>4</v>
      </c>
      <c r="J662">
        <v>4.13</v>
      </c>
      <c r="K662">
        <v>1</v>
      </c>
      <c r="L662">
        <v>274.08999999999997</v>
      </c>
      <c r="M662">
        <v>6</v>
      </c>
      <c r="N662" t="s">
        <v>63</v>
      </c>
      <c r="O662">
        <v>19</v>
      </c>
      <c r="P662">
        <v>837</v>
      </c>
      <c r="Q662" s="27" t="str">
        <f>IF(D662=Pivot!$AS$4,R661, "")</f>
        <v/>
      </c>
      <c r="R662" t="s">
        <v>34</v>
      </c>
      <c r="S662" s="5">
        <v>2.27</v>
      </c>
      <c r="T662">
        <v>91.46</v>
      </c>
      <c r="U662">
        <v>27.41</v>
      </c>
      <c r="V662" s="27">
        <f t="shared" si="40"/>
        <v>16.52</v>
      </c>
      <c r="W662">
        <f t="shared" si="41"/>
        <v>301.5</v>
      </c>
      <c r="X662" s="33" t="str">
        <f t="shared" si="42"/>
        <v>High Quality</v>
      </c>
      <c r="Y662" s="27" t="str">
        <f t="shared" si="43"/>
        <v>6</v>
      </c>
    </row>
    <row r="663" spans="1:25" x14ac:dyDescent="0.25">
      <c r="A663" s="1">
        <v>45529</v>
      </c>
      <c r="B663" t="s">
        <v>75</v>
      </c>
      <c r="C663">
        <v>1</v>
      </c>
      <c r="D663" t="s">
        <v>53</v>
      </c>
      <c r="E663" t="s">
        <v>37</v>
      </c>
      <c r="F663" t="s">
        <v>90</v>
      </c>
      <c r="G663" t="s">
        <v>52</v>
      </c>
      <c r="H663" t="s">
        <v>48</v>
      </c>
      <c r="I663">
        <v>5</v>
      </c>
      <c r="J663">
        <v>9.17</v>
      </c>
      <c r="K663">
        <v>9</v>
      </c>
      <c r="L663">
        <v>299.38</v>
      </c>
      <c r="M663">
        <v>43</v>
      </c>
      <c r="N663" t="s">
        <v>49</v>
      </c>
      <c r="O663">
        <v>22</v>
      </c>
      <c r="P663">
        <v>176</v>
      </c>
      <c r="Q663" s="27" t="str">
        <f>IF(D663=Pivot!$AS$4,R662, "")</f>
        <v/>
      </c>
      <c r="R663" t="s">
        <v>57</v>
      </c>
      <c r="S663" s="5">
        <v>12.5</v>
      </c>
      <c r="T663">
        <v>70</v>
      </c>
      <c r="U663">
        <v>214.56</v>
      </c>
      <c r="V663" s="27">
        <f t="shared" si="40"/>
        <v>412.65</v>
      </c>
      <c r="W663">
        <f t="shared" si="41"/>
        <v>513.94000000000005</v>
      </c>
      <c r="X663" s="33" t="str">
        <f t="shared" si="42"/>
        <v>Mid Quality</v>
      </c>
      <c r="Y663" s="27" t="str">
        <f t="shared" si="43"/>
        <v>10</v>
      </c>
    </row>
    <row r="664" spans="1:25" x14ac:dyDescent="0.25">
      <c r="A664" s="1">
        <v>45308</v>
      </c>
      <c r="B664" t="s">
        <v>75</v>
      </c>
      <c r="C664">
        <v>3</v>
      </c>
      <c r="D664" t="s">
        <v>91</v>
      </c>
      <c r="E664" t="s">
        <v>30</v>
      </c>
      <c r="F664" t="s">
        <v>89</v>
      </c>
      <c r="G664" t="s">
        <v>39</v>
      </c>
      <c r="H664" t="s">
        <v>25</v>
      </c>
      <c r="I664">
        <v>3</v>
      </c>
      <c r="J664">
        <v>6.46</v>
      </c>
      <c r="K664">
        <v>3</v>
      </c>
      <c r="L664">
        <v>301.48</v>
      </c>
      <c r="M664">
        <v>25</v>
      </c>
      <c r="N664" t="s">
        <v>63</v>
      </c>
      <c r="O664">
        <v>34</v>
      </c>
      <c r="P664">
        <v>834</v>
      </c>
      <c r="Q664" s="27" t="str">
        <f>IF(D664=Pivot!$AS$4,R663, "")</f>
        <v/>
      </c>
      <c r="R664" t="s">
        <v>34</v>
      </c>
      <c r="S664" s="5">
        <v>4.08</v>
      </c>
      <c r="T664">
        <v>88.84</v>
      </c>
      <c r="U664">
        <v>125.62</v>
      </c>
      <c r="V664" s="27">
        <f t="shared" si="40"/>
        <v>58.14</v>
      </c>
      <c r="W664">
        <f t="shared" si="41"/>
        <v>427.1</v>
      </c>
      <c r="X664" s="33" t="str">
        <f t="shared" si="42"/>
        <v>Mid Quality</v>
      </c>
      <c r="Y664" s="27" t="str">
        <f t="shared" si="43"/>
        <v>8</v>
      </c>
    </row>
    <row r="665" spans="1:25" x14ac:dyDescent="0.25">
      <c r="A665" s="1">
        <v>45461</v>
      </c>
      <c r="B665" t="s">
        <v>28</v>
      </c>
      <c r="C665">
        <v>2</v>
      </c>
      <c r="D665" t="s">
        <v>88</v>
      </c>
      <c r="E665" t="s">
        <v>37</v>
      </c>
      <c r="F665" t="s">
        <v>59</v>
      </c>
      <c r="G665" t="s">
        <v>52</v>
      </c>
      <c r="H665" t="s">
        <v>25</v>
      </c>
      <c r="I665">
        <v>2</v>
      </c>
      <c r="J665">
        <v>15</v>
      </c>
      <c r="K665">
        <v>4</v>
      </c>
      <c r="L665">
        <v>368.16</v>
      </c>
      <c r="M665">
        <v>44</v>
      </c>
      <c r="N665" t="s">
        <v>55</v>
      </c>
      <c r="O665">
        <v>17</v>
      </c>
      <c r="P665">
        <v>983</v>
      </c>
      <c r="Q665" s="27" t="str">
        <f>IF(D665=Pivot!$AS$4,R664, "")</f>
        <v/>
      </c>
      <c r="R665" t="s">
        <v>57</v>
      </c>
      <c r="S665" s="5">
        <v>1.73</v>
      </c>
      <c r="T665">
        <v>94.54</v>
      </c>
      <c r="U665">
        <v>269.98</v>
      </c>
      <c r="V665" s="27">
        <f t="shared" si="40"/>
        <v>120</v>
      </c>
      <c r="W665">
        <f t="shared" si="41"/>
        <v>638.1400000000001</v>
      </c>
      <c r="X665" s="33" t="str">
        <f t="shared" si="42"/>
        <v>Mid Quality</v>
      </c>
      <c r="Y665" s="27" t="str">
        <f t="shared" si="43"/>
        <v>16</v>
      </c>
    </row>
    <row r="666" spans="1:25" x14ac:dyDescent="0.25">
      <c r="A666" s="1">
        <v>45333</v>
      </c>
      <c r="B666" t="s">
        <v>20</v>
      </c>
      <c r="C666">
        <v>1</v>
      </c>
      <c r="D666" t="s">
        <v>36</v>
      </c>
      <c r="E666" t="s">
        <v>37</v>
      </c>
      <c r="F666" t="s">
        <v>38</v>
      </c>
      <c r="G666" t="s">
        <v>60</v>
      </c>
      <c r="H666" t="s">
        <v>40</v>
      </c>
      <c r="I666">
        <v>3</v>
      </c>
      <c r="J666">
        <v>9.61</v>
      </c>
      <c r="K666">
        <v>1</v>
      </c>
      <c r="L666">
        <v>129.87</v>
      </c>
      <c r="M666">
        <v>86</v>
      </c>
      <c r="N666" t="s">
        <v>41</v>
      </c>
      <c r="O666">
        <v>12</v>
      </c>
      <c r="P666">
        <v>266</v>
      </c>
      <c r="Q666" s="27" t="str">
        <f>IF(D666=Pivot!$AS$4,R665, "")</f>
        <v/>
      </c>
      <c r="R666" t="s">
        <v>57</v>
      </c>
      <c r="S666" s="5">
        <v>4.51</v>
      </c>
      <c r="T666">
        <v>87.98</v>
      </c>
      <c r="U666">
        <v>186.15</v>
      </c>
      <c r="V666" s="27">
        <f t="shared" si="40"/>
        <v>28.83</v>
      </c>
      <c r="W666">
        <f t="shared" si="41"/>
        <v>316.02</v>
      </c>
      <c r="X666" s="33" t="str">
        <f t="shared" si="42"/>
        <v>Mid Quality</v>
      </c>
      <c r="Y666" s="27" t="str">
        <f t="shared" si="43"/>
        <v>10</v>
      </c>
    </row>
    <row r="667" spans="1:25" x14ac:dyDescent="0.25">
      <c r="A667" s="1">
        <v>45366</v>
      </c>
      <c r="B667" t="s">
        <v>20</v>
      </c>
      <c r="C667">
        <v>3</v>
      </c>
      <c r="D667" t="s">
        <v>21</v>
      </c>
      <c r="E667" t="s">
        <v>51</v>
      </c>
      <c r="F667" t="s">
        <v>38</v>
      </c>
      <c r="G667" t="s">
        <v>32</v>
      </c>
      <c r="H667" t="s">
        <v>33</v>
      </c>
      <c r="I667">
        <v>5</v>
      </c>
      <c r="J667">
        <v>19.8</v>
      </c>
      <c r="K667">
        <v>4</v>
      </c>
      <c r="L667">
        <v>163.5</v>
      </c>
      <c r="M667">
        <v>58</v>
      </c>
      <c r="N667" t="s">
        <v>49</v>
      </c>
      <c r="O667">
        <v>25</v>
      </c>
      <c r="P667">
        <v>383</v>
      </c>
      <c r="Q667" s="27" t="str">
        <f>IF(D667=Pivot!$AS$4,R666, "")</f>
        <v/>
      </c>
      <c r="R667" t="s">
        <v>34</v>
      </c>
      <c r="S667" s="5">
        <v>6.53</v>
      </c>
      <c r="T667">
        <v>81.94</v>
      </c>
      <c r="U667">
        <v>158.05000000000001</v>
      </c>
      <c r="V667" s="27">
        <f t="shared" si="40"/>
        <v>396</v>
      </c>
      <c r="W667">
        <f t="shared" si="41"/>
        <v>321.55</v>
      </c>
      <c r="X667" s="33" t="str">
        <f t="shared" si="42"/>
        <v>Low Quality</v>
      </c>
      <c r="Y667" s="27" t="str">
        <f t="shared" si="43"/>
        <v>20</v>
      </c>
    </row>
    <row r="668" spans="1:25" x14ac:dyDescent="0.25">
      <c r="A668" s="1">
        <v>45320</v>
      </c>
      <c r="B668" t="s">
        <v>65</v>
      </c>
      <c r="C668">
        <v>1</v>
      </c>
      <c r="D668" t="s">
        <v>79</v>
      </c>
      <c r="E668" t="s">
        <v>22</v>
      </c>
      <c r="F668" t="s">
        <v>81</v>
      </c>
      <c r="G668" t="s">
        <v>39</v>
      </c>
      <c r="H668" t="s">
        <v>25</v>
      </c>
      <c r="I668">
        <v>4</v>
      </c>
      <c r="J668">
        <v>2.04</v>
      </c>
      <c r="K668">
        <v>1</v>
      </c>
      <c r="L668">
        <v>414.83</v>
      </c>
      <c r="M668">
        <v>16</v>
      </c>
      <c r="N668" t="s">
        <v>45</v>
      </c>
      <c r="O668">
        <v>17</v>
      </c>
      <c r="P668">
        <v>803</v>
      </c>
      <c r="Q668" s="27" t="str">
        <f>IF(D668=Pivot!$AS$4,R667, "")</f>
        <v/>
      </c>
      <c r="R668" t="s">
        <v>27</v>
      </c>
      <c r="S668" s="5">
        <v>2.12</v>
      </c>
      <c r="T668">
        <v>91.76</v>
      </c>
      <c r="U668">
        <v>110.62</v>
      </c>
      <c r="V668" s="27">
        <f t="shared" si="40"/>
        <v>8.16</v>
      </c>
      <c r="W668">
        <f t="shared" si="41"/>
        <v>525.45000000000005</v>
      </c>
      <c r="X668" s="33" t="str">
        <f t="shared" si="42"/>
        <v>High Quality</v>
      </c>
      <c r="Y668" s="27" t="str">
        <f t="shared" si="43"/>
        <v>4</v>
      </c>
    </row>
    <row r="669" spans="1:25" x14ac:dyDescent="0.25">
      <c r="A669" s="1">
        <v>45428</v>
      </c>
      <c r="B669" t="s">
        <v>20</v>
      </c>
      <c r="C669">
        <v>2</v>
      </c>
      <c r="D669" t="s">
        <v>83</v>
      </c>
      <c r="E669" t="s">
        <v>30</v>
      </c>
      <c r="F669" t="s">
        <v>84</v>
      </c>
      <c r="G669" t="s">
        <v>24</v>
      </c>
      <c r="H669" t="s">
        <v>33</v>
      </c>
      <c r="I669">
        <v>2</v>
      </c>
      <c r="J669">
        <v>7.75</v>
      </c>
      <c r="K669">
        <v>5</v>
      </c>
      <c r="L669">
        <v>476.23</v>
      </c>
      <c r="M669">
        <v>85</v>
      </c>
      <c r="N669" t="s">
        <v>63</v>
      </c>
      <c r="O669">
        <v>10</v>
      </c>
      <c r="P669">
        <v>188</v>
      </c>
      <c r="Q669" s="27" t="str">
        <f>IF(D669=Pivot!$AS$4,R668, "")</f>
        <v/>
      </c>
      <c r="R669" t="s">
        <v>42</v>
      </c>
      <c r="S669" s="5">
        <v>5.32</v>
      </c>
      <c r="T669">
        <v>87.36</v>
      </c>
      <c r="U669">
        <v>674.66</v>
      </c>
      <c r="V669" s="27">
        <f t="shared" si="40"/>
        <v>77.5</v>
      </c>
      <c r="W669">
        <f t="shared" si="41"/>
        <v>1150.8899999999999</v>
      </c>
      <c r="X669" s="33" t="str">
        <f t="shared" si="42"/>
        <v>Mid Quality</v>
      </c>
      <c r="Y669" s="27" t="str">
        <f t="shared" si="43"/>
        <v>8</v>
      </c>
    </row>
    <row r="670" spans="1:25" x14ac:dyDescent="0.25">
      <c r="A670" s="1">
        <v>45492</v>
      </c>
      <c r="B670" t="s">
        <v>35</v>
      </c>
      <c r="C670">
        <v>2</v>
      </c>
      <c r="D670" t="s">
        <v>66</v>
      </c>
      <c r="E670" t="s">
        <v>51</v>
      </c>
      <c r="F670" t="s">
        <v>86</v>
      </c>
      <c r="G670" t="s">
        <v>39</v>
      </c>
      <c r="H670" t="s">
        <v>25</v>
      </c>
      <c r="I670">
        <v>1</v>
      </c>
      <c r="J670">
        <v>10.16</v>
      </c>
      <c r="K670">
        <v>5</v>
      </c>
      <c r="L670">
        <v>111.17</v>
      </c>
      <c r="M670">
        <v>41</v>
      </c>
      <c r="N670" t="s">
        <v>41</v>
      </c>
      <c r="O670">
        <v>28</v>
      </c>
      <c r="P670">
        <v>643</v>
      </c>
      <c r="Q670" s="27" t="str">
        <f>IF(D670=Pivot!$AS$4,R669, "")</f>
        <v/>
      </c>
      <c r="R670" t="s">
        <v>27</v>
      </c>
      <c r="S670" s="5">
        <v>4.3499999999999996</v>
      </c>
      <c r="T670">
        <v>90.3</v>
      </c>
      <c r="U670">
        <v>75.97</v>
      </c>
      <c r="V670" s="27">
        <f t="shared" si="40"/>
        <v>50.8</v>
      </c>
      <c r="W670">
        <f t="shared" si="41"/>
        <v>187.14</v>
      </c>
      <c r="X670" s="33" t="str">
        <f t="shared" si="42"/>
        <v>Mid Quality</v>
      </c>
      <c r="Y670" s="27" t="str">
        <f t="shared" si="43"/>
        <v>12</v>
      </c>
    </row>
    <row r="671" spans="1:25" x14ac:dyDescent="0.25">
      <c r="A671" s="1">
        <v>45328</v>
      </c>
      <c r="B671" t="s">
        <v>28</v>
      </c>
      <c r="C671">
        <v>3</v>
      </c>
      <c r="D671" t="s">
        <v>43</v>
      </c>
      <c r="E671" t="s">
        <v>22</v>
      </c>
      <c r="F671" t="s">
        <v>56</v>
      </c>
      <c r="G671" t="s">
        <v>24</v>
      </c>
      <c r="H671" t="s">
        <v>61</v>
      </c>
      <c r="I671">
        <v>1</v>
      </c>
      <c r="J671">
        <v>10.56</v>
      </c>
      <c r="K671">
        <v>7</v>
      </c>
      <c r="L671">
        <v>273.94</v>
      </c>
      <c r="M671">
        <v>42</v>
      </c>
      <c r="N671" t="s">
        <v>41</v>
      </c>
      <c r="O671">
        <v>18</v>
      </c>
      <c r="P671">
        <v>748</v>
      </c>
      <c r="Q671" s="27" t="str">
        <f>IF(D671=Pivot!$AS$4,R670, "")</f>
        <v/>
      </c>
      <c r="R671" t="s">
        <v>42</v>
      </c>
      <c r="S671" s="5">
        <v>2.41</v>
      </c>
      <c r="T671">
        <v>94.18</v>
      </c>
      <c r="U671">
        <v>191.76</v>
      </c>
      <c r="V671" s="27">
        <f t="shared" si="40"/>
        <v>73.92</v>
      </c>
      <c r="W671">
        <f t="shared" si="41"/>
        <v>465.7</v>
      </c>
      <c r="X671" s="33" t="str">
        <f t="shared" si="42"/>
        <v>Mid Quality</v>
      </c>
      <c r="Y671" s="27" t="str">
        <f t="shared" si="43"/>
        <v>12</v>
      </c>
    </row>
    <row r="672" spans="1:25" x14ac:dyDescent="0.25">
      <c r="A672" s="1">
        <v>45570</v>
      </c>
      <c r="B672" t="s">
        <v>20</v>
      </c>
      <c r="C672">
        <v>2</v>
      </c>
      <c r="D672" t="s">
        <v>76</v>
      </c>
      <c r="E672" t="s">
        <v>51</v>
      </c>
      <c r="F672" t="s">
        <v>68</v>
      </c>
      <c r="G672" t="s">
        <v>39</v>
      </c>
      <c r="H672" t="s">
        <v>61</v>
      </c>
      <c r="I672">
        <v>3</v>
      </c>
      <c r="J672">
        <v>7</v>
      </c>
      <c r="K672">
        <v>8</v>
      </c>
      <c r="L672">
        <v>146.38</v>
      </c>
      <c r="M672">
        <v>19</v>
      </c>
      <c r="N672" t="s">
        <v>49</v>
      </c>
      <c r="O672">
        <v>18</v>
      </c>
      <c r="P672">
        <v>255</v>
      </c>
      <c r="Q672" s="27" t="str">
        <f>IF(D672=Pivot!$AS$4,R671, "")</f>
        <v/>
      </c>
      <c r="R672" t="s">
        <v>46</v>
      </c>
      <c r="S672" s="5">
        <v>7.06</v>
      </c>
      <c r="T672">
        <v>82.88</v>
      </c>
      <c r="U672">
        <v>46.35</v>
      </c>
      <c r="V672" s="27">
        <f t="shared" si="40"/>
        <v>168</v>
      </c>
      <c r="W672">
        <f t="shared" si="41"/>
        <v>192.73</v>
      </c>
      <c r="X672" s="33" t="str">
        <f t="shared" si="42"/>
        <v>Mid Quality</v>
      </c>
      <c r="Y672" s="27" t="str">
        <f t="shared" si="43"/>
        <v>8</v>
      </c>
    </row>
    <row r="673" spans="1:25" x14ac:dyDescent="0.25">
      <c r="A673" s="1">
        <v>45532</v>
      </c>
      <c r="B673" t="s">
        <v>65</v>
      </c>
      <c r="C673">
        <v>1</v>
      </c>
      <c r="D673" t="s">
        <v>66</v>
      </c>
      <c r="E673" t="s">
        <v>51</v>
      </c>
      <c r="F673" t="s">
        <v>62</v>
      </c>
      <c r="G673" t="s">
        <v>24</v>
      </c>
      <c r="H673" t="s">
        <v>40</v>
      </c>
      <c r="I673">
        <v>4</v>
      </c>
      <c r="J673">
        <v>14.86</v>
      </c>
      <c r="K673">
        <v>4</v>
      </c>
      <c r="L673">
        <v>77.03</v>
      </c>
      <c r="M673">
        <v>11</v>
      </c>
      <c r="N673" t="s">
        <v>45</v>
      </c>
      <c r="O673">
        <v>45</v>
      </c>
      <c r="P673">
        <v>349</v>
      </c>
      <c r="Q673" s="27" t="str">
        <f>IF(D673=Pivot!$AS$4,R672, "")</f>
        <v/>
      </c>
      <c r="R673" t="s">
        <v>57</v>
      </c>
      <c r="S673" s="5">
        <v>12.89</v>
      </c>
      <c r="T673">
        <v>70.22</v>
      </c>
      <c r="U673">
        <v>14.12</v>
      </c>
      <c r="V673" s="27">
        <f t="shared" si="40"/>
        <v>237.76</v>
      </c>
      <c r="W673">
        <f t="shared" si="41"/>
        <v>91.15</v>
      </c>
      <c r="X673" s="33" t="str">
        <f t="shared" si="42"/>
        <v>Mid Quality</v>
      </c>
      <c r="Y673" s="27" t="str">
        <f t="shared" si="43"/>
        <v>16</v>
      </c>
    </row>
    <row r="674" spans="1:25" x14ac:dyDescent="0.25">
      <c r="A674" s="1">
        <v>45384</v>
      </c>
      <c r="B674" t="s">
        <v>35</v>
      </c>
      <c r="C674">
        <v>2</v>
      </c>
      <c r="D674" t="s">
        <v>29</v>
      </c>
      <c r="E674" t="s">
        <v>37</v>
      </c>
      <c r="F674" t="s">
        <v>69</v>
      </c>
      <c r="G674" t="s">
        <v>24</v>
      </c>
      <c r="H674" t="s">
        <v>40</v>
      </c>
      <c r="I674">
        <v>1</v>
      </c>
      <c r="J674">
        <v>17.62</v>
      </c>
      <c r="K674">
        <v>7</v>
      </c>
      <c r="L674">
        <v>196.48</v>
      </c>
      <c r="M674">
        <v>82</v>
      </c>
      <c r="N674" t="s">
        <v>26</v>
      </c>
      <c r="O674">
        <v>32</v>
      </c>
      <c r="P674">
        <v>194</v>
      </c>
      <c r="Q674" s="27" t="str">
        <f>IF(D674=Pivot!$AS$4,R673, "")</f>
        <v/>
      </c>
      <c r="R674" t="s">
        <v>34</v>
      </c>
      <c r="S674" s="5">
        <v>16.489999999999998</v>
      </c>
      <c r="T674">
        <v>66.02</v>
      </c>
      <c r="U674">
        <v>268.52</v>
      </c>
      <c r="V674" s="27">
        <f t="shared" si="40"/>
        <v>123.34</v>
      </c>
      <c r="W674">
        <f t="shared" si="41"/>
        <v>465</v>
      </c>
      <c r="X674" s="33" t="str">
        <f t="shared" si="42"/>
        <v>Low Quality</v>
      </c>
      <c r="Y674" s="27" t="str">
        <f t="shared" si="43"/>
        <v>18</v>
      </c>
    </row>
    <row r="675" spans="1:25" x14ac:dyDescent="0.25">
      <c r="A675" s="1">
        <v>45390</v>
      </c>
      <c r="B675" t="s">
        <v>50</v>
      </c>
      <c r="C675">
        <v>1</v>
      </c>
      <c r="D675" t="s">
        <v>43</v>
      </c>
      <c r="E675" t="s">
        <v>22</v>
      </c>
      <c r="F675" t="s">
        <v>73</v>
      </c>
      <c r="G675" t="s">
        <v>39</v>
      </c>
      <c r="H675" t="s">
        <v>33</v>
      </c>
      <c r="I675">
        <v>3</v>
      </c>
      <c r="J675">
        <v>18.84</v>
      </c>
      <c r="K675">
        <v>4</v>
      </c>
      <c r="L675">
        <v>114.66</v>
      </c>
      <c r="M675">
        <v>54</v>
      </c>
      <c r="N675" t="s">
        <v>55</v>
      </c>
      <c r="O675">
        <v>14</v>
      </c>
      <c r="P675">
        <v>116</v>
      </c>
      <c r="Q675" s="27" t="str">
        <f>IF(D675=Pivot!$AS$4,R674, "")</f>
        <v/>
      </c>
      <c r="R675" t="s">
        <v>46</v>
      </c>
      <c r="S675" s="5">
        <v>12.07</v>
      </c>
      <c r="T675">
        <v>72.86</v>
      </c>
      <c r="U675">
        <v>103.19</v>
      </c>
      <c r="V675" s="27">
        <f t="shared" si="40"/>
        <v>226.07999999999998</v>
      </c>
      <c r="W675">
        <f t="shared" si="41"/>
        <v>217.85</v>
      </c>
      <c r="X675" s="33" t="str">
        <f t="shared" si="42"/>
        <v>Low Quality</v>
      </c>
      <c r="Y675" s="27" t="str">
        <f t="shared" si="43"/>
        <v>20</v>
      </c>
    </row>
    <row r="676" spans="1:25" x14ac:dyDescent="0.25">
      <c r="A676" s="1">
        <v>45420</v>
      </c>
      <c r="B676" t="s">
        <v>50</v>
      </c>
      <c r="C676">
        <v>1</v>
      </c>
      <c r="D676" t="s">
        <v>85</v>
      </c>
      <c r="E676" t="s">
        <v>30</v>
      </c>
      <c r="F676" t="s">
        <v>89</v>
      </c>
      <c r="G676" t="s">
        <v>39</v>
      </c>
      <c r="H676" t="s">
        <v>25</v>
      </c>
      <c r="I676">
        <v>5</v>
      </c>
      <c r="J676">
        <v>16.3</v>
      </c>
      <c r="K676">
        <v>3</v>
      </c>
      <c r="L676">
        <v>369.47</v>
      </c>
      <c r="M676">
        <v>69</v>
      </c>
      <c r="N676" t="s">
        <v>26</v>
      </c>
      <c r="O676">
        <v>16</v>
      </c>
      <c r="P676">
        <v>216</v>
      </c>
      <c r="Q676" s="27" t="str">
        <f>IF(D676=Pivot!$AS$4,R675, "")</f>
        <v/>
      </c>
      <c r="R676" t="s">
        <v>42</v>
      </c>
      <c r="S676" s="5">
        <v>7.41</v>
      </c>
      <c r="T676">
        <v>80.180000000000007</v>
      </c>
      <c r="U676">
        <v>424.89</v>
      </c>
      <c r="V676" s="27">
        <f t="shared" si="40"/>
        <v>244.5</v>
      </c>
      <c r="W676">
        <f t="shared" si="41"/>
        <v>794.36</v>
      </c>
      <c r="X676" s="33" t="str">
        <f t="shared" si="42"/>
        <v>Low Quality</v>
      </c>
      <c r="Y676" s="27" t="str">
        <f t="shared" si="43"/>
        <v>18</v>
      </c>
    </row>
    <row r="677" spans="1:25" x14ac:dyDescent="0.25">
      <c r="A677" s="1">
        <v>45487</v>
      </c>
      <c r="B677" t="s">
        <v>35</v>
      </c>
      <c r="C677">
        <v>2</v>
      </c>
      <c r="D677" t="s">
        <v>85</v>
      </c>
      <c r="E677" t="s">
        <v>30</v>
      </c>
      <c r="F677" t="s">
        <v>90</v>
      </c>
      <c r="G677" t="s">
        <v>24</v>
      </c>
      <c r="H677" t="s">
        <v>48</v>
      </c>
      <c r="I677">
        <v>3</v>
      </c>
      <c r="J677">
        <v>17.16</v>
      </c>
      <c r="K677">
        <v>6</v>
      </c>
      <c r="L677">
        <v>290.18</v>
      </c>
      <c r="M677">
        <v>71</v>
      </c>
      <c r="N677" t="s">
        <v>41</v>
      </c>
      <c r="O677">
        <v>18</v>
      </c>
      <c r="P677">
        <v>432</v>
      </c>
      <c r="Q677" s="27" t="str">
        <f>IF(D677=Pivot!$AS$4,R676, "")</f>
        <v/>
      </c>
      <c r="R677" t="s">
        <v>27</v>
      </c>
      <c r="S677" s="5">
        <v>4.17</v>
      </c>
      <c r="T677">
        <v>88.66</v>
      </c>
      <c r="U677">
        <v>343.38</v>
      </c>
      <c r="V677" s="27">
        <f t="shared" si="40"/>
        <v>308.88</v>
      </c>
      <c r="W677">
        <f t="shared" si="41"/>
        <v>633.55999999999995</v>
      </c>
      <c r="X677" s="33" t="str">
        <f t="shared" si="42"/>
        <v>Low Quality</v>
      </c>
      <c r="Y677" s="27" t="str">
        <f t="shared" si="43"/>
        <v>18</v>
      </c>
    </row>
    <row r="678" spans="1:25" x14ac:dyDescent="0.25">
      <c r="A678" s="1">
        <v>45298</v>
      </c>
      <c r="B678" t="s">
        <v>65</v>
      </c>
      <c r="C678">
        <v>3</v>
      </c>
      <c r="D678" t="s">
        <v>47</v>
      </c>
      <c r="E678" t="s">
        <v>22</v>
      </c>
      <c r="F678" t="s">
        <v>90</v>
      </c>
      <c r="G678" t="s">
        <v>60</v>
      </c>
      <c r="H678" t="s">
        <v>40</v>
      </c>
      <c r="I678">
        <v>3</v>
      </c>
      <c r="J678">
        <v>11.46</v>
      </c>
      <c r="K678">
        <v>4</v>
      </c>
      <c r="L678">
        <v>114.73</v>
      </c>
      <c r="M678">
        <v>48</v>
      </c>
      <c r="N678" t="s">
        <v>26</v>
      </c>
      <c r="O678">
        <v>16</v>
      </c>
      <c r="P678">
        <v>922</v>
      </c>
      <c r="Q678" s="27" t="str">
        <f>IF(D678=Pivot!$AS$4,R677, "")</f>
        <v/>
      </c>
      <c r="R678" t="s">
        <v>34</v>
      </c>
      <c r="S678" s="5">
        <v>1.74</v>
      </c>
      <c r="T678">
        <v>93.52</v>
      </c>
      <c r="U678">
        <v>91.78</v>
      </c>
      <c r="V678" s="27">
        <f t="shared" si="40"/>
        <v>137.52000000000001</v>
      </c>
      <c r="W678">
        <f t="shared" si="41"/>
        <v>206.51</v>
      </c>
      <c r="X678" s="33" t="str">
        <f t="shared" si="42"/>
        <v>Mid Quality</v>
      </c>
      <c r="Y678" s="27" t="str">
        <f t="shared" si="43"/>
        <v>12</v>
      </c>
    </row>
    <row r="679" spans="1:25" x14ac:dyDescent="0.25">
      <c r="A679" s="1">
        <v>45354</v>
      </c>
      <c r="B679" t="s">
        <v>35</v>
      </c>
      <c r="C679">
        <v>2</v>
      </c>
      <c r="D679" t="s">
        <v>58</v>
      </c>
      <c r="E679" t="s">
        <v>37</v>
      </c>
      <c r="F679" t="s">
        <v>86</v>
      </c>
      <c r="G679" t="s">
        <v>39</v>
      </c>
      <c r="H679" t="s">
        <v>48</v>
      </c>
      <c r="I679">
        <v>3</v>
      </c>
      <c r="J679">
        <v>16.690000000000001</v>
      </c>
      <c r="K679">
        <v>3</v>
      </c>
      <c r="L679">
        <v>54.16</v>
      </c>
      <c r="M679">
        <v>35</v>
      </c>
      <c r="N679" t="s">
        <v>41</v>
      </c>
      <c r="O679">
        <v>17</v>
      </c>
      <c r="P679">
        <v>621</v>
      </c>
      <c r="Q679" s="27" t="str">
        <f>IF(D679=Pivot!$AS$4,R678, "")</f>
        <v/>
      </c>
      <c r="R679" t="s">
        <v>57</v>
      </c>
      <c r="S679" s="5">
        <v>2.74</v>
      </c>
      <c r="T679">
        <v>91.52</v>
      </c>
      <c r="U679">
        <v>31.59</v>
      </c>
      <c r="V679" s="27">
        <f t="shared" si="40"/>
        <v>150.21</v>
      </c>
      <c r="W679">
        <f t="shared" si="41"/>
        <v>85.75</v>
      </c>
      <c r="X679" s="33" t="str">
        <f t="shared" si="42"/>
        <v>Low Quality</v>
      </c>
      <c r="Y679" s="27" t="str">
        <f t="shared" si="43"/>
        <v>18</v>
      </c>
    </row>
    <row r="680" spans="1:25" x14ac:dyDescent="0.25">
      <c r="A680" s="1">
        <v>45419</v>
      </c>
      <c r="B680" t="s">
        <v>28</v>
      </c>
      <c r="C680">
        <v>1</v>
      </c>
      <c r="D680" t="s">
        <v>29</v>
      </c>
      <c r="E680" t="s">
        <v>67</v>
      </c>
      <c r="F680" t="s">
        <v>86</v>
      </c>
      <c r="G680" t="s">
        <v>52</v>
      </c>
      <c r="H680" t="s">
        <v>48</v>
      </c>
      <c r="I680">
        <v>2</v>
      </c>
      <c r="J680">
        <v>6.77</v>
      </c>
      <c r="K680">
        <v>9</v>
      </c>
      <c r="L680">
        <v>413.67</v>
      </c>
      <c r="M680">
        <v>47</v>
      </c>
      <c r="N680" t="s">
        <v>26</v>
      </c>
      <c r="O680">
        <v>7</v>
      </c>
      <c r="P680">
        <v>179</v>
      </c>
      <c r="Q680" s="27" t="str">
        <f>IF(D680=Pivot!$AS$4,R679, "")</f>
        <v/>
      </c>
      <c r="R680" t="s">
        <v>46</v>
      </c>
      <c r="S680" s="5">
        <v>3.91</v>
      </c>
      <c r="T680">
        <v>90.18</v>
      </c>
      <c r="U680">
        <v>324.04000000000002</v>
      </c>
      <c r="V680" s="27">
        <f t="shared" si="40"/>
        <v>121.85999999999999</v>
      </c>
      <c r="W680">
        <f t="shared" si="41"/>
        <v>737.71</v>
      </c>
      <c r="X680" s="33" t="str">
        <f t="shared" si="42"/>
        <v>Mid Quality</v>
      </c>
      <c r="Y680" s="27" t="str">
        <f t="shared" si="43"/>
        <v>8</v>
      </c>
    </row>
    <row r="681" spans="1:25" x14ac:dyDescent="0.25">
      <c r="A681" s="1">
        <v>45489</v>
      </c>
      <c r="B681" t="s">
        <v>28</v>
      </c>
      <c r="C681">
        <v>1</v>
      </c>
      <c r="D681" t="s">
        <v>83</v>
      </c>
      <c r="E681" t="s">
        <v>51</v>
      </c>
      <c r="F681" t="s">
        <v>90</v>
      </c>
      <c r="G681" t="s">
        <v>32</v>
      </c>
      <c r="H681" t="s">
        <v>25</v>
      </c>
      <c r="I681">
        <v>3</v>
      </c>
      <c r="J681">
        <v>8.57</v>
      </c>
      <c r="K681">
        <v>5</v>
      </c>
      <c r="L681">
        <v>129.29</v>
      </c>
      <c r="M681">
        <v>81</v>
      </c>
      <c r="N681" t="s">
        <v>41</v>
      </c>
      <c r="O681">
        <v>12</v>
      </c>
      <c r="P681">
        <v>745</v>
      </c>
      <c r="Q681" s="27" t="str">
        <f>IF(D681=Pivot!$AS$4,R680, "")</f>
        <v/>
      </c>
      <c r="R681" t="s">
        <v>57</v>
      </c>
      <c r="S681" s="5">
        <v>1.61</v>
      </c>
      <c r="T681">
        <v>93.78</v>
      </c>
      <c r="U681">
        <v>174.54</v>
      </c>
      <c r="V681" s="27">
        <f t="shared" si="40"/>
        <v>128.55000000000001</v>
      </c>
      <c r="W681">
        <f t="shared" si="41"/>
        <v>303.83</v>
      </c>
      <c r="X681" s="33" t="str">
        <f t="shared" si="42"/>
        <v>Mid Quality</v>
      </c>
      <c r="Y681" s="27" t="str">
        <f t="shared" si="43"/>
        <v>10</v>
      </c>
    </row>
    <row r="682" spans="1:25" x14ac:dyDescent="0.25">
      <c r="A682" s="1">
        <v>45518</v>
      </c>
      <c r="B682" t="s">
        <v>50</v>
      </c>
      <c r="C682">
        <v>2</v>
      </c>
      <c r="D682" t="s">
        <v>77</v>
      </c>
      <c r="E682" t="s">
        <v>37</v>
      </c>
      <c r="F682" t="s">
        <v>84</v>
      </c>
      <c r="G682" t="s">
        <v>24</v>
      </c>
      <c r="H682" t="s">
        <v>33</v>
      </c>
      <c r="I682">
        <v>3</v>
      </c>
      <c r="J682">
        <v>7.02</v>
      </c>
      <c r="K682">
        <v>7</v>
      </c>
      <c r="L682">
        <v>322.8</v>
      </c>
      <c r="M682">
        <v>52</v>
      </c>
      <c r="N682" t="s">
        <v>41</v>
      </c>
      <c r="O682">
        <v>34</v>
      </c>
      <c r="P682">
        <v>531</v>
      </c>
      <c r="Q682" s="27" t="str">
        <f>IF(D682=Pivot!$AS$4,R681, "")</f>
        <v/>
      </c>
      <c r="R682" t="s">
        <v>42</v>
      </c>
      <c r="S682" s="5">
        <v>6.4</v>
      </c>
      <c r="T682">
        <v>84.2</v>
      </c>
      <c r="U682">
        <v>279.76</v>
      </c>
      <c r="V682" s="27">
        <f t="shared" si="40"/>
        <v>147.41999999999999</v>
      </c>
      <c r="W682">
        <f t="shared" si="41"/>
        <v>602.55999999999995</v>
      </c>
      <c r="X682" s="33" t="str">
        <f t="shared" si="42"/>
        <v>Mid Quality</v>
      </c>
      <c r="Y682" s="27" t="str">
        <f t="shared" si="43"/>
        <v>8</v>
      </c>
    </row>
    <row r="683" spans="1:25" x14ac:dyDescent="0.25">
      <c r="A683" s="1">
        <v>45418</v>
      </c>
      <c r="B683" t="s">
        <v>20</v>
      </c>
      <c r="C683">
        <v>3</v>
      </c>
      <c r="D683" t="s">
        <v>82</v>
      </c>
      <c r="E683" t="s">
        <v>22</v>
      </c>
      <c r="F683" t="s">
        <v>38</v>
      </c>
      <c r="G683" t="s">
        <v>24</v>
      </c>
      <c r="H683" t="s">
        <v>25</v>
      </c>
      <c r="I683">
        <v>2</v>
      </c>
      <c r="J683">
        <v>9.8800000000000008</v>
      </c>
      <c r="K683">
        <v>6</v>
      </c>
      <c r="L683">
        <v>201.61</v>
      </c>
      <c r="M683">
        <v>86</v>
      </c>
      <c r="N683" t="s">
        <v>49</v>
      </c>
      <c r="O683">
        <v>10</v>
      </c>
      <c r="P683">
        <v>302</v>
      </c>
      <c r="Q683" s="27" t="str">
        <f>IF(D683=Pivot!$AS$4,R682, "")</f>
        <v/>
      </c>
      <c r="R683" t="s">
        <v>57</v>
      </c>
      <c r="S683" s="5">
        <v>3.31</v>
      </c>
      <c r="T683">
        <v>91.38</v>
      </c>
      <c r="U683">
        <v>288.97000000000003</v>
      </c>
      <c r="V683" s="27">
        <f t="shared" si="40"/>
        <v>118.56</v>
      </c>
      <c r="W683">
        <f t="shared" si="41"/>
        <v>490.58000000000004</v>
      </c>
      <c r="X683" s="33" t="str">
        <f t="shared" si="42"/>
        <v>Mid Quality</v>
      </c>
      <c r="Y683" s="27" t="str">
        <f t="shared" si="43"/>
        <v>10</v>
      </c>
    </row>
    <row r="684" spans="1:25" x14ac:dyDescent="0.25">
      <c r="A684" s="1">
        <v>45309</v>
      </c>
      <c r="B684" t="s">
        <v>65</v>
      </c>
      <c r="C684">
        <v>3</v>
      </c>
      <c r="D684" t="s">
        <v>83</v>
      </c>
      <c r="E684" t="s">
        <v>51</v>
      </c>
      <c r="F684" t="s">
        <v>72</v>
      </c>
      <c r="G684" t="s">
        <v>32</v>
      </c>
      <c r="H684" t="s">
        <v>40</v>
      </c>
      <c r="I684">
        <v>2</v>
      </c>
      <c r="J684">
        <v>6.43</v>
      </c>
      <c r="K684">
        <v>5</v>
      </c>
      <c r="L684">
        <v>313.47000000000003</v>
      </c>
      <c r="M684">
        <v>85</v>
      </c>
      <c r="N684" t="s">
        <v>45</v>
      </c>
      <c r="O684">
        <v>5</v>
      </c>
      <c r="P684">
        <v>215</v>
      </c>
      <c r="Q684" s="27" t="str">
        <f>IF(D684=Pivot!$AS$4,R683, "")</f>
        <v/>
      </c>
      <c r="R684" t="s">
        <v>27</v>
      </c>
      <c r="S684" s="5">
        <v>2.33</v>
      </c>
      <c r="T684">
        <v>93.34</v>
      </c>
      <c r="U684">
        <v>444.08</v>
      </c>
      <c r="V684" s="27">
        <f t="shared" si="40"/>
        <v>64.3</v>
      </c>
      <c r="W684">
        <f t="shared" si="41"/>
        <v>757.55</v>
      </c>
      <c r="X684" s="33" t="str">
        <f t="shared" si="42"/>
        <v>Mid Quality</v>
      </c>
      <c r="Y684" s="27" t="str">
        <f t="shared" si="43"/>
        <v>8</v>
      </c>
    </row>
    <row r="685" spans="1:25" x14ac:dyDescent="0.25">
      <c r="A685" s="1">
        <v>45393</v>
      </c>
      <c r="B685" t="s">
        <v>50</v>
      </c>
      <c r="C685">
        <v>1</v>
      </c>
      <c r="D685" t="s">
        <v>47</v>
      </c>
      <c r="E685" t="s">
        <v>30</v>
      </c>
      <c r="F685" t="s">
        <v>72</v>
      </c>
      <c r="G685" t="s">
        <v>60</v>
      </c>
      <c r="H685" t="s">
        <v>48</v>
      </c>
      <c r="I685">
        <v>5</v>
      </c>
      <c r="J685">
        <v>19.27</v>
      </c>
      <c r="K685">
        <v>7</v>
      </c>
      <c r="L685">
        <v>192.04</v>
      </c>
      <c r="M685">
        <v>85</v>
      </c>
      <c r="N685" t="s">
        <v>41</v>
      </c>
      <c r="O685">
        <v>21</v>
      </c>
      <c r="P685">
        <v>319</v>
      </c>
      <c r="Q685" s="27" t="str">
        <f>IF(D685=Pivot!$AS$4,R684, "")</f>
        <v/>
      </c>
      <c r="R685" t="s">
        <v>46</v>
      </c>
      <c r="S685" s="5">
        <v>6.58</v>
      </c>
      <c r="T685">
        <v>81.84</v>
      </c>
      <c r="U685">
        <v>272.06</v>
      </c>
      <c r="V685" s="27">
        <f t="shared" si="40"/>
        <v>674.44999999999993</v>
      </c>
      <c r="W685">
        <f t="shared" si="41"/>
        <v>464.1</v>
      </c>
      <c r="X685" s="33" t="str">
        <f t="shared" si="42"/>
        <v>Low Quality</v>
      </c>
      <c r="Y685" s="27" t="str">
        <f t="shared" si="43"/>
        <v>20</v>
      </c>
    </row>
    <row r="686" spans="1:25" x14ac:dyDescent="0.25">
      <c r="A686" s="1">
        <v>45527</v>
      </c>
      <c r="B686" t="s">
        <v>20</v>
      </c>
      <c r="C686">
        <v>1</v>
      </c>
      <c r="D686" t="s">
        <v>76</v>
      </c>
      <c r="E686" t="s">
        <v>67</v>
      </c>
      <c r="F686" t="s">
        <v>62</v>
      </c>
      <c r="G686" t="s">
        <v>32</v>
      </c>
      <c r="H686" t="s">
        <v>25</v>
      </c>
      <c r="I686">
        <v>4</v>
      </c>
      <c r="J686">
        <v>6.94</v>
      </c>
      <c r="K686">
        <v>6</v>
      </c>
      <c r="L686">
        <v>89.12</v>
      </c>
      <c r="M686">
        <v>65</v>
      </c>
      <c r="N686" t="s">
        <v>55</v>
      </c>
      <c r="O686">
        <v>3</v>
      </c>
      <c r="P686">
        <v>352</v>
      </c>
      <c r="Q686" s="27" t="str">
        <f>IF(D686=Pivot!$AS$4,R685, "")</f>
        <v/>
      </c>
      <c r="R686" t="s">
        <v>46</v>
      </c>
      <c r="S686" s="5">
        <v>0.85</v>
      </c>
      <c r="T686">
        <v>94.3</v>
      </c>
      <c r="U686">
        <v>96.55</v>
      </c>
      <c r="V686" s="27">
        <f t="shared" si="40"/>
        <v>166.56</v>
      </c>
      <c r="W686">
        <f t="shared" si="41"/>
        <v>185.67000000000002</v>
      </c>
      <c r="X686" s="33" t="str">
        <f t="shared" si="42"/>
        <v>Mid Quality</v>
      </c>
      <c r="Y686" s="27" t="str">
        <f t="shared" si="43"/>
        <v>8</v>
      </c>
    </row>
    <row r="687" spans="1:25" x14ac:dyDescent="0.25">
      <c r="A687" s="1">
        <v>45340</v>
      </c>
      <c r="B687" t="s">
        <v>20</v>
      </c>
      <c r="C687">
        <v>3</v>
      </c>
      <c r="D687" t="s">
        <v>79</v>
      </c>
      <c r="E687" t="s">
        <v>30</v>
      </c>
      <c r="F687" t="s">
        <v>81</v>
      </c>
      <c r="G687" t="s">
        <v>39</v>
      </c>
      <c r="H687" t="s">
        <v>25</v>
      </c>
      <c r="I687">
        <v>1</v>
      </c>
      <c r="J687">
        <v>2.86</v>
      </c>
      <c r="K687">
        <v>2</v>
      </c>
      <c r="L687">
        <v>150.33000000000001</v>
      </c>
      <c r="M687">
        <v>79</v>
      </c>
      <c r="N687" t="s">
        <v>55</v>
      </c>
      <c r="O687">
        <v>19</v>
      </c>
      <c r="P687">
        <v>268</v>
      </c>
      <c r="Q687" s="27" t="str">
        <f>IF(D687=Pivot!$AS$4,R686, "")</f>
        <v/>
      </c>
      <c r="R687" t="s">
        <v>27</v>
      </c>
      <c r="S687" s="5">
        <v>7.09</v>
      </c>
      <c r="T687">
        <v>84.82</v>
      </c>
      <c r="U687">
        <v>197.93</v>
      </c>
      <c r="V687" s="27">
        <f t="shared" si="40"/>
        <v>5.72</v>
      </c>
      <c r="W687">
        <f t="shared" si="41"/>
        <v>348.26</v>
      </c>
      <c r="X687" s="33" t="str">
        <f t="shared" si="42"/>
        <v>High Quality</v>
      </c>
      <c r="Y687" s="27" t="str">
        <f t="shared" si="43"/>
        <v>4</v>
      </c>
    </row>
    <row r="688" spans="1:25" x14ac:dyDescent="0.25">
      <c r="A688" s="1">
        <v>45558</v>
      </c>
      <c r="B688" t="s">
        <v>28</v>
      </c>
      <c r="C688">
        <v>2</v>
      </c>
      <c r="D688" t="s">
        <v>43</v>
      </c>
      <c r="E688" t="s">
        <v>22</v>
      </c>
      <c r="F688" t="s">
        <v>44</v>
      </c>
      <c r="G688" t="s">
        <v>32</v>
      </c>
      <c r="H688" t="s">
        <v>25</v>
      </c>
      <c r="I688">
        <v>1</v>
      </c>
      <c r="J688">
        <v>11.01</v>
      </c>
      <c r="K688">
        <v>3</v>
      </c>
      <c r="L688">
        <v>134.63</v>
      </c>
      <c r="M688">
        <v>88</v>
      </c>
      <c r="N688" t="s">
        <v>63</v>
      </c>
      <c r="O688">
        <v>45</v>
      </c>
      <c r="P688">
        <v>946</v>
      </c>
      <c r="Q688" s="27" t="str">
        <f>IF(D688=Pivot!$AS$4,R687, "")</f>
        <v/>
      </c>
      <c r="R688" t="s">
        <v>57</v>
      </c>
      <c r="S688" s="5">
        <v>4.76</v>
      </c>
      <c r="T688">
        <v>89.48</v>
      </c>
      <c r="U688">
        <v>197.46</v>
      </c>
      <c r="V688" s="27">
        <f t="shared" si="40"/>
        <v>33.03</v>
      </c>
      <c r="W688">
        <f t="shared" si="41"/>
        <v>332.09000000000003</v>
      </c>
      <c r="X688" s="33" t="str">
        <f t="shared" si="42"/>
        <v>Mid Quality</v>
      </c>
      <c r="Y688" s="27" t="str">
        <f t="shared" si="43"/>
        <v>12</v>
      </c>
    </row>
    <row r="689" spans="1:25" x14ac:dyDescent="0.25">
      <c r="A689" s="1">
        <v>45398</v>
      </c>
      <c r="B689" t="s">
        <v>75</v>
      </c>
      <c r="C689">
        <v>1</v>
      </c>
      <c r="D689" t="s">
        <v>53</v>
      </c>
      <c r="E689" t="s">
        <v>51</v>
      </c>
      <c r="F689" t="s">
        <v>78</v>
      </c>
      <c r="G689" t="s">
        <v>24</v>
      </c>
      <c r="H689" t="s">
        <v>40</v>
      </c>
      <c r="I689">
        <v>3</v>
      </c>
      <c r="J689">
        <v>2.08</v>
      </c>
      <c r="K689">
        <v>2</v>
      </c>
      <c r="L689">
        <v>242.61</v>
      </c>
      <c r="M689">
        <v>14</v>
      </c>
      <c r="N689" t="s">
        <v>41</v>
      </c>
      <c r="O689">
        <v>44</v>
      </c>
      <c r="P689">
        <v>415</v>
      </c>
      <c r="Q689" s="27" t="str">
        <f>IF(D689=Pivot!$AS$4,R688, "")</f>
        <v/>
      </c>
      <c r="R689" t="s">
        <v>27</v>
      </c>
      <c r="S689" s="5">
        <v>10.6</v>
      </c>
      <c r="T689">
        <v>75.8</v>
      </c>
      <c r="U689">
        <v>56.61</v>
      </c>
      <c r="V689" s="27">
        <f t="shared" si="40"/>
        <v>12.48</v>
      </c>
      <c r="W689">
        <f t="shared" si="41"/>
        <v>299.22000000000003</v>
      </c>
      <c r="X689" s="33" t="str">
        <f t="shared" si="42"/>
        <v>High Quality</v>
      </c>
      <c r="Y689" s="27" t="str">
        <f t="shared" si="43"/>
        <v>4</v>
      </c>
    </row>
    <row r="690" spans="1:25" x14ac:dyDescent="0.25">
      <c r="A690" s="1">
        <v>45534</v>
      </c>
      <c r="B690" t="s">
        <v>75</v>
      </c>
      <c r="C690">
        <v>1</v>
      </c>
      <c r="D690" t="s">
        <v>66</v>
      </c>
      <c r="E690" t="s">
        <v>22</v>
      </c>
      <c r="F690" t="s">
        <v>56</v>
      </c>
      <c r="G690" t="s">
        <v>32</v>
      </c>
      <c r="H690" t="s">
        <v>33</v>
      </c>
      <c r="I690">
        <v>5</v>
      </c>
      <c r="J690">
        <v>3.1</v>
      </c>
      <c r="K690">
        <v>3</v>
      </c>
      <c r="L690">
        <v>346.23</v>
      </c>
      <c r="M690">
        <v>33</v>
      </c>
      <c r="N690" t="s">
        <v>41</v>
      </c>
      <c r="O690">
        <v>35</v>
      </c>
      <c r="P690">
        <v>816</v>
      </c>
      <c r="Q690" s="27" t="str">
        <f>IF(D690=Pivot!$AS$4,R689, "")</f>
        <v/>
      </c>
      <c r="R690" t="s">
        <v>34</v>
      </c>
      <c r="S690" s="5">
        <v>4.29</v>
      </c>
      <c r="T690">
        <v>86.42</v>
      </c>
      <c r="U690">
        <v>190.43</v>
      </c>
      <c r="V690" s="27">
        <f t="shared" si="40"/>
        <v>46.5</v>
      </c>
      <c r="W690">
        <f t="shared" si="41"/>
        <v>536.66000000000008</v>
      </c>
      <c r="X690" s="33" t="str">
        <f t="shared" si="42"/>
        <v>High Quality</v>
      </c>
      <c r="Y690" s="27" t="str">
        <f t="shared" si="43"/>
        <v>4</v>
      </c>
    </row>
    <row r="691" spans="1:25" x14ac:dyDescent="0.25">
      <c r="A691" s="1">
        <v>45491</v>
      </c>
      <c r="B691" t="s">
        <v>35</v>
      </c>
      <c r="C691">
        <v>3</v>
      </c>
      <c r="D691" t="s">
        <v>29</v>
      </c>
      <c r="E691" t="s">
        <v>51</v>
      </c>
      <c r="F691" t="s">
        <v>44</v>
      </c>
      <c r="G691" t="s">
        <v>52</v>
      </c>
      <c r="H691" t="s">
        <v>25</v>
      </c>
      <c r="I691">
        <v>3</v>
      </c>
      <c r="J691">
        <v>5.17</v>
      </c>
      <c r="K691">
        <v>1</v>
      </c>
      <c r="L691">
        <v>168.71</v>
      </c>
      <c r="M691">
        <v>52</v>
      </c>
      <c r="N691" t="s">
        <v>41</v>
      </c>
      <c r="O691">
        <v>6</v>
      </c>
      <c r="P691">
        <v>909</v>
      </c>
      <c r="Q691" s="27" t="str">
        <f>IF(D691=Pivot!$AS$4,R690, "")</f>
        <v/>
      </c>
      <c r="R691" t="s">
        <v>27</v>
      </c>
      <c r="S691" s="5">
        <v>0.66</v>
      </c>
      <c r="T691">
        <v>95.68</v>
      </c>
      <c r="U691">
        <v>146.22</v>
      </c>
      <c r="V691" s="27">
        <f t="shared" si="40"/>
        <v>15.51</v>
      </c>
      <c r="W691">
        <f t="shared" si="41"/>
        <v>314.93</v>
      </c>
      <c r="X691" s="33" t="str">
        <f t="shared" si="42"/>
        <v>High Quality</v>
      </c>
      <c r="Y691" s="27" t="str">
        <f t="shared" si="43"/>
        <v>6</v>
      </c>
    </row>
    <row r="692" spans="1:25" x14ac:dyDescent="0.25">
      <c r="A692" s="1">
        <v>45451</v>
      </c>
      <c r="B692" t="s">
        <v>28</v>
      </c>
      <c r="C692">
        <v>2</v>
      </c>
      <c r="D692" t="s">
        <v>66</v>
      </c>
      <c r="E692" t="s">
        <v>37</v>
      </c>
      <c r="F692" t="s">
        <v>23</v>
      </c>
      <c r="G692" t="s">
        <v>39</v>
      </c>
      <c r="H692" t="s">
        <v>40</v>
      </c>
      <c r="I692">
        <v>1</v>
      </c>
      <c r="J692">
        <v>9.82</v>
      </c>
      <c r="K692">
        <v>8</v>
      </c>
      <c r="L692">
        <v>55.43</v>
      </c>
      <c r="M692">
        <v>85</v>
      </c>
      <c r="N692" t="s">
        <v>26</v>
      </c>
      <c r="O692">
        <v>14</v>
      </c>
      <c r="P692">
        <v>471</v>
      </c>
      <c r="Q692" s="27" t="str">
        <f>IF(D692=Pivot!$AS$4,R691, "")</f>
        <v/>
      </c>
      <c r="R692" t="s">
        <v>57</v>
      </c>
      <c r="S692" s="5">
        <v>2.97</v>
      </c>
      <c r="T692">
        <v>93.06</v>
      </c>
      <c r="U692">
        <v>78.53</v>
      </c>
      <c r="V692" s="27">
        <f t="shared" si="40"/>
        <v>78.56</v>
      </c>
      <c r="W692">
        <f t="shared" si="41"/>
        <v>133.96</v>
      </c>
      <c r="X692" s="33" t="str">
        <f t="shared" si="42"/>
        <v>Mid Quality</v>
      </c>
      <c r="Y692" s="27" t="str">
        <f t="shared" si="43"/>
        <v>10</v>
      </c>
    </row>
    <row r="693" spans="1:25" x14ac:dyDescent="0.25">
      <c r="A693" s="1">
        <v>45457</v>
      </c>
      <c r="B693" t="s">
        <v>20</v>
      </c>
      <c r="C693">
        <v>3</v>
      </c>
      <c r="D693" t="s">
        <v>29</v>
      </c>
      <c r="E693" t="s">
        <v>67</v>
      </c>
      <c r="F693" t="s">
        <v>54</v>
      </c>
      <c r="G693" t="s">
        <v>32</v>
      </c>
      <c r="H693" t="s">
        <v>48</v>
      </c>
      <c r="I693">
        <v>2</v>
      </c>
      <c r="J693">
        <v>9.23</v>
      </c>
      <c r="K693">
        <v>6</v>
      </c>
      <c r="L693">
        <v>283.52</v>
      </c>
      <c r="M693">
        <v>66</v>
      </c>
      <c r="N693" t="s">
        <v>41</v>
      </c>
      <c r="O693">
        <v>4</v>
      </c>
      <c r="P693">
        <v>859</v>
      </c>
      <c r="Q693" s="27" t="str">
        <f>IF(D693=Pivot!$AS$4,R692, "")</f>
        <v/>
      </c>
      <c r="R693" t="s">
        <v>27</v>
      </c>
      <c r="S693" s="5">
        <v>0.47</v>
      </c>
      <c r="T693">
        <v>97.06</v>
      </c>
      <c r="U693">
        <v>311.87</v>
      </c>
      <c r="V693" s="27">
        <f t="shared" si="40"/>
        <v>110.76</v>
      </c>
      <c r="W693">
        <f t="shared" si="41"/>
        <v>595.39</v>
      </c>
      <c r="X693" s="33" t="str">
        <f t="shared" si="42"/>
        <v>Mid Quality</v>
      </c>
      <c r="Y693" s="27" t="str">
        <f t="shared" si="43"/>
        <v>10</v>
      </c>
    </row>
    <row r="694" spans="1:25" x14ac:dyDescent="0.25">
      <c r="A694" s="1">
        <v>45373</v>
      </c>
      <c r="B694" t="s">
        <v>65</v>
      </c>
      <c r="C694">
        <v>2</v>
      </c>
      <c r="D694" t="s">
        <v>82</v>
      </c>
      <c r="E694" t="s">
        <v>37</v>
      </c>
      <c r="F694" t="s">
        <v>84</v>
      </c>
      <c r="G694" t="s">
        <v>24</v>
      </c>
      <c r="H694" t="s">
        <v>61</v>
      </c>
      <c r="I694">
        <v>4</v>
      </c>
      <c r="J694">
        <v>16.190000000000001</v>
      </c>
      <c r="K694">
        <v>2</v>
      </c>
      <c r="L694">
        <v>322.58999999999997</v>
      </c>
      <c r="M694">
        <v>17</v>
      </c>
      <c r="N694" t="s">
        <v>41</v>
      </c>
      <c r="O694">
        <v>45</v>
      </c>
      <c r="P694">
        <v>976</v>
      </c>
      <c r="Q694" s="27" t="str">
        <f>IF(D694=Pivot!$AS$4,R693, "")</f>
        <v/>
      </c>
      <c r="R694" t="s">
        <v>42</v>
      </c>
      <c r="S694" s="5">
        <v>4.6100000000000003</v>
      </c>
      <c r="T694">
        <v>86.78</v>
      </c>
      <c r="U694">
        <v>91.4</v>
      </c>
      <c r="V694" s="27">
        <f t="shared" si="40"/>
        <v>129.52000000000001</v>
      </c>
      <c r="W694">
        <f t="shared" si="41"/>
        <v>413.99</v>
      </c>
      <c r="X694" s="33" t="str">
        <f t="shared" si="42"/>
        <v>Low Quality</v>
      </c>
      <c r="Y694" s="27" t="str">
        <f t="shared" si="43"/>
        <v>18</v>
      </c>
    </row>
    <row r="695" spans="1:25" x14ac:dyDescent="0.25">
      <c r="A695" s="1">
        <v>45313</v>
      </c>
      <c r="B695" t="s">
        <v>75</v>
      </c>
      <c r="C695">
        <v>2</v>
      </c>
      <c r="D695" t="s">
        <v>47</v>
      </c>
      <c r="E695" t="s">
        <v>37</v>
      </c>
      <c r="F695" t="s">
        <v>86</v>
      </c>
      <c r="G695" t="s">
        <v>39</v>
      </c>
      <c r="H695" t="s">
        <v>40</v>
      </c>
      <c r="I695">
        <v>5</v>
      </c>
      <c r="J695">
        <v>15.05</v>
      </c>
      <c r="K695">
        <v>8</v>
      </c>
      <c r="L695">
        <v>483.29</v>
      </c>
      <c r="M695">
        <v>48</v>
      </c>
      <c r="N695" t="s">
        <v>55</v>
      </c>
      <c r="O695">
        <v>18</v>
      </c>
      <c r="P695">
        <v>682</v>
      </c>
      <c r="Q695" s="27" t="str">
        <f>IF(D695=Pivot!$AS$4,R694, "")</f>
        <v/>
      </c>
      <c r="R695" t="s">
        <v>27</v>
      </c>
      <c r="S695" s="5">
        <v>2.64</v>
      </c>
      <c r="T695">
        <v>89.72</v>
      </c>
      <c r="U695">
        <v>386.63</v>
      </c>
      <c r="V695" s="27">
        <f t="shared" si="40"/>
        <v>602</v>
      </c>
      <c r="W695">
        <f t="shared" si="41"/>
        <v>869.92000000000007</v>
      </c>
      <c r="X695" s="33" t="str">
        <f t="shared" si="42"/>
        <v>Low Quality</v>
      </c>
      <c r="Y695" s="27" t="str">
        <f t="shared" si="43"/>
        <v>16</v>
      </c>
    </row>
    <row r="696" spans="1:25" x14ac:dyDescent="0.25">
      <c r="A696" s="1">
        <v>45573</v>
      </c>
      <c r="B696" t="s">
        <v>20</v>
      </c>
      <c r="C696">
        <v>2</v>
      </c>
      <c r="D696" t="s">
        <v>36</v>
      </c>
      <c r="E696" t="s">
        <v>22</v>
      </c>
      <c r="F696" t="s">
        <v>23</v>
      </c>
      <c r="G696" t="s">
        <v>24</v>
      </c>
      <c r="H696" t="s">
        <v>61</v>
      </c>
      <c r="I696">
        <v>2</v>
      </c>
      <c r="J696">
        <v>9.1</v>
      </c>
      <c r="K696">
        <v>6</v>
      </c>
      <c r="L696">
        <v>315.26</v>
      </c>
      <c r="M696">
        <v>51</v>
      </c>
      <c r="N696" t="s">
        <v>45</v>
      </c>
      <c r="O696">
        <v>29</v>
      </c>
      <c r="P696">
        <v>255</v>
      </c>
      <c r="Q696" s="27" t="str">
        <f>IF(D696=Pivot!$AS$4,R695, "")</f>
        <v/>
      </c>
      <c r="R696" t="s">
        <v>27</v>
      </c>
      <c r="S696" s="5">
        <v>11.37</v>
      </c>
      <c r="T696">
        <v>75.260000000000005</v>
      </c>
      <c r="U696">
        <v>267.97000000000003</v>
      </c>
      <c r="V696" s="27">
        <f t="shared" si="40"/>
        <v>109.19999999999999</v>
      </c>
      <c r="W696">
        <f t="shared" si="41"/>
        <v>583.23</v>
      </c>
      <c r="X696" s="33" t="str">
        <f t="shared" si="42"/>
        <v>Mid Quality</v>
      </c>
      <c r="Y696" s="27" t="str">
        <f t="shared" si="43"/>
        <v>10</v>
      </c>
    </row>
    <row r="697" spans="1:25" x14ac:dyDescent="0.25">
      <c r="A697" s="1">
        <v>45558</v>
      </c>
      <c r="B697" t="s">
        <v>75</v>
      </c>
      <c r="C697">
        <v>1</v>
      </c>
      <c r="D697" t="s">
        <v>36</v>
      </c>
      <c r="E697" t="s">
        <v>67</v>
      </c>
      <c r="F697" t="s">
        <v>68</v>
      </c>
      <c r="G697" t="s">
        <v>60</v>
      </c>
      <c r="H697" t="s">
        <v>25</v>
      </c>
      <c r="I697">
        <v>4</v>
      </c>
      <c r="J697">
        <v>7.34</v>
      </c>
      <c r="K697">
        <v>7</v>
      </c>
      <c r="L697">
        <v>262.02999999999997</v>
      </c>
      <c r="M697">
        <v>68</v>
      </c>
      <c r="N697" t="s">
        <v>45</v>
      </c>
      <c r="O697">
        <v>35</v>
      </c>
      <c r="P697">
        <v>713</v>
      </c>
      <c r="Q697" s="27" t="str">
        <f>IF(D697=Pivot!$AS$4,R696, "")</f>
        <v/>
      </c>
      <c r="R697" t="s">
        <v>57</v>
      </c>
      <c r="S697" s="5">
        <v>4.91</v>
      </c>
      <c r="T697">
        <v>86.18</v>
      </c>
      <c r="U697">
        <v>296.97000000000003</v>
      </c>
      <c r="V697" s="27">
        <f t="shared" si="40"/>
        <v>205.51999999999998</v>
      </c>
      <c r="W697">
        <f t="shared" si="41"/>
        <v>559</v>
      </c>
      <c r="X697" s="33" t="str">
        <f t="shared" si="42"/>
        <v>Mid Quality</v>
      </c>
      <c r="Y697" s="27" t="str">
        <f t="shared" si="43"/>
        <v>8</v>
      </c>
    </row>
    <row r="698" spans="1:25" x14ac:dyDescent="0.25">
      <c r="A698" s="1">
        <v>45354</v>
      </c>
      <c r="B698" t="s">
        <v>75</v>
      </c>
      <c r="C698">
        <v>3</v>
      </c>
      <c r="D698" t="s">
        <v>53</v>
      </c>
      <c r="E698" t="s">
        <v>51</v>
      </c>
      <c r="F698" t="s">
        <v>89</v>
      </c>
      <c r="G698" t="s">
        <v>52</v>
      </c>
      <c r="H698" t="s">
        <v>25</v>
      </c>
      <c r="I698">
        <v>5</v>
      </c>
      <c r="J698">
        <v>7.01</v>
      </c>
      <c r="K698">
        <v>1</v>
      </c>
      <c r="L698">
        <v>308.02999999999997</v>
      </c>
      <c r="M698">
        <v>57</v>
      </c>
      <c r="N698" t="s">
        <v>63</v>
      </c>
      <c r="O698">
        <v>38</v>
      </c>
      <c r="P698">
        <v>112</v>
      </c>
      <c r="Q698" s="27" t="str">
        <f>IF(D698=Pivot!$AS$4,R697, "")</f>
        <v/>
      </c>
      <c r="R698" t="s">
        <v>34</v>
      </c>
      <c r="S698" s="5">
        <v>33.93</v>
      </c>
      <c r="T698">
        <v>27.14</v>
      </c>
      <c r="U698">
        <v>292.63</v>
      </c>
      <c r="V698" s="27">
        <f t="shared" si="40"/>
        <v>35.049999999999997</v>
      </c>
      <c r="W698">
        <f t="shared" si="41"/>
        <v>600.66</v>
      </c>
      <c r="X698" s="33" t="str">
        <f t="shared" si="42"/>
        <v>Mid Quality</v>
      </c>
      <c r="Y698" s="27" t="str">
        <f t="shared" si="43"/>
        <v>8</v>
      </c>
    </row>
    <row r="699" spans="1:25" x14ac:dyDescent="0.25">
      <c r="A699" s="1">
        <v>45421</v>
      </c>
      <c r="B699" t="s">
        <v>75</v>
      </c>
      <c r="C699">
        <v>3</v>
      </c>
      <c r="D699" t="s">
        <v>43</v>
      </c>
      <c r="E699" t="s">
        <v>51</v>
      </c>
      <c r="F699" t="s">
        <v>89</v>
      </c>
      <c r="G699" t="s">
        <v>60</v>
      </c>
      <c r="H699" t="s">
        <v>40</v>
      </c>
      <c r="I699">
        <v>5</v>
      </c>
      <c r="J699">
        <v>15.71</v>
      </c>
      <c r="K699">
        <v>7</v>
      </c>
      <c r="L699">
        <v>467.56</v>
      </c>
      <c r="M699">
        <v>81</v>
      </c>
      <c r="N699" t="s">
        <v>55</v>
      </c>
      <c r="O699">
        <v>16</v>
      </c>
      <c r="P699">
        <v>607</v>
      </c>
      <c r="Q699" s="27" t="str">
        <f>IF(D699=Pivot!$AS$4,R698, "")</f>
        <v/>
      </c>
      <c r="R699" t="s">
        <v>34</v>
      </c>
      <c r="S699" s="5">
        <v>2.64</v>
      </c>
      <c r="T699">
        <v>89.72</v>
      </c>
      <c r="U699">
        <v>631.21</v>
      </c>
      <c r="V699" s="27">
        <f t="shared" si="40"/>
        <v>549.85</v>
      </c>
      <c r="W699">
        <f t="shared" si="41"/>
        <v>1098.77</v>
      </c>
      <c r="X699" s="33" t="str">
        <f t="shared" si="42"/>
        <v>Low Quality</v>
      </c>
      <c r="Y699" s="27" t="str">
        <f t="shared" si="43"/>
        <v>16</v>
      </c>
    </row>
    <row r="700" spans="1:25" x14ac:dyDescent="0.25">
      <c r="A700" s="1">
        <v>45538</v>
      </c>
      <c r="B700" t="s">
        <v>65</v>
      </c>
      <c r="C700">
        <v>2</v>
      </c>
      <c r="D700" t="s">
        <v>88</v>
      </c>
      <c r="E700" t="s">
        <v>30</v>
      </c>
      <c r="F700" t="s">
        <v>86</v>
      </c>
      <c r="G700" t="s">
        <v>52</v>
      </c>
      <c r="H700" t="s">
        <v>61</v>
      </c>
      <c r="I700">
        <v>1</v>
      </c>
      <c r="J700">
        <v>1.99</v>
      </c>
      <c r="K700">
        <v>3</v>
      </c>
      <c r="L700">
        <v>422.77</v>
      </c>
      <c r="M700">
        <v>80</v>
      </c>
      <c r="N700" t="s">
        <v>41</v>
      </c>
      <c r="O700">
        <v>20</v>
      </c>
      <c r="P700">
        <v>564</v>
      </c>
      <c r="Q700" s="27" t="str">
        <f>IF(D700=Pivot!$AS$4,R699, "")</f>
        <v/>
      </c>
      <c r="R700" t="s">
        <v>57</v>
      </c>
      <c r="S700" s="5">
        <v>3.55</v>
      </c>
      <c r="T700">
        <v>91.9</v>
      </c>
      <c r="U700">
        <v>563.69000000000005</v>
      </c>
      <c r="V700" s="27">
        <f t="shared" si="40"/>
        <v>5.97</v>
      </c>
      <c r="W700">
        <f t="shared" si="41"/>
        <v>986.46</v>
      </c>
      <c r="X700" s="33" t="str">
        <f t="shared" si="42"/>
        <v>High Quality</v>
      </c>
      <c r="Y700" s="27" t="str">
        <f t="shared" si="43"/>
        <v>2</v>
      </c>
    </row>
    <row r="701" spans="1:25" x14ac:dyDescent="0.25">
      <c r="A701" s="1">
        <v>45444</v>
      </c>
      <c r="B701" t="s">
        <v>28</v>
      </c>
      <c r="C701">
        <v>1</v>
      </c>
      <c r="D701" t="s">
        <v>79</v>
      </c>
      <c r="E701" t="s">
        <v>51</v>
      </c>
      <c r="F701" t="s">
        <v>69</v>
      </c>
      <c r="G701" t="s">
        <v>32</v>
      </c>
      <c r="H701" t="s">
        <v>25</v>
      </c>
      <c r="I701">
        <v>2</v>
      </c>
      <c r="J701">
        <v>1.24</v>
      </c>
      <c r="K701">
        <v>8</v>
      </c>
      <c r="L701">
        <v>195.34</v>
      </c>
      <c r="M701">
        <v>48</v>
      </c>
      <c r="N701" t="s">
        <v>45</v>
      </c>
      <c r="O701">
        <v>24</v>
      </c>
      <c r="P701">
        <v>882</v>
      </c>
      <c r="Q701" s="27" t="str">
        <f>IF(D701=Pivot!$AS$4,R700, "")</f>
        <v/>
      </c>
      <c r="R701" t="s">
        <v>57</v>
      </c>
      <c r="S701" s="5">
        <v>2.72</v>
      </c>
      <c r="T701">
        <v>92.56</v>
      </c>
      <c r="U701">
        <v>156.27000000000001</v>
      </c>
      <c r="V701" s="27">
        <f t="shared" si="40"/>
        <v>19.84</v>
      </c>
      <c r="W701">
        <f t="shared" si="41"/>
        <v>351.61</v>
      </c>
      <c r="X701" s="33" t="str">
        <f t="shared" si="42"/>
        <v>High Quality</v>
      </c>
      <c r="Y701" s="27" t="str">
        <f t="shared" si="43"/>
        <v>2</v>
      </c>
    </row>
    <row r="702" spans="1:25" x14ac:dyDescent="0.25">
      <c r="A702" s="1">
        <v>45393</v>
      </c>
      <c r="B702" t="s">
        <v>65</v>
      </c>
      <c r="C702">
        <v>1</v>
      </c>
      <c r="D702" t="s">
        <v>85</v>
      </c>
      <c r="E702" t="s">
        <v>22</v>
      </c>
      <c r="F702" t="s">
        <v>86</v>
      </c>
      <c r="G702" t="s">
        <v>39</v>
      </c>
      <c r="H702" t="s">
        <v>48</v>
      </c>
      <c r="I702">
        <v>5</v>
      </c>
      <c r="J702">
        <v>16.12</v>
      </c>
      <c r="K702">
        <v>6</v>
      </c>
      <c r="L702">
        <v>156.76</v>
      </c>
      <c r="M702">
        <v>32</v>
      </c>
      <c r="N702" t="s">
        <v>49</v>
      </c>
      <c r="O702">
        <v>35</v>
      </c>
      <c r="P702">
        <v>903</v>
      </c>
      <c r="Q702" s="27" t="str">
        <f>IF(D702=Pivot!$AS$4,R701, "")</f>
        <v/>
      </c>
      <c r="R702" t="s">
        <v>57</v>
      </c>
      <c r="S702" s="5">
        <v>3.88</v>
      </c>
      <c r="T702">
        <v>87.24</v>
      </c>
      <c r="U702">
        <v>83.61</v>
      </c>
      <c r="V702" s="27">
        <f t="shared" si="40"/>
        <v>483.6</v>
      </c>
      <c r="W702">
        <f t="shared" si="41"/>
        <v>240.37</v>
      </c>
      <c r="X702" s="33" t="str">
        <f t="shared" si="42"/>
        <v>Low Quality</v>
      </c>
      <c r="Y702" s="27" t="str">
        <f t="shared" si="43"/>
        <v>18</v>
      </c>
    </row>
    <row r="703" spans="1:25" x14ac:dyDescent="0.25">
      <c r="A703" s="1">
        <v>45476</v>
      </c>
      <c r="B703" t="s">
        <v>50</v>
      </c>
      <c r="C703">
        <v>3</v>
      </c>
      <c r="D703" t="s">
        <v>43</v>
      </c>
      <c r="E703" t="s">
        <v>37</v>
      </c>
      <c r="F703" t="s">
        <v>87</v>
      </c>
      <c r="G703" t="s">
        <v>32</v>
      </c>
      <c r="H703" t="s">
        <v>33</v>
      </c>
      <c r="I703">
        <v>5</v>
      </c>
      <c r="J703">
        <v>10.07</v>
      </c>
      <c r="K703">
        <v>4</v>
      </c>
      <c r="L703">
        <v>168.19</v>
      </c>
      <c r="M703">
        <v>6</v>
      </c>
      <c r="N703" t="s">
        <v>49</v>
      </c>
      <c r="O703">
        <v>44</v>
      </c>
      <c r="P703">
        <v>319</v>
      </c>
      <c r="Q703" s="27" t="str">
        <f>IF(D703=Pivot!$AS$4,R702, "")</f>
        <v/>
      </c>
      <c r="R703" t="s">
        <v>42</v>
      </c>
      <c r="S703" s="5">
        <v>13.79</v>
      </c>
      <c r="T703">
        <v>67.42</v>
      </c>
      <c r="U703">
        <v>16.82</v>
      </c>
      <c r="V703" s="27">
        <f t="shared" si="40"/>
        <v>201.4</v>
      </c>
      <c r="W703">
        <f t="shared" si="41"/>
        <v>185.01</v>
      </c>
      <c r="X703" s="33" t="str">
        <f t="shared" si="42"/>
        <v>Mid Quality</v>
      </c>
      <c r="Y703" s="27" t="str">
        <f t="shared" si="43"/>
        <v>12</v>
      </c>
    </row>
    <row r="704" spans="1:25" x14ac:dyDescent="0.25">
      <c r="A704" s="1">
        <v>45318</v>
      </c>
      <c r="B704" t="s">
        <v>20</v>
      </c>
      <c r="C704">
        <v>1</v>
      </c>
      <c r="D704" t="s">
        <v>79</v>
      </c>
      <c r="E704" t="s">
        <v>37</v>
      </c>
      <c r="F704" t="s">
        <v>44</v>
      </c>
      <c r="G704" t="s">
        <v>52</v>
      </c>
      <c r="H704" t="s">
        <v>33</v>
      </c>
      <c r="I704">
        <v>4</v>
      </c>
      <c r="J704">
        <v>3.49</v>
      </c>
      <c r="K704">
        <v>8</v>
      </c>
      <c r="L704">
        <v>276.99</v>
      </c>
      <c r="M704">
        <v>61</v>
      </c>
      <c r="N704" t="s">
        <v>49</v>
      </c>
      <c r="O704">
        <v>19</v>
      </c>
      <c r="P704">
        <v>114</v>
      </c>
      <c r="Q704" s="27" t="str">
        <f>IF(D704=Pivot!$AS$4,R703, "")</f>
        <v/>
      </c>
      <c r="R704" t="s">
        <v>46</v>
      </c>
      <c r="S704" s="5">
        <v>16.670000000000002</v>
      </c>
      <c r="T704">
        <v>62.66</v>
      </c>
      <c r="U704">
        <v>281.61</v>
      </c>
      <c r="V704" s="27">
        <f t="shared" si="40"/>
        <v>111.68</v>
      </c>
      <c r="W704">
        <f t="shared" si="41"/>
        <v>558.6</v>
      </c>
      <c r="X704" s="33" t="str">
        <f t="shared" si="42"/>
        <v>High Quality</v>
      </c>
      <c r="Y704" s="27" t="str">
        <f t="shared" si="43"/>
        <v>4</v>
      </c>
    </row>
    <row r="705" spans="1:25" x14ac:dyDescent="0.25">
      <c r="A705" s="1">
        <v>45403</v>
      </c>
      <c r="B705" t="s">
        <v>28</v>
      </c>
      <c r="C705">
        <v>1</v>
      </c>
      <c r="D705" t="s">
        <v>58</v>
      </c>
      <c r="E705" t="s">
        <v>37</v>
      </c>
      <c r="F705" t="s">
        <v>90</v>
      </c>
      <c r="G705" t="s">
        <v>52</v>
      </c>
      <c r="H705" t="s">
        <v>25</v>
      </c>
      <c r="I705">
        <v>1</v>
      </c>
      <c r="J705">
        <v>5.48</v>
      </c>
      <c r="K705">
        <v>9</v>
      </c>
      <c r="L705">
        <v>384.82</v>
      </c>
      <c r="M705">
        <v>61</v>
      </c>
      <c r="N705" t="s">
        <v>41</v>
      </c>
      <c r="O705">
        <v>4</v>
      </c>
      <c r="P705">
        <v>849</v>
      </c>
      <c r="Q705" s="27" t="str">
        <f>IF(D705=Pivot!$AS$4,R704, "")</f>
        <v/>
      </c>
      <c r="R705" t="s">
        <v>27</v>
      </c>
      <c r="S705" s="5">
        <v>0.47</v>
      </c>
      <c r="T705">
        <v>98.06</v>
      </c>
      <c r="U705">
        <v>391.23</v>
      </c>
      <c r="V705" s="27">
        <f t="shared" si="40"/>
        <v>49.320000000000007</v>
      </c>
      <c r="W705">
        <f t="shared" si="41"/>
        <v>776.05</v>
      </c>
      <c r="X705" s="33" t="str">
        <f t="shared" si="42"/>
        <v>High Quality</v>
      </c>
      <c r="Y705" s="27" t="str">
        <f t="shared" si="43"/>
        <v>6</v>
      </c>
    </row>
    <row r="706" spans="1:25" x14ac:dyDescent="0.25">
      <c r="A706" s="1">
        <v>45349</v>
      </c>
      <c r="B706" t="s">
        <v>28</v>
      </c>
      <c r="C706">
        <v>2</v>
      </c>
      <c r="D706" t="s">
        <v>47</v>
      </c>
      <c r="E706" t="s">
        <v>67</v>
      </c>
      <c r="F706" t="s">
        <v>23</v>
      </c>
      <c r="G706" t="s">
        <v>52</v>
      </c>
      <c r="H706" t="s">
        <v>61</v>
      </c>
      <c r="I706">
        <v>3</v>
      </c>
      <c r="J706">
        <v>18.72</v>
      </c>
      <c r="K706">
        <v>2</v>
      </c>
      <c r="L706">
        <v>276.45</v>
      </c>
      <c r="M706">
        <v>38</v>
      </c>
      <c r="N706" t="s">
        <v>41</v>
      </c>
      <c r="O706">
        <v>33</v>
      </c>
      <c r="P706">
        <v>216</v>
      </c>
      <c r="Q706" s="27" t="str">
        <f>IF(D706=Pivot!$AS$4,R705, "")</f>
        <v/>
      </c>
      <c r="R706" t="s">
        <v>57</v>
      </c>
      <c r="S706" s="5">
        <v>15.28</v>
      </c>
      <c r="T706">
        <v>66.44</v>
      </c>
      <c r="U706">
        <v>175.08</v>
      </c>
      <c r="V706" s="27">
        <f t="shared" ref="V706:V769" si="44">K706*I706*J706</f>
        <v>112.32</v>
      </c>
      <c r="W706">
        <f t="shared" ref="W706:W769" si="45">U706+L706</f>
        <v>451.53</v>
      </c>
      <c r="X706" s="33" t="str">
        <f t="shared" ref="X706:X769" si="46">_xlfn.IFS(J706&lt;6,"High Quality",J706&lt;=15,"Mid Quality",J706&gt;15,"Low Quality")</f>
        <v>Low Quality</v>
      </c>
      <c r="Y706" s="27" t="str">
        <f t="shared" ref="Y706:Y769" si="47">_xlfn.IFS(J706&lt;=0,"0",J706&lt;=2,"2",J706&lt;=4,"4",J706&lt;=6,"6",J706&lt;=8,"8",J706&lt;=10,"10",J706&lt;=12,"12",J706&lt;=14,"14",J706&lt;=16,"16",J706&lt;=16,"16",J706&lt;=18,"18",J706&lt;=20,"20")</f>
        <v>20</v>
      </c>
    </row>
    <row r="707" spans="1:25" x14ac:dyDescent="0.25">
      <c r="A707" s="1">
        <v>45412</v>
      </c>
      <c r="B707" t="s">
        <v>28</v>
      </c>
      <c r="C707">
        <v>1</v>
      </c>
      <c r="D707" t="s">
        <v>53</v>
      </c>
      <c r="E707" t="s">
        <v>51</v>
      </c>
      <c r="F707" t="s">
        <v>84</v>
      </c>
      <c r="G707" t="s">
        <v>24</v>
      </c>
      <c r="H707" t="s">
        <v>25</v>
      </c>
      <c r="I707">
        <v>1</v>
      </c>
      <c r="J707">
        <v>17.329999999999998</v>
      </c>
      <c r="K707">
        <v>6</v>
      </c>
      <c r="L707">
        <v>80.510000000000005</v>
      </c>
      <c r="M707">
        <v>62</v>
      </c>
      <c r="N707" t="s">
        <v>63</v>
      </c>
      <c r="O707">
        <v>2</v>
      </c>
      <c r="P707">
        <v>430</v>
      </c>
      <c r="Q707" s="27" t="str">
        <f>IF(D707=Pivot!$AS$4,R706, "")</f>
        <v/>
      </c>
      <c r="R707" t="s">
        <v>57</v>
      </c>
      <c r="S707" s="5">
        <v>0.47</v>
      </c>
      <c r="T707">
        <v>98.06</v>
      </c>
      <c r="U707">
        <v>83.19</v>
      </c>
      <c r="V707" s="27">
        <f t="shared" si="44"/>
        <v>103.97999999999999</v>
      </c>
      <c r="W707">
        <f t="shared" si="45"/>
        <v>163.69999999999999</v>
      </c>
      <c r="X707" s="33" t="str">
        <f t="shared" si="46"/>
        <v>Low Quality</v>
      </c>
      <c r="Y707" s="27" t="str">
        <f t="shared" si="47"/>
        <v>18</v>
      </c>
    </row>
    <row r="708" spans="1:25" x14ac:dyDescent="0.25">
      <c r="A708" s="1">
        <v>45514</v>
      </c>
      <c r="B708" t="s">
        <v>28</v>
      </c>
      <c r="C708">
        <v>2</v>
      </c>
      <c r="D708" t="s">
        <v>36</v>
      </c>
      <c r="E708" t="s">
        <v>22</v>
      </c>
      <c r="F708" t="s">
        <v>54</v>
      </c>
      <c r="G708" t="s">
        <v>39</v>
      </c>
      <c r="H708" t="s">
        <v>61</v>
      </c>
      <c r="I708">
        <v>3</v>
      </c>
      <c r="J708">
        <v>14.49</v>
      </c>
      <c r="K708">
        <v>5</v>
      </c>
      <c r="L708">
        <v>375.61</v>
      </c>
      <c r="M708">
        <v>56</v>
      </c>
      <c r="N708" t="s">
        <v>63</v>
      </c>
      <c r="O708">
        <v>13</v>
      </c>
      <c r="P708">
        <v>155</v>
      </c>
      <c r="Q708" s="27" t="str">
        <f>IF(D708=Pivot!$AS$4,R707, "")</f>
        <v/>
      </c>
      <c r="R708" t="s">
        <v>57</v>
      </c>
      <c r="S708" s="5">
        <v>8.39</v>
      </c>
      <c r="T708">
        <v>80.22</v>
      </c>
      <c r="U708">
        <v>350.57</v>
      </c>
      <c r="V708" s="27">
        <f t="shared" si="44"/>
        <v>217.35</v>
      </c>
      <c r="W708">
        <f t="shared" si="45"/>
        <v>726.18000000000006</v>
      </c>
      <c r="X708" s="33" t="str">
        <f t="shared" si="46"/>
        <v>Mid Quality</v>
      </c>
      <c r="Y708" s="27" t="str">
        <f t="shared" si="47"/>
        <v>16</v>
      </c>
    </row>
    <row r="709" spans="1:25" x14ac:dyDescent="0.25">
      <c r="A709" s="1">
        <v>45458</v>
      </c>
      <c r="B709" t="s">
        <v>65</v>
      </c>
      <c r="C709">
        <v>3</v>
      </c>
      <c r="D709" t="s">
        <v>74</v>
      </c>
      <c r="E709" t="s">
        <v>67</v>
      </c>
      <c r="F709" t="s">
        <v>69</v>
      </c>
      <c r="G709" t="s">
        <v>32</v>
      </c>
      <c r="H709" t="s">
        <v>48</v>
      </c>
      <c r="I709">
        <v>2</v>
      </c>
      <c r="J709">
        <v>10.16</v>
      </c>
      <c r="K709">
        <v>5</v>
      </c>
      <c r="L709">
        <v>412.69</v>
      </c>
      <c r="M709">
        <v>33</v>
      </c>
      <c r="N709" t="s">
        <v>63</v>
      </c>
      <c r="O709">
        <v>45</v>
      </c>
      <c r="P709">
        <v>450</v>
      </c>
      <c r="Q709" s="27" t="str">
        <f>IF(D709=Pivot!$AS$4,R708, "")</f>
        <v/>
      </c>
      <c r="R709" t="s">
        <v>34</v>
      </c>
      <c r="S709" s="5">
        <v>10</v>
      </c>
      <c r="T709">
        <v>78</v>
      </c>
      <c r="U709">
        <v>226.98</v>
      </c>
      <c r="V709" s="27">
        <f t="shared" si="44"/>
        <v>101.6</v>
      </c>
      <c r="W709">
        <f t="shared" si="45"/>
        <v>639.66999999999996</v>
      </c>
      <c r="X709" s="33" t="str">
        <f t="shared" si="46"/>
        <v>Mid Quality</v>
      </c>
      <c r="Y709" s="27" t="str">
        <f t="shared" si="47"/>
        <v>12</v>
      </c>
    </row>
    <row r="710" spans="1:25" x14ac:dyDescent="0.25">
      <c r="A710" s="1">
        <v>45299</v>
      </c>
      <c r="B710" t="s">
        <v>28</v>
      </c>
      <c r="C710">
        <v>1</v>
      </c>
      <c r="D710" t="s">
        <v>80</v>
      </c>
      <c r="E710" t="s">
        <v>30</v>
      </c>
      <c r="F710" t="s">
        <v>73</v>
      </c>
      <c r="G710" t="s">
        <v>32</v>
      </c>
      <c r="H710" t="s">
        <v>61</v>
      </c>
      <c r="I710">
        <v>2</v>
      </c>
      <c r="J710">
        <v>10.89</v>
      </c>
      <c r="K710">
        <v>3</v>
      </c>
      <c r="L710">
        <v>180.27</v>
      </c>
      <c r="M710">
        <v>39</v>
      </c>
      <c r="N710" t="s">
        <v>26</v>
      </c>
      <c r="O710">
        <v>30</v>
      </c>
      <c r="P710">
        <v>231</v>
      </c>
      <c r="Q710" s="27" t="str">
        <f>IF(D710=Pivot!$AS$4,R709, "")</f>
        <v>Kritik hata</v>
      </c>
      <c r="R710" t="s">
        <v>57</v>
      </c>
      <c r="S710" s="5">
        <v>12.99</v>
      </c>
      <c r="T710">
        <v>72.02</v>
      </c>
      <c r="U710">
        <v>117.18</v>
      </c>
      <c r="V710" s="27">
        <f t="shared" si="44"/>
        <v>65.34</v>
      </c>
      <c r="W710">
        <f t="shared" si="45"/>
        <v>297.45000000000005</v>
      </c>
      <c r="X710" s="33" t="str">
        <f t="shared" si="46"/>
        <v>Mid Quality</v>
      </c>
      <c r="Y710" s="27" t="str">
        <f t="shared" si="47"/>
        <v>12</v>
      </c>
    </row>
    <row r="711" spans="1:25" x14ac:dyDescent="0.25">
      <c r="A711" s="1">
        <v>45377</v>
      </c>
      <c r="B711" t="s">
        <v>35</v>
      </c>
      <c r="C711">
        <v>3</v>
      </c>
      <c r="D711" t="s">
        <v>77</v>
      </c>
      <c r="E711" t="s">
        <v>22</v>
      </c>
      <c r="F711" t="s">
        <v>31</v>
      </c>
      <c r="G711" t="s">
        <v>60</v>
      </c>
      <c r="H711" t="s">
        <v>25</v>
      </c>
      <c r="I711">
        <v>5</v>
      </c>
      <c r="J711">
        <v>19.53</v>
      </c>
      <c r="K711">
        <v>8</v>
      </c>
      <c r="L711">
        <v>348.86</v>
      </c>
      <c r="M711">
        <v>79</v>
      </c>
      <c r="N711" t="s">
        <v>49</v>
      </c>
      <c r="O711">
        <v>34</v>
      </c>
      <c r="P711">
        <v>325</v>
      </c>
      <c r="Q711" s="27" t="str">
        <f>IF(D711=Pivot!$AS$4,R710, "")</f>
        <v/>
      </c>
      <c r="R711" t="s">
        <v>27</v>
      </c>
      <c r="S711" s="5">
        <v>10.46</v>
      </c>
      <c r="T711">
        <v>74.08</v>
      </c>
      <c r="U711">
        <v>459.33</v>
      </c>
      <c r="V711" s="27">
        <f t="shared" si="44"/>
        <v>781.2</v>
      </c>
      <c r="W711">
        <f t="shared" si="45"/>
        <v>808.19</v>
      </c>
      <c r="X711" s="33" t="str">
        <f t="shared" si="46"/>
        <v>Low Quality</v>
      </c>
      <c r="Y711" s="27" t="str">
        <f t="shared" si="47"/>
        <v>20</v>
      </c>
    </row>
    <row r="712" spans="1:25" x14ac:dyDescent="0.25">
      <c r="A712" s="1">
        <v>45433</v>
      </c>
      <c r="B712" t="s">
        <v>20</v>
      </c>
      <c r="C712">
        <v>3</v>
      </c>
      <c r="D712" t="s">
        <v>58</v>
      </c>
      <c r="E712" t="s">
        <v>22</v>
      </c>
      <c r="F712" t="s">
        <v>70</v>
      </c>
      <c r="G712" t="s">
        <v>52</v>
      </c>
      <c r="H712" t="s">
        <v>48</v>
      </c>
      <c r="I712">
        <v>2</v>
      </c>
      <c r="J712">
        <v>19.350000000000001</v>
      </c>
      <c r="K712">
        <v>8</v>
      </c>
      <c r="L712">
        <v>241.97</v>
      </c>
      <c r="M712">
        <v>52</v>
      </c>
      <c r="N712" t="s">
        <v>41</v>
      </c>
      <c r="O712">
        <v>30</v>
      </c>
      <c r="P712">
        <v>407</v>
      </c>
      <c r="Q712" s="27" t="str">
        <f>IF(D712=Pivot!$AS$4,R711, "")</f>
        <v/>
      </c>
      <c r="R712" t="s">
        <v>57</v>
      </c>
      <c r="S712" s="5">
        <v>7.37</v>
      </c>
      <c r="T712">
        <v>83.26</v>
      </c>
      <c r="U712">
        <v>209.71</v>
      </c>
      <c r="V712" s="27">
        <f t="shared" si="44"/>
        <v>309.60000000000002</v>
      </c>
      <c r="W712">
        <f t="shared" si="45"/>
        <v>451.68</v>
      </c>
      <c r="X712" s="33" t="str">
        <f t="shared" si="46"/>
        <v>Low Quality</v>
      </c>
      <c r="Y712" s="27" t="str">
        <f t="shared" si="47"/>
        <v>20</v>
      </c>
    </row>
    <row r="713" spans="1:25" x14ac:dyDescent="0.25">
      <c r="A713" s="1">
        <v>45591</v>
      </c>
      <c r="B713" t="s">
        <v>28</v>
      </c>
      <c r="C713">
        <v>1</v>
      </c>
      <c r="D713" t="s">
        <v>82</v>
      </c>
      <c r="E713" t="s">
        <v>22</v>
      </c>
      <c r="F713" t="s">
        <v>70</v>
      </c>
      <c r="G713" t="s">
        <v>52</v>
      </c>
      <c r="H713" t="s">
        <v>40</v>
      </c>
      <c r="I713">
        <v>5</v>
      </c>
      <c r="J713">
        <v>5.09</v>
      </c>
      <c r="K713">
        <v>5</v>
      </c>
      <c r="L713">
        <v>450.1</v>
      </c>
      <c r="M713">
        <v>37</v>
      </c>
      <c r="N713" t="s">
        <v>49</v>
      </c>
      <c r="O713">
        <v>24</v>
      </c>
      <c r="P713">
        <v>574</v>
      </c>
      <c r="Q713" s="27" t="str">
        <f>IF(D713=Pivot!$AS$4,R712, "")</f>
        <v/>
      </c>
      <c r="R713" t="s">
        <v>27</v>
      </c>
      <c r="S713" s="5">
        <v>4.18</v>
      </c>
      <c r="T713">
        <v>86.64</v>
      </c>
      <c r="U713">
        <v>277.56</v>
      </c>
      <c r="V713" s="27">
        <f t="shared" si="44"/>
        <v>127.25</v>
      </c>
      <c r="W713">
        <f t="shared" si="45"/>
        <v>727.66000000000008</v>
      </c>
      <c r="X713" s="33" t="str">
        <f t="shared" si="46"/>
        <v>High Quality</v>
      </c>
      <c r="Y713" s="27" t="str">
        <f t="shared" si="47"/>
        <v>6</v>
      </c>
    </row>
    <row r="714" spans="1:25" x14ac:dyDescent="0.25">
      <c r="A714" s="1">
        <v>45353</v>
      </c>
      <c r="B714" t="s">
        <v>20</v>
      </c>
      <c r="C714">
        <v>1</v>
      </c>
      <c r="D714" t="s">
        <v>47</v>
      </c>
      <c r="E714" t="s">
        <v>37</v>
      </c>
      <c r="F714" t="s">
        <v>59</v>
      </c>
      <c r="G714" t="s">
        <v>52</v>
      </c>
      <c r="H714" t="s">
        <v>33</v>
      </c>
      <c r="I714">
        <v>1</v>
      </c>
      <c r="J714">
        <v>16.41</v>
      </c>
      <c r="K714">
        <v>8</v>
      </c>
      <c r="L714">
        <v>430.35</v>
      </c>
      <c r="M714">
        <v>79</v>
      </c>
      <c r="N714" t="s">
        <v>63</v>
      </c>
      <c r="O714">
        <v>48</v>
      </c>
      <c r="P714">
        <v>321</v>
      </c>
      <c r="Q714" s="27" t="str">
        <f>IF(D714=Pivot!$AS$4,R713, "")</f>
        <v/>
      </c>
      <c r="R714" t="s">
        <v>42</v>
      </c>
      <c r="S714" s="5">
        <v>14.95</v>
      </c>
      <c r="T714">
        <v>69.099999999999994</v>
      </c>
      <c r="U714">
        <v>566.63</v>
      </c>
      <c r="V714" s="27">
        <f t="shared" si="44"/>
        <v>131.28</v>
      </c>
      <c r="W714">
        <f t="shared" si="45"/>
        <v>996.98</v>
      </c>
      <c r="X714" s="33" t="str">
        <f t="shared" si="46"/>
        <v>Low Quality</v>
      </c>
      <c r="Y714" s="27" t="str">
        <f t="shared" si="47"/>
        <v>18</v>
      </c>
    </row>
    <row r="715" spans="1:25" x14ac:dyDescent="0.25">
      <c r="A715" s="1">
        <v>45494</v>
      </c>
      <c r="B715" t="s">
        <v>35</v>
      </c>
      <c r="C715">
        <v>3</v>
      </c>
      <c r="D715" t="s">
        <v>79</v>
      </c>
      <c r="E715" t="s">
        <v>22</v>
      </c>
      <c r="F715" t="s">
        <v>38</v>
      </c>
      <c r="G715" t="s">
        <v>32</v>
      </c>
      <c r="H715" t="s">
        <v>25</v>
      </c>
      <c r="I715">
        <v>2</v>
      </c>
      <c r="J715">
        <v>4.75</v>
      </c>
      <c r="K715">
        <v>8</v>
      </c>
      <c r="L715">
        <v>286.44</v>
      </c>
      <c r="M715">
        <v>77</v>
      </c>
      <c r="N715" t="s">
        <v>41</v>
      </c>
      <c r="O715">
        <v>44</v>
      </c>
      <c r="P715">
        <v>272</v>
      </c>
      <c r="Q715" s="27" t="str">
        <f>IF(D715=Pivot!$AS$4,R714, "")</f>
        <v/>
      </c>
      <c r="R715" t="s">
        <v>46</v>
      </c>
      <c r="S715" s="5">
        <v>16.18</v>
      </c>
      <c r="T715">
        <v>65.64</v>
      </c>
      <c r="U715">
        <v>367.6</v>
      </c>
      <c r="V715" s="27">
        <f t="shared" si="44"/>
        <v>76</v>
      </c>
      <c r="W715">
        <f t="shared" si="45"/>
        <v>654.04</v>
      </c>
      <c r="X715" s="33" t="str">
        <f t="shared" si="46"/>
        <v>High Quality</v>
      </c>
      <c r="Y715" s="27" t="str">
        <f t="shared" si="47"/>
        <v>6</v>
      </c>
    </row>
    <row r="716" spans="1:25" x14ac:dyDescent="0.25">
      <c r="A716" s="1">
        <v>45416</v>
      </c>
      <c r="B716" t="s">
        <v>35</v>
      </c>
      <c r="C716">
        <v>1</v>
      </c>
      <c r="D716" t="s">
        <v>74</v>
      </c>
      <c r="E716" t="s">
        <v>51</v>
      </c>
      <c r="F716" t="s">
        <v>68</v>
      </c>
      <c r="G716" t="s">
        <v>60</v>
      </c>
      <c r="H716" t="s">
        <v>25</v>
      </c>
      <c r="I716">
        <v>1</v>
      </c>
      <c r="J716">
        <v>5.0599999999999996</v>
      </c>
      <c r="K716">
        <v>3</v>
      </c>
      <c r="L716">
        <v>361.18</v>
      </c>
      <c r="M716">
        <v>82</v>
      </c>
      <c r="N716" t="s">
        <v>55</v>
      </c>
      <c r="O716">
        <v>33</v>
      </c>
      <c r="P716">
        <v>439</v>
      </c>
      <c r="Q716" s="27" t="str">
        <f>IF(D716=Pivot!$AS$4,R715, "")</f>
        <v/>
      </c>
      <c r="R716" t="s">
        <v>34</v>
      </c>
      <c r="S716" s="5">
        <v>7.52</v>
      </c>
      <c r="T716">
        <v>83.96</v>
      </c>
      <c r="U716">
        <v>493.61</v>
      </c>
      <c r="V716" s="27">
        <f t="shared" si="44"/>
        <v>15.18</v>
      </c>
      <c r="W716">
        <f t="shared" si="45"/>
        <v>854.79</v>
      </c>
      <c r="X716" s="33" t="str">
        <f t="shared" si="46"/>
        <v>High Quality</v>
      </c>
      <c r="Y716" s="27" t="str">
        <f t="shared" si="47"/>
        <v>6</v>
      </c>
    </row>
    <row r="717" spans="1:25" x14ac:dyDescent="0.25">
      <c r="A717" s="1">
        <v>45296</v>
      </c>
      <c r="B717" t="s">
        <v>20</v>
      </c>
      <c r="C717">
        <v>2</v>
      </c>
      <c r="D717" t="s">
        <v>79</v>
      </c>
      <c r="E717" t="s">
        <v>22</v>
      </c>
      <c r="F717" t="s">
        <v>73</v>
      </c>
      <c r="G717" t="s">
        <v>24</v>
      </c>
      <c r="H717" t="s">
        <v>25</v>
      </c>
      <c r="I717">
        <v>1</v>
      </c>
      <c r="J717">
        <v>13.85</v>
      </c>
      <c r="K717">
        <v>2</v>
      </c>
      <c r="L717">
        <v>447.51</v>
      </c>
      <c r="M717">
        <v>13</v>
      </c>
      <c r="N717" t="s">
        <v>45</v>
      </c>
      <c r="O717">
        <v>41</v>
      </c>
      <c r="P717">
        <v>896</v>
      </c>
      <c r="Q717" s="27" t="str">
        <f>IF(D717=Pivot!$AS$4,R716, "")</f>
        <v/>
      </c>
      <c r="R717" t="s">
        <v>27</v>
      </c>
      <c r="S717" s="5">
        <v>4.58</v>
      </c>
      <c r="T717">
        <v>89.84</v>
      </c>
      <c r="U717">
        <v>96.96</v>
      </c>
      <c r="V717" s="27">
        <f t="shared" si="44"/>
        <v>27.7</v>
      </c>
      <c r="W717">
        <f t="shared" si="45"/>
        <v>544.47</v>
      </c>
      <c r="X717" s="33" t="str">
        <f t="shared" si="46"/>
        <v>Mid Quality</v>
      </c>
      <c r="Y717" s="27" t="str">
        <f t="shared" si="47"/>
        <v>14</v>
      </c>
    </row>
    <row r="718" spans="1:25" x14ac:dyDescent="0.25">
      <c r="A718" s="1">
        <v>45313</v>
      </c>
      <c r="B718" t="s">
        <v>75</v>
      </c>
      <c r="C718">
        <v>2</v>
      </c>
      <c r="D718" t="s">
        <v>66</v>
      </c>
      <c r="E718" t="s">
        <v>37</v>
      </c>
      <c r="F718" t="s">
        <v>59</v>
      </c>
      <c r="G718" t="s">
        <v>39</v>
      </c>
      <c r="H718" t="s">
        <v>48</v>
      </c>
      <c r="I718">
        <v>2</v>
      </c>
      <c r="J718">
        <v>8.6999999999999993</v>
      </c>
      <c r="K718">
        <v>9</v>
      </c>
      <c r="L718">
        <v>273.07</v>
      </c>
      <c r="M718">
        <v>52</v>
      </c>
      <c r="N718" t="s">
        <v>45</v>
      </c>
      <c r="O718">
        <v>49</v>
      </c>
      <c r="P718">
        <v>605</v>
      </c>
      <c r="Q718" s="27" t="str">
        <f>IF(D718=Pivot!$AS$4,R717, "")</f>
        <v/>
      </c>
      <c r="R718" t="s">
        <v>42</v>
      </c>
      <c r="S718" s="5">
        <v>8.1</v>
      </c>
      <c r="T718">
        <v>81.8</v>
      </c>
      <c r="U718">
        <v>236.66</v>
      </c>
      <c r="V718" s="27">
        <f t="shared" si="44"/>
        <v>156.6</v>
      </c>
      <c r="W718">
        <f t="shared" si="45"/>
        <v>509.73</v>
      </c>
      <c r="X718" s="33" t="str">
        <f t="shared" si="46"/>
        <v>Mid Quality</v>
      </c>
      <c r="Y718" s="27" t="str">
        <f t="shared" si="47"/>
        <v>10</v>
      </c>
    </row>
    <row r="719" spans="1:25" x14ac:dyDescent="0.25">
      <c r="A719" s="1">
        <v>45589</v>
      </c>
      <c r="B719" t="s">
        <v>50</v>
      </c>
      <c r="C719">
        <v>1</v>
      </c>
      <c r="D719" t="s">
        <v>21</v>
      </c>
      <c r="E719" t="s">
        <v>22</v>
      </c>
      <c r="F719" t="s">
        <v>56</v>
      </c>
      <c r="G719" t="s">
        <v>24</v>
      </c>
      <c r="H719" t="s">
        <v>40</v>
      </c>
      <c r="I719">
        <v>1</v>
      </c>
      <c r="J719">
        <v>18.7</v>
      </c>
      <c r="K719">
        <v>2</v>
      </c>
      <c r="L719">
        <v>190.96</v>
      </c>
      <c r="M719">
        <v>71</v>
      </c>
      <c r="N719" t="s">
        <v>63</v>
      </c>
      <c r="O719">
        <v>10</v>
      </c>
      <c r="P719">
        <v>920</v>
      </c>
      <c r="Q719" s="27" t="str">
        <f>IF(D719=Pivot!$AS$4,R718, "")</f>
        <v/>
      </c>
      <c r="R719" t="s">
        <v>46</v>
      </c>
      <c r="S719" s="5">
        <v>1.0900000000000001</v>
      </c>
      <c r="T719">
        <v>96.82</v>
      </c>
      <c r="U719">
        <v>225.97</v>
      </c>
      <c r="V719" s="27">
        <f t="shared" si="44"/>
        <v>37.4</v>
      </c>
      <c r="W719">
        <f t="shared" si="45"/>
        <v>416.93</v>
      </c>
      <c r="X719" s="33" t="str">
        <f t="shared" si="46"/>
        <v>Low Quality</v>
      </c>
      <c r="Y719" s="27" t="str">
        <f t="shared" si="47"/>
        <v>20</v>
      </c>
    </row>
    <row r="720" spans="1:25" x14ac:dyDescent="0.25">
      <c r="A720" s="1">
        <v>45535</v>
      </c>
      <c r="B720" t="s">
        <v>75</v>
      </c>
      <c r="C720">
        <v>3</v>
      </c>
      <c r="D720" t="s">
        <v>91</v>
      </c>
      <c r="E720" t="s">
        <v>30</v>
      </c>
      <c r="F720" t="s">
        <v>90</v>
      </c>
      <c r="G720" t="s">
        <v>32</v>
      </c>
      <c r="H720" t="s">
        <v>61</v>
      </c>
      <c r="I720">
        <v>2</v>
      </c>
      <c r="J720">
        <v>2.69</v>
      </c>
      <c r="K720">
        <v>9</v>
      </c>
      <c r="L720">
        <v>389.15</v>
      </c>
      <c r="M720">
        <v>87</v>
      </c>
      <c r="N720" t="s">
        <v>49</v>
      </c>
      <c r="O720">
        <v>18</v>
      </c>
      <c r="P720">
        <v>256</v>
      </c>
      <c r="Q720" s="27" t="str">
        <f>IF(D720=Pivot!$AS$4,R719, "")</f>
        <v/>
      </c>
      <c r="R720" t="s">
        <v>46</v>
      </c>
      <c r="S720" s="5">
        <v>7.03</v>
      </c>
      <c r="T720">
        <v>83.94</v>
      </c>
      <c r="U720">
        <v>564.27</v>
      </c>
      <c r="V720" s="27">
        <f t="shared" si="44"/>
        <v>48.42</v>
      </c>
      <c r="W720">
        <f t="shared" si="45"/>
        <v>953.42</v>
      </c>
      <c r="X720" s="33" t="str">
        <f t="shared" si="46"/>
        <v>High Quality</v>
      </c>
      <c r="Y720" s="27" t="str">
        <f t="shared" si="47"/>
        <v>4</v>
      </c>
    </row>
    <row r="721" spans="1:25" x14ac:dyDescent="0.25">
      <c r="A721" s="1">
        <v>45371</v>
      </c>
      <c r="B721" t="s">
        <v>75</v>
      </c>
      <c r="C721">
        <v>1</v>
      </c>
      <c r="D721" t="s">
        <v>66</v>
      </c>
      <c r="E721" t="s">
        <v>30</v>
      </c>
      <c r="F721" t="s">
        <v>54</v>
      </c>
      <c r="G721" t="s">
        <v>52</v>
      </c>
      <c r="H721" t="s">
        <v>40</v>
      </c>
      <c r="I721">
        <v>2</v>
      </c>
      <c r="J721">
        <v>10.72</v>
      </c>
      <c r="K721">
        <v>4</v>
      </c>
      <c r="L721">
        <v>149.03</v>
      </c>
      <c r="M721">
        <v>40</v>
      </c>
      <c r="N721" t="s">
        <v>55</v>
      </c>
      <c r="O721">
        <v>19</v>
      </c>
      <c r="P721">
        <v>250</v>
      </c>
      <c r="Q721" s="27" t="str">
        <f>IF(D721=Pivot!$AS$4,R720, "")</f>
        <v/>
      </c>
      <c r="R721" t="s">
        <v>46</v>
      </c>
      <c r="S721" s="5">
        <v>7.6</v>
      </c>
      <c r="T721">
        <v>82.8</v>
      </c>
      <c r="U721">
        <v>99.35</v>
      </c>
      <c r="V721" s="27">
        <f t="shared" si="44"/>
        <v>85.76</v>
      </c>
      <c r="W721">
        <f t="shared" si="45"/>
        <v>248.38</v>
      </c>
      <c r="X721" s="33" t="str">
        <f t="shared" si="46"/>
        <v>Mid Quality</v>
      </c>
      <c r="Y721" s="27" t="str">
        <f t="shared" si="47"/>
        <v>12</v>
      </c>
    </row>
    <row r="722" spans="1:25" x14ac:dyDescent="0.25">
      <c r="A722" s="1">
        <v>45482</v>
      </c>
      <c r="B722" t="s">
        <v>65</v>
      </c>
      <c r="C722">
        <v>1</v>
      </c>
      <c r="D722" t="s">
        <v>80</v>
      </c>
      <c r="E722" t="s">
        <v>37</v>
      </c>
      <c r="F722" t="s">
        <v>84</v>
      </c>
      <c r="G722" t="s">
        <v>39</v>
      </c>
      <c r="H722" t="s">
        <v>48</v>
      </c>
      <c r="I722">
        <v>2</v>
      </c>
      <c r="J722">
        <v>18.45</v>
      </c>
      <c r="K722">
        <v>2</v>
      </c>
      <c r="L722">
        <v>224.84</v>
      </c>
      <c r="M722">
        <v>75</v>
      </c>
      <c r="N722" t="s">
        <v>41</v>
      </c>
      <c r="O722">
        <v>7</v>
      </c>
      <c r="P722">
        <v>796</v>
      </c>
      <c r="Q722" s="27" t="str">
        <f>IF(D722=Pivot!$AS$4,R721, "")</f>
        <v>Eğitim önerildi</v>
      </c>
      <c r="R722" t="s">
        <v>27</v>
      </c>
      <c r="S722" s="5">
        <v>0.88</v>
      </c>
      <c r="T722">
        <v>96.24</v>
      </c>
      <c r="U722">
        <v>281.05</v>
      </c>
      <c r="V722" s="27">
        <f t="shared" si="44"/>
        <v>73.8</v>
      </c>
      <c r="W722">
        <f t="shared" si="45"/>
        <v>505.89</v>
      </c>
      <c r="X722" s="33" t="str">
        <f t="shared" si="46"/>
        <v>Low Quality</v>
      </c>
      <c r="Y722" s="27" t="str">
        <f t="shared" si="47"/>
        <v>20</v>
      </c>
    </row>
    <row r="723" spans="1:25" x14ac:dyDescent="0.25">
      <c r="A723" s="1">
        <v>45337</v>
      </c>
      <c r="B723" t="s">
        <v>75</v>
      </c>
      <c r="C723">
        <v>3</v>
      </c>
      <c r="D723" t="s">
        <v>47</v>
      </c>
      <c r="E723" t="s">
        <v>51</v>
      </c>
      <c r="F723" t="s">
        <v>54</v>
      </c>
      <c r="G723" t="s">
        <v>32</v>
      </c>
      <c r="H723" t="s">
        <v>25</v>
      </c>
      <c r="I723">
        <v>3</v>
      </c>
      <c r="J723">
        <v>18.18</v>
      </c>
      <c r="K723">
        <v>1</v>
      </c>
      <c r="L723">
        <v>439.58</v>
      </c>
      <c r="M723">
        <v>48</v>
      </c>
      <c r="N723" t="s">
        <v>49</v>
      </c>
      <c r="O723">
        <v>19</v>
      </c>
      <c r="P723">
        <v>277</v>
      </c>
      <c r="Q723" s="27" t="str">
        <f>IF(D723=Pivot!$AS$4,R722, "")</f>
        <v/>
      </c>
      <c r="R723" t="s">
        <v>42</v>
      </c>
      <c r="S723" s="5">
        <v>6.86</v>
      </c>
      <c r="T723">
        <v>83.28</v>
      </c>
      <c r="U723">
        <v>351.66</v>
      </c>
      <c r="V723" s="27">
        <f t="shared" si="44"/>
        <v>54.54</v>
      </c>
      <c r="W723">
        <f t="shared" si="45"/>
        <v>791.24</v>
      </c>
      <c r="X723" s="33" t="str">
        <f t="shared" si="46"/>
        <v>Low Quality</v>
      </c>
      <c r="Y723" s="27" t="str">
        <f t="shared" si="47"/>
        <v>20</v>
      </c>
    </row>
    <row r="724" spans="1:25" x14ac:dyDescent="0.25">
      <c r="A724" s="1">
        <v>45419</v>
      </c>
      <c r="B724" t="s">
        <v>28</v>
      </c>
      <c r="C724">
        <v>3</v>
      </c>
      <c r="D724" t="s">
        <v>74</v>
      </c>
      <c r="E724" t="s">
        <v>51</v>
      </c>
      <c r="F724" t="s">
        <v>90</v>
      </c>
      <c r="G724" t="s">
        <v>32</v>
      </c>
      <c r="H724" t="s">
        <v>33</v>
      </c>
      <c r="I724">
        <v>1</v>
      </c>
      <c r="J724">
        <v>3.97</v>
      </c>
      <c r="K724">
        <v>4</v>
      </c>
      <c r="L724">
        <v>375.99</v>
      </c>
      <c r="M724">
        <v>86</v>
      </c>
      <c r="N724" t="s">
        <v>63</v>
      </c>
      <c r="O724">
        <v>24</v>
      </c>
      <c r="P724">
        <v>632</v>
      </c>
      <c r="Q724" s="27" t="str">
        <f>IF(D724=Pivot!$AS$4,R723, "")</f>
        <v/>
      </c>
      <c r="R724" t="s">
        <v>57</v>
      </c>
      <c r="S724" s="5">
        <v>3.8</v>
      </c>
      <c r="T724">
        <v>91.4</v>
      </c>
      <c r="U724">
        <v>538.91999999999996</v>
      </c>
      <c r="V724" s="27">
        <f t="shared" si="44"/>
        <v>15.88</v>
      </c>
      <c r="W724">
        <f t="shared" si="45"/>
        <v>914.91</v>
      </c>
      <c r="X724" s="33" t="str">
        <f t="shared" si="46"/>
        <v>High Quality</v>
      </c>
      <c r="Y724" s="27" t="str">
        <f t="shared" si="47"/>
        <v>4</v>
      </c>
    </row>
    <row r="725" spans="1:25" x14ac:dyDescent="0.25">
      <c r="A725" s="1">
        <v>45372</v>
      </c>
      <c r="B725" t="s">
        <v>65</v>
      </c>
      <c r="C725">
        <v>2</v>
      </c>
      <c r="D725" t="s">
        <v>77</v>
      </c>
      <c r="E725" t="s">
        <v>67</v>
      </c>
      <c r="F725" t="s">
        <v>69</v>
      </c>
      <c r="G725" t="s">
        <v>32</v>
      </c>
      <c r="H725" t="s">
        <v>25</v>
      </c>
      <c r="I725">
        <v>4</v>
      </c>
      <c r="J725">
        <v>7.97</v>
      </c>
      <c r="K725">
        <v>9</v>
      </c>
      <c r="L725">
        <v>231.71</v>
      </c>
      <c r="M725">
        <v>64</v>
      </c>
      <c r="N725" t="s">
        <v>49</v>
      </c>
      <c r="O725">
        <v>15</v>
      </c>
      <c r="P725">
        <v>211</v>
      </c>
      <c r="Q725" s="27" t="str">
        <f>IF(D725=Pivot!$AS$4,R724, "")</f>
        <v/>
      </c>
      <c r="R725" t="s">
        <v>42</v>
      </c>
      <c r="S725" s="5">
        <v>7.11</v>
      </c>
      <c r="T725">
        <v>81.78</v>
      </c>
      <c r="U725">
        <v>247.16</v>
      </c>
      <c r="V725" s="27">
        <f t="shared" si="44"/>
        <v>286.92</v>
      </c>
      <c r="W725">
        <f t="shared" si="45"/>
        <v>478.87</v>
      </c>
      <c r="X725" s="33" t="str">
        <f t="shared" si="46"/>
        <v>Mid Quality</v>
      </c>
      <c r="Y725" s="27" t="str">
        <f t="shared" si="47"/>
        <v>8</v>
      </c>
    </row>
    <row r="726" spans="1:25" x14ac:dyDescent="0.25">
      <c r="A726" s="1">
        <v>45547</v>
      </c>
      <c r="B726" t="s">
        <v>65</v>
      </c>
      <c r="C726">
        <v>3</v>
      </c>
      <c r="D726" t="s">
        <v>80</v>
      </c>
      <c r="E726" t="s">
        <v>37</v>
      </c>
      <c r="F726" t="s">
        <v>54</v>
      </c>
      <c r="G726" t="s">
        <v>39</v>
      </c>
      <c r="H726" t="s">
        <v>61</v>
      </c>
      <c r="I726">
        <v>2</v>
      </c>
      <c r="J726">
        <v>12.76</v>
      </c>
      <c r="K726">
        <v>9</v>
      </c>
      <c r="L726">
        <v>146.63999999999999</v>
      </c>
      <c r="M726">
        <v>67</v>
      </c>
      <c r="N726" t="s">
        <v>63</v>
      </c>
      <c r="O726">
        <v>41</v>
      </c>
      <c r="P726">
        <v>782</v>
      </c>
      <c r="Q726" s="27" t="str">
        <f>IF(D726=Pivot!$AS$4,R725, "")</f>
        <v>Makine ayarı değiştirildi</v>
      </c>
      <c r="R726" t="s">
        <v>42</v>
      </c>
      <c r="S726" s="5">
        <v>5.24</v>
      </c>
      <c r="T726">
        <v>87.52</v>
      </c>
      <c r="U726">
        <v>163.75</v>
      </c>
      <c r="V726" s="27">
        <f t="shared" si="44"/>
        <v>229.68</v>
      </c>
      <c r="W726">
        <f t="shared" si="45"/>
        <v>310.39</v>
      </c>
      <c r="X726" s="33" t="str">
        <f t="shared" si="46"/>
        <v>Mid Quality</v>
      </c>
      <c r="Y726" s="27" t="str">
        <f t="shared" si="47"/>
        <v>14</v>
      </c>
    </row>
    <row r="727" spans="1:25" x14ac:dyDescent="0.25">
      <c r="A727" s="1">
        <v>45338</v>
      </c>
      <c r="B727" t="s">
        <v>35</v>
      </c>
      <c r="C727">
        <v>2</v>
      </c>
      <c r="D727" t="s">
        <v>64</v>
      </c>
      <c r="E727" t="s">
        <v>22</v>
      </c>
      <c r="F727" t="s">
        <v>54</v>
      </c>
      <c r="G727" t="s">
        <v>39</v>
      </c>
      <c r="H727" t="s">
        <v>33</v>
      </c>
      <c r="I727">
        <v>1</v>
      </c>
      <c r="J727">
        <v>4.03</v>
      </c>
      <c r="K727">
        <v>4</v>
      </c>
      <c r="L727">
        <v>210.19</v>
      </c>
      <c r="M727">
        <v>9</v>
      </c>
      <c r="N727" t="s">
        <v>26</v>
      </c>
      <c r="O727">
        <v>42</v>
      </c>
      <c r="P727">
        <v>237</v>
      </c>
      <c r="Q727" s="27" t="str">
        <f>IF(D727=Pivot!$AS$4,R726, "")</f>
        <v/>
      </c>
      <c r="R727" t="s">
        <v>42</v>
      </c>
      <c r="S727" s="5">
        <v>17.72</v>
      </c>
      <c r="T727">
        <v>63.56</v>
      </c>
      <c r="U727">
        <v>31.53</v>
      </c>
      <c r="V727" s="27">
        <f t="shared" si="44"/>
        <v>16.12</v>
      </c>
      <c r="W727">
        <f t="shared" si="45"/>
        <v>241.72</v>
      </c>
      <c r="X727" s="33" t="str">
        <f t="shared" si="46"/>
        <v>High Quality</v>
      </c>
      <c r="Y727" s="27" t="str">
        <f t="shared" si="47"/>
        <v>6</v>
      </c>
    </row>
    <row r="728" spans="1:25" x14ac:dyDescent="0.25">
      <c r="A728" s="1">
        <v>45465</v>
      </c>
      <c r="B728" t="s">
        <v>75</v>
      </c>
      <c r="C728">
        <v>3</v>
      </c>
      <c r="D728" t="s">
        <v>66</v>
      </c>
      <c r="E728" t="s">
        <v>37</v>
      </c>
      <c r="F728" t="s">
        <v>68</v>
      </c>
      <c r="G728" t="s">
        <v>60</v>
      </c>
      <c r="H728" t="s">
        <v>25</v>
      </c>
      <c r="I728">
        <v>5</v>
      </c>
      <c r="J728">
        <v>19.39</v>
      </c>
      <c r="K728">
        <v>9</v>
      </c>
      <c r="L728">
        <v>177.85</v>
      </c>
      <c r="M728">
        <v>80</v>
      </c>
      <c r="N728" t="s">
        <v>45</v>
      </c>
      <c r="O728">
        <v>23</v>
      </c>
      <c r="P728">
        <v>332</v>
      </c>
      <c r="Q728" s="27" t="str">
        <f>IF(D728=Pivot!$AS$4,R727, "")</f>
        <v/>
      </c>
      <c r="R728" t="s">
        <v>27</v>
      </c>
      <c r="S728" s="5">
        <v>6.93</v>
      </c>
      <c r="T728">
        <v>81.14</v>
      </c>
      <c r="U728">
        <v>237.13</v>
      </c>
      <c r="V728" s="27">
        <f t="shared" si="44"/>
        <v>872.55000000000007</v>
      </c>
      <c r="W728">
        <f t="shared" si="45"/>
        <v>414.98</v>
      </c>
      <c r="X728" s="33" t="str">
        <f t="shared" si="46"/>
        <v>Low Quality</v>
      </c>
      <c r="Y728" s="27" t="str">
        <f t="shared" si="47"/>
        <v>20</v>
      </c>
    </row>
    <row r="729" spans="1:25" x14ac:dyDescent="0.25">
      <c r="A729" s="1">
        <v>45322</v>
      </c>
      <c r="B729" t="s">
        <v>35</v>
      </c>
      <c r="C729">
        <v>1</v>
      </c>
      <c r="D729" t="s">
        <v>77</v>
      </c>
      <c r="E729" t="s">
        <v>67</v>
      </c>
      <c r="F729" t="s">
        <v>69</v>
      </c>
      <c r="G729" t="s">
        <v>60</v>
      </c>
      <c r="H729" t="s">
        <v>33</v>
      </c>
      <c r="I729">
        <v>2</v>
      </c>
      <c r="J729">
        <v>18.38</v>
      </c>
      <c r="K729">
        <v>6</v>
      </c>
      <c r="L729">
        <v>129.24</v>
      </c>
      <c r="M729">
        <v>44</v>
      </c>
      <c r="N729" t="s">
        <v>45</v>
      </c>
      <c r="O729">
        <v>4</v>
      </c>
      <c r="P729">
        <v>431</v>
      </c>
      <c r="Q729" s="27" t="str">
        <f>IF(D729=Pivot!$AS$4,R728, "")</f>
        <v/>
      </c>
      <c r="R729" t="s">
        <v>27</v>
      </c>
      <c r="S729" s="5">
        <v>0.93</v>
      </c>
      <c r="T729">
        <v>96.14</v>
      </c>
      <c r="U729">
        <v>94.78</v>
      </c>
      <c r="V729" s="27">
        <f t="shared" si="44"/>
        <v>220.56</v>
      </c>
      <c r="W729">
        <f t="shared" si="45"/>
        <v>224.02</v>
      </c>
      <c r="X729" s="33" t="str">
        <f t="shared" si="46"/>
        <v>Low Quality</v>
      </c>
      <c r="Y729" s="27" t="str">
        <f t="shared" si="47"/>
        <v>20</v>
      </c>
    </row>
    <row r="730" spans="1:25" x14ac:dyDescent="0.25">
      <c r="A730" s="1">
        <v>45322</v>
      </c>
      <c r="B730" t="s">
        <v>20</v>
      </c>
      <c r="C730">
        <v>2</v>
      </c>
      <c r="D730" t="s">
        <v>21</v>
      </c>
      <c r="E730" t="s">
        <v>37</v>
      </c>
      <c r="F730" t="s">
        <v>69</v>
      </c>
      <c r="G730" t="s">
        <v>24</v>
      </c>
      <c r="H730" t="s">
        <v>40</v>
      </c>
      <c r="I730">
        <v>2</v>
      </c>
      <c r="J730">
        <v>4.17</v>
      </c>
      <c r="K730">
        <v>1</v>
      </c>
      <c r="L730">
        <v>384.5</v>
      </c>
      <c r="M730">
        <v>23</v>
      </c>
      <c r="N730" t="s">
        <v>49</v>
      </c>
      <c r="O730">
        <v>38</v>
      </c>
      <c r="P730">
        <v>641</v>
      </c>
      <c r="Q730" s="27" t="str">
        <f>IF(D730=Pivot!$AS$4,R729, "")</f>
        <v/>
      </c>
      <c r="R730" t="s">
        <v>27</v>
      </c>
      <c r="S730" s="5">
        <v>5.93</v>
      </c>
      <c r="T730">
        <v>86.14</v>
      </c>
      <c r="U730">
        <v>147.38999999999999</v>
      </c>
      <c r="V730" s="27">
        <f t="shared" si="44"/>
        <v>8.34</v>
      </c>
      <c r="W730">
        <f t="shared" si="45"/>
        <v>531.89</v>
      </c>
      <c r="X730" s="33" t="str">
        <f t="shared" si="46"/>
        <v>High Quality</v>
      </c>
      <c r="Y730" s="27" t="str">
        <f t="shared" si="47"/>
        <v>6</v>
      </c>
    </row>
    <row r="731" spans="1:25" x14ac:dyDescent="0.25">
      <c r="A731" s="1">
        <v>45474</v>
      </c>
      <c r="B731" t="s">
        <v>50</v>
      </c>
      <c r="C731">
        <v>2</v>
      </c>
      <c r="D731" t="s">
        <v>88</v>
      </c>
      <c r="E731" t="s">
        <v>37</v>
      </c>
      <c r="F731" t="s">
        <v>87</v>
      </c>
      <c r="G731" t="s">
        <v>39</v>
      </c>
      <c r="H731" t="s">
        <v>48</v>
      </c>
      <c r="I731">
        <v>4</v>
      </c>
      <c r="J731">
        <v>3.3</v>
      </c>
      <c r="K731">
        <v>6</v>
      </c>
      <c r="L731">
        <v>163.43</v>
      </c>
      <c r="M731">
        <v>51</v>
      </c>
      <c r="N731" t="s">
        <v>55</v>
      </c>
      <c r="O731">
        <v>4</v>
      </c>
      <c r="P731">
        <v>992</v>
      </c>
      <c r="Q731" s="27" t="str">
        <f>IF(D731=Pivot!$AS$4,R730, "")</f>
        <v/>
      </c>
      <c r="R731" t="s">
        <v>42</v>
      </c>
      <c r="S731" s="5">
        <v>0.4</v>
      </c>
      <c r="T731">
        <v>95.2</v>
      </c>
      <c r="U731">
        <v>138.91999999999999</v>
      </c>
      <c r="V731" s="27">
        <f t="shared" si="44"/>
        <v>79.199999999999989</v>
      </c>
      <c r="W731">
        <f t="shared" si="45"/>
        <v>302.35000000000002</v>
      </c>
      <c r="X731" s="33" t="str">
        <f t="shared" si="46"/>
        <v>High Quality</v>
      </c>
      <c r="Y731" s="27" t="str">
        <f t="shared" si="47"/>
        <v>4</v>
      </c>
    </row>
    <row r="732" spans="1:25" x14ac:dyDescent="0.25">
      <c r="A732" s="1">
        <v>45370</v>
      </c>
      <c r="B732" t="s">
        <v>65</v>
      </c>
      <c r="C732">
        <v>2</v>
      </c>
      <c r="D732" t="s">
        <v>36</v>
      </c>
      <c r="E732" t="s">
        <v>67</v>
      </c>
      <c r="F732" t="s">
        <v>89</v>
      </c>
      <c r="G732" t="s">
        <v>39</v>
      </c>
      <c r="H732" t="s">
        <v>25</v>
      </c>
      <c r="I732">
        <v>3</v>
      </c>
      <c r="J732">
        <v>2.62</v>
      </c>
      <c r="K732">
        <v>9</v>
      </c>
      <c r="L732">
        <v>254.38</v>
      </c>
      <c r="M732">
        <v>69</v>
      </c>
      <c r="N732" t="s">
        <v>41</v>
      </c>
      <c r="O732">
        <v>5</v>
      </c>
      <c r="P732">
        <v>406</v>
      </c>
      <c r="Q732" s="27" t="str">
        <f>IF(D732=Pivot!$AS$4,R731, "")</f>
        <v/>
      </c>
      <c r="R732" t="s">
        <v>27</v>
      </c>
      <c r="S732" s="5">
        <v>1.23</v>
      </c>
      <c r="T732">
        <v>94.54</v>
      </c>
      <c r="U732">
        <v>292.54000000000002</v>
      </c>
      <c r="V732" s="27">
        <f t="shared" si="44"/>
        <v>70.740000000000009</v>
      </c>
      <c r="W732">
        <f t="shared" si="45"/>
        <v>546.92000000000007</v>
      </c>
      <c r="X732" s="33" t="str">
        <f t="shared" si="46"/>
        <v>High Quality</v>
      </c>
      <c r="Y732" s="27" t="str">
        <f t="shared" si="47"/>
        <v>4</v>
      </c>
    </row>
    <row r="733" spans="1:25" x14ac:dyDescent="0.25">
      <c r="A733" s="1">
        <v>45566</v>
      </c>
      <c r="B733" t="s">
        <v>20</v>
      </c>
      <c r="C733">
        <v>1</v>
      </c>
      <c r="D733" t="s">
        <v>21</v>
      </c>
      <c r="E733" t="s">
        <v>51</v>
      </c>
      <c r="F733" t="s">
        <v>90</v>
      </c>
      <c r="G733" t="s">
        <v>39</v>
      </c>
      <c r="H733" t="s">
        <v>61</v>
      </c>
      <c r="I733">
        <v>3</v>
      </c>
      <c r="J733">
        <v>18.28</v>
      </c>
      <c r="K733">
        <v>2</v>
      </c>
      <c r="L733">
        <v>223.64</v>
      </c>
      <c r="M733">
        <v>71</v>
      </c>
      <c r="N733" t="s">
        <v>63</v>
      </c>
      <c r="O733">
        <v>41</v>
      </c>
      <c r="P733">
        <v>260</v>
      </c>
      <c r="Q733" s="27" t="str">
        <f>IF(D733=Pivot!$AS$4,R732, "")</f>
        <v/>
      </c>
      <c r="R733" t="s">
        <v>46</v>
      </c>
      <c r="S733" s="5">
        <v>15.77</v>
      </c>
      <c r="T733">
        <v>65.459999999999994</v>
      </c>
      <c r="U733">
        <v>264.64</v>
      </c>
      <c r="V733" s="27">
        <f t="shared" si="44"/>
        <v>109.68</v>
      </c>
      <c r="W733">
        <f t="shared" si="45"/>
        <v>488.28</v>
      </c>
      <c r="X733" s="33" t="str">
        <f t="shared" si="46"/>
        <v>Low Quality</v>
      </c>
      <c r="Y733" s="27" t="str">
        <f t="shared" si="47"/>
        <v>20</v>
      </c>
    </row>
    <row r="734" spans="1:25" x14ac:dyDescent="0.25">
      <c r="A734" s="1">
        <v>45346</v>
      </c>
      <c r="B734" t="s">
        <v>20</v>
      </c>
      <c r="C734">
        <v>1</v>
      </c>
      <c r="D734" t="s">
        <v>29</v>
      </c>
      <c r="E734" t="s">
        <v>22</v>
      </c>
      <c r="F734" t="s">
        <v>78</v>
      </c>
      <c r="G734" t="s">
        <v>60</v>
      </c>
      <c r="H734" t="s">
        <v>40</v>
      </c>
      <c r="I734">
        <v>2</v>
      </c>
      <c r="J734">
        <v>4.68</v>
      </c>
      <c r="K734">
        <v>6</v>
      </c>
      <c r="L734">
        <v>491.93</v>
      </c>
      <c r="M734">
        <v>22</v>
      </c>
      <c r="N734" t="s">
        <v>41</v>
      </c>
      <c r="O734">
        <v>44</v>
      </c>
      <c r="P734">
        <v>501</v>
      </c>
      <c r="Q734" s="27" t="str">
        <f>IF(D734=Pivot!$AS$4,R733, "")</f>
        <v/>
      </c>
      <c r="R734" t="s">
        <v>27</v>
      </c>
      <c r="S734" s="5">
        <v>8.7799999999999994</v>
      </c>
      <c r="T734">
        <v>80.44</v>
      </c>
      <c r="U734">
        <v>180.37</v>
      </c>
      <c r="V734" s="27">
        <f t="shared" si="44"/>
        <v>56.16</v>
      </c>
      <c r="W734">
        <f t="shared" si="45"/>
        <v>672.3</v>
      </c>
      <c r="X734" s="33" t="str">
        <f t="shared" si="46"/>
        <v>High Quality</v>
      </c>
      <c r="Y734" s="27" t="str">
        <f t="shared" si="47"/>
        <v>6</v>
      </c>
    </row>
    <row r="735" spans="1:25" x14ac:dyDescent="0.25">
      <c r="A735" s="1">
        <v>45356</v>
      </c>
      <c r="B735" t="s">
        <v>28</v>
      </c>
      <c r="C735">
        <v>1</v>
      </c>
      <c r="D735" t="s">
        <v>82</v>
      </c>
      <c r="E735" t="s">
        <v>67</v>
      </c>
      <c r="F735" t="s">
        <v>87</v>
      </c>
      <c r="G735" t="s">
        <v>32</v>
      </c>
      <c r="H735" t="s">
        <v>25</v>
      </c>
      <c r="I735">
        <v>1</v>
      </c>
      <c r="J735">
        <v>8.91</v>
      </c>
      <c r="K735">
        <v>2</v>
      </c>
      <c r="L735">
        <v>225.99</v>
      </c>
      <c r="M735">
        <v>54</v>
      </c>
      <c r="N735" t="s">
        <v>45</v>
      </c>
      <c r="O735">
        <v>23</v>
      </c>
      <c r="P735">
        <v>689</v>
      </c>
      <c r="Q735" s="27" t="str">
        <f>IF(D735=Pivot!$AS$4,R734, "")</f>
        <v/>
      </c>
      <c r="R735" t="s">
        <v>34</v>
      </c>
      <c r="S735" s="5">
        <v>3.34</v>
      </c>
      <c r="T735">
        <v>92.32</v>
      </c>
      <c r="U735">
        <v>203.39</v>
      </c>
      <c r="V735" s="27">
        <f t="shared" si="44"/>
        <v>17.82</v>
      </c>
      <c r="W735">
        <f t="shared" si="45"/>
        <v>429.38</v>
      </c>
      <c r="X735" s="33" t="str">
        <f t="shared" si="46"/>
        <v>Mid Quality</v>
      </c>
      <c r="Y735" s="27" t="str">
        <f t="shared" si="47"/>
        <v>10</v>
      </c>
    </row>
    <row r="736" spans="1:25" x14ac:dyDescent="0.25">
      <c r="A736" s="1">
        <v>45541</v>
      </c>
      <c r="B736" t="s">
        <v>50</v>
      </c>
      <c r="C736">
        <v>1</v>
      </c>
      <c r="D736" t="s">
        <v>88</v>
      </c>
      <c r="E736" t="s">
        <v>30</v>
      </c>
      <c r="F736" t="s">
        <v>70</v>
      </c>
      <c r="G736" t="s">
        <v>52</v>
      </c>
      <c r="H736" t="s">
        <v>40</v>
      </c>
      <c r="I736">
        <v>5</v>
      </c>
      <c r="J736">
        <v>9.5299999999999994</v>
      </c>
      <c r="K736">
        <v>4</v>
      </c>
      <c r="L736">
        <v>85.99</v>
      </c>
      <c r="M736">
        <v>34</v>
      </c>
      <c r="N736" t="s">
        <v>55</v>
      </c>
      <c r="O736">
        <v>40</v>
      </c>
      <c r="P736">
        <v>377</v>
      </c>
      <c r="Q736" s="27" t="str">
        <f>IF(D736=Pivot!$AS$4,R735, "")</f>
        <v/>
      </c>
      <c r="R736" t="s">
        <v>27</v>
      </c>
      <c r="S736" s="5">
        <v>10.61</v>
      </c>
      <c r="T736">
        <v>73.78</v>
      </c>
      <c r="U736">
        <v>48.73</v>
      </c>
      <c r="V736" s="27">
        <f t="shared" si="44"/>
        <v>190.6</v>
      </c>
      <c r="W736">
        <f t="shared" si="45"/>
        <v>134.72</v>
      </c>
      <c r="X736" s="33" t="str">
        <f t="shared" si="46"/>
        <v>Mid Quality</v>
      </c>
      <c r="Y736" s="27" t="str">
        <f t="shared" si="47"/>
        <v>10</v>
      </c>
    </row>
    <row r="737" spans="1:25" x14ac:dyDescent="0.25">
      <c r="A737" s="1">
        <v>45411</v>
      </c>
      <c r="B737" t="s">
        <v>20</v>
      </c>
      <c r="C737">
        <v>1</v>
      </c>
      <c r="D737" t="s">
        <v>76</v>
      </c>
      <c r="E737" t="s">
        <v>51</v>
      </c>
      <c r="F737" t="s">
        <v>23</v>
      </c>
      <c r="G737" t="s">
        <v>60</v>
      </c>
      <c r="H737" t="s">
        <v>61</v>
      </c>
      <c r="I737">
        <v>5</v>
      </c>
      <c r="J737">
        <v>12.38</v>
      </c>
      <c r="K737">
        <v>8</v>
      </c>
      <c r="L737">
        <v>90.42</v>
      </c>
      <c r="M737">
        <v>70</v>
      </c>
      <c r="N737" t="s">
        <v>55</v>
      </c>
      <c r="O737">
        <v>37</v>
      </c>
      <c r="P737">
        <v>419</v>
      </c>
      <c r="Q737" s="27" t="str">
        <f>IF(D737=Pivot!$AS$4,R736, "")</f>
        <v/>
      </c>
      <c r="R737" t="s">
        <v>27</v>
      </c>
      <c r="S737" s="5">
        <v>8.83</v>
      </c>
      <c r="T737">
        <v>77.34</v>
      </c>
      <c r="U737">
        <v>105.49</v>
      </c>
      <c r="V737" s="27">
        <f t="shared" si="44"/>
        <v>495.20000000000005</v>
      </c>
      <c r="W737">
        <f t="shared" si="45"/>
        <v>195.91</v>
      </c>
      <c r="X737" s="33" t="str">
        <f t="shared" si="46"/>
        <v>Mid Quality</v>
      </c>
      <c r="Y737" s="27" t="str">
        <f t="shared" si="47"/>
        <v>14</v>
      </c>
    </row>
    <row r="738" spans="1:25" x14ac:dyDescent="0.25">
      <c r="A738" s="1">
        <v>45454</v>
      </c>
      <c r="B738" t="s">
        <v>20</v>
      </c>
      <c r="C738">
        <v>2</v>
      </c>
      <c r="D738" t="s">
        <v>91</v>
      </c>
      <c r="E738" t="s">
        <v>30</v>
      </c>
      <c r="F738" t="s">
        <v>87</v>
      </c>
      <c r="G738" t="s">
        <v>39</v>
      </c>
      <c r="H738" t="s">
        <v>25</v>
      </c>
      <c r="I738">
        <v>1</v>
      </c>
      <c r="J738">
        <v>2.36</v>
      </c>
      <c r="K738">
        <v>7</v>
      </c>
      <c r="L738">
        <v>315.83999999999997</v>
      </c>
      <c r="M738">
        <v>9</v>
      </c>
      <c r="N738" t="s">
        <v>41</v>
      </c>
      <c r="O738">
        <v>11</v>
      </c>
      <c r="P738">
        <v>632</v>
      </c>
      <c r="Q738" s="27" t="str">
        <f>IF(D738=Pivot!$AS$4,R737, "")</f>
        <v/>
      </c>
      <c r="R738" t="s">
        <v>27</v>
      </c>
      <c r="S738" s="5">
        <v>1.74</v>
      </c>
      <c r="T738">
        <v>95.52</v>
      </c>
      <c r="U738">
        <v>47.38</v>
      </c>
      <c r="V738" s="27">
        <f t="shared" si="44"/>
        <v>16.52</v>
      </c>
      <c r="W738">
        <f t="shared" si="45"/>
        <v>363.21999999999997</v>
      </c>
      <c r="X738" s="33" t="str">
        <f t="shared" si="46"/>
        <v>High Quality</v>
      </c>
      <c r="Y738" s="27" t="str">
        <f t="shared" si="47"/>
        <v>4</v>
      </c>
    </row>
    <row r="739" spans="1:25" x14ac:dyDescent="0.25">
      <c r="A739" s="1">
        <v>45577</v>
      </c>
      <c r="B739" t="s">
        <v>50</v>
      </c>
      <c r="C739">
        <v>1</v>
      </c>
      <c r="D739" t="s">
        <v>53</v>
      </c>
      <c r="E739" t="s">
        <v>51</v>
      </c>
      <c r="F739" t="s">
        <v>72</v>
      </c>
      <c r="G739" t="s">
        <v>60</v>
      </c>
      <c r="H739" t="s">
        <v>61</v>
      </c>
      <c r="I739">
        <v>2</v>
      </c>
      <c r="J739">
        <v>5.31</v>
      </c>
      <c r="K739">
        <v>9</v>
      </c>
      <c r="L739">
        <v>319.70999999999998</v>
      </c>
      <c r="M739">
        <v>46</v>
      </c>
      <c r="N739" t="s">
        <v>45</v>
      </c>
      <c r="O739">
        <v>11</v>
      </c>
      <c r="P739">
        <v>996</v>
      </c>
      <c r="Q739" s="27" t="str">
        <f>IF(D739=Pivot!$AS$4,R738, "")</f>
        <v/>
      </c>
      <c r="R739" t="s">
        <v>27</v>
      </c>
      <c r="S739" s="5">
        <v>1.1000000000000001</v>
      </c>
      <c r="T739">
        <v>95.8</v>
      </c>
      <c r="U739">
        <v>245.11</v>
      </c>
      <c r="V739" s="27">
        <f t="shared" si="44"/>
        <v>95.58</v>
      </c>
      <c r="W739">
        <f t="shared" si="45"/>
        <v>564.81999999999994</v>
      </c>
      <c r="X739" s="33" t="str">
        <f t="shared" si="46"/>
        <v>High Quality</v>
      </c>
      <c r="Y739" s="27" t="str">
        <f t="shared" si="47"/>
        <v>6</v>
      </c>
    </row>
    <row r="740" spans="1:25" x14ac:dyDescent="0.25">
      <c r="A740" s="1">
        <v>45469</v>
      </c>
      <c r="B740" t="s">
        <v>50</v>
      </c>
      <c r="C740">
        <v>2</v>
      </c>
      <c r="D740" t="s">
        <v>76</v>
      </c>
      <c r="E740" t="s">
        <v>22</v>
      </c>
      <c r="F740" t="s">
        <v>31</v>
      </c>
      <c r="G740" t="s">
        <v>24</v>
      </c>
      <c r="H740" t="s">
        <v>33</v>
      </c>
      <c r="I740">
        <v>5</v>
      </c>
      <c r="J740">
        <v>18.7</v>
      </c>
      <c r="K740">
        <v>7</v>
      </c>
      <c r="L740">
        <v>238.44</v>
      </c>
      <c r="M740">
        <v>88</v>
      </c>
      <c r="N740" t="s">
        <v>41</v>
      </c>
      <c r="O740">
        <v>13</v>
      </c>
      <c r="P740">
        <v>596</v>
      </c>
      <c r="Q740" s="27" t="str">
        <f>IF(D740=Pivot!$AS$4,R739, "")</f>
        <v/>
      </c>
      <c r="R740" t="s">
        <v>34</v>
      </c>
      <c r="S740" s="5">
        <v>2.1800000000000002</v>
      </c>
      <c r="T740">
        <v>90.64</v>
      </c>
      <c r="U740">
        <v>349.71</v>
      </c>
      <c r="V740" s="27">
        <f t="shared" si="44"/>
        <v>654.5</v>
      </c>
      <c r="W740">
        <f t="shared" si="45"/>
        <v>588.15</v>
      </c>
      <c r="X740" s="33" t="str">
        <f t="shared" si="46"/>
        <v>Low Quality</v>
      </c>
      <c r="Y740" s="27" t="str">
        <f t="shared" si="47"/>
        <v>20</v>
      </c>
    </row>
    <row r="741" spans="1:25" x14ac:dyDescent="0.25">
      <c r="A741" s="1">
        <v>45516</v>
      </c>
      <c r="B741" t="s">
        <v>20</v>
      </c>
      <c r="C741">
        <v>1</v>
      </c>
      <c r="D741" t="s">
        <v>85</v>
      </c>
      <c r="E741" t="s">
        <v>22</v>
      </c>
      <c r="F741" t="s">
        <v>81</v>
      </c>
      <c r="G741" t="s">
        <v>39</v>
      </c>
      <c r="H741" t="s">
        <v>61</v>
      </c>
      <c r="I741">
        <v>3</v>
      </c>
      <c r="J741">
        <v>18.260000000000002</v>
      </c>
      <c r="K741">
        <v>1</v>
      </c>
      <c r="L741">
        <v>244.33</v>
      </c>
      <c r="M741">
        <v>9</v>
      </c>
      <c r="N741" t="s">
        <v>49</v>
      </c>
      <c r="O741">
        <v>14</v>
      </c>
      <c r="P741">
        <v>462</v>
      </c>
      <c r="Q741" s="27" t="str">
        <f>IF(D741=Pivot!$AS$4,R740, "")</f>
        <v/>
      </c>
      <c r="R741" t="s">
        <v>57</v>
      </c>
      <c r="S741" s="5">
        <v>3.03</v>
      </c>
      <c r="T741">
        <v>90.94</v>
      </c>
      <c r="U741">
        <v>36.65</v>
      </c>
      <c r="V741" s="27">
        <f t="shared" si="44"/>
        <v>54.78</v>
      </c>
      <c r="W741">
        <f t="shared" si="45"/>
        <v>280.98</v>
      </c>
      <c r="X741" s="33" t="str">
        <f t="shared" si="46"/>
        <v>Low Quality</v>
      </c>
      <c r="Y741" s="27" t="str">
        <f t="shared" si="47"/>
        <v>20</v>
      </c>
    </row>
    <row r="742" spans="1:25" x14ac:dyDescent="0.25">
      <c r="A742" s="1">
        <v>45390</v>
      </c>
      <c r="B742" t="s">
        <v>50</v>
      </c>
      <c r="C742">
        <v>3</v>
      </c>
      <c r="D742" t="s">
        <v>64</v>
      </c>
      <c r="E742" t="s">
        <v>37</v>
      </c>
      <c r="F742" t="s">
        <v>69</v>
      </c>
      <c r="G742" t="s">
        <v>24</v>
      </c>
      <c r="H742" t="s">
        <v>33</v>
      </c>
      <c r="I742">
        <v>1</v>
      </c>
      <c r="J742">
        <v>15.84</v>
      </c>
      <c r="K742">
        <v>2</v>
      </c>
      <c r="L742">
        <v>74.27</v>
      </c>
      <c r="M742">
        <v>54</v>
      </c>
      <c r="N742" t="s">
        <v>55</v>
      </c>
      <c r="O742">
        <v>8</v>
      </c>
      <c r="P742">
        <v>471</v>
      </c>
      <c r="Q742" s="27" t="str">
        <f>IF(D742=Pivot!$AS$4,R741, "")</f>
        <v/>
      </c>
      <c r="R742" t="s">
        <v>27</v>
      </c>
      <c r="S742" s="5">
        <v>1.7</v>
      </c>
      <c r="T742">
        <v>95.6</v>
      </c>
      <c r="U742">
        <v>66.84</v>
      </c>
      <c r="V742" s="27">
        <f t="shared" si="44"/>
        <v>31.68</v>
      </c>
      <c r="W742">
        <f t="shared" si="45"/>
        <v>141.11000000000001</v>
      </c>
      <c r="X742" s="33" t="str">
        <f t="shared" si="46"/>
        <v>Low Quality</v>
      </c>
      <c r="Y742" s="27" t="str">
        <f t="shared" si="47"/>
        <v>16</v>
      </c>
    </row>
    <row r="743" spans="1:25" x14ac:dyDescent="0.25">
      <c r="A743" s="1">
        <v>45302</v>
      </c>
      <c r="B743" t="s">
        <v>20</v>
      </c>
      <c r="C743">
        <v>2</v>
      </c>
      <c r="D743" t="s">
        <v>21</v>
      </c>
      <c r="E743" t="s">
        <v>30</v>
      </c>
      <c r="F743" t="s">
        <v>38</v>
      </c>
      <c r="G743" t="s">
        <v>39</v>
      </c>
      <c r="H743" t="s">
        <v>25</v>
      </c>
      <c r="I743">
        <v>4</v>
      </c>
      <c r="J743">
        <v>1.37</v>
      </c>
      <c r="K743">
        <v>6</v>
      </c>
      <c r="L743">
        <v>282.45</v>
      </c>
      <c r="M743">
        <v>89</v>
      </c>
      <c r="N743" t="s">
        <v>55</v>
      </c>
      <c r="O743">
        <v>25</v>
      </c>
      <c r="P743">
        <v>991</v>
      </c>
      <c r="Q743" s="27" t="str">
        <f>IF(D743=Pivot!$AS$4,R742, "")</f>
        <v/>
      </c>
      <c r="R743" t="s">
        <v>46</v>
      </c>
      <c r="S743" s="5">
        <v>2.52</v>
      </c>
      <c r="T743">
        <v>90.96</v>
      </c>
      <c r="U743">
        <v>418.97</v>
      </c>
      <c r="V743" s="27">
        <f t="shared" si="44"/>
        <v>32.880000000000003</v>
      </c>
      <c r="W743">
        <f t="shared" si="45"/>
        <v>701.42000000000007</v>
      </c>
      <c r="X743" s="33" t="str">
        <f t="shared" si="46"/>
        <v>High Quality</v>
      </c>
      <c r="Y743" s="27" t="str">
        <f t="shared" si="47"/>
        <v>2</v>
      </c>
    </row>
    <row r="744" spans="1:25" x14ac:dyDescent="0.25">
      <c r="A744" s="1">
        <v>45485</v>
      </c>
      <c r="B744" t="s">
        <v>20</v>
      </c>
      <c r="C744">
        <v>3</v>
      </c>
      <c r="D744" t="s">
        <v>47</v>
      </c>
      <c r="E744" t="s">
        <v>51</v>
      </c>
      <c r="F744" t="s">
        <v>62</v>
      </c>
      <c r="G744" t="s">
        <v>60</v>
      </c>
      <c r="H744" t="s">
        <v>33</v>
      </c>
      <c r="I744">
        <v>2</v>
      </c>
      <c r="J744">
        <v>7.21</v>
      </c>
      <c r="K744">
        <v>7</v>
      </c>
      <c r="L744">
        <v>277.13</v>
      </c>
      <c r="M744">
        <v>62</v>
      </c>
      <c r="N744" t="s">
        <v>49</v>
      </c>
      <c r="O744">
        <v>18</v>
      </c>
      <c r="P744">
        <v>754</v>
      </c>
      <c r="Q744" s="27" t="str">
        <f>IF(D744=Pivot!$AS$4,R743, "")</f>
        <v/>
      </c>
      <c r="R744" t="s">
        <v>34</v>
      </c>
      <c r="S744" s="5">
        <v>2.39</v>
      </c>
      <c r="T744">
        <v>93.22</v>
      </c>
      <c r="U744">
        <v>286.37</v>
      </c>
      <c r="V744" s="27">
        <f t="shared" si="44"/>
        <v>100.94</v>
      </c>
      <c r="W744">
        <f t="shared" si="45"/>
        <v>563.5</v>
      </c>
      <c r="X744" s="33" t="str">
        <f t="shared" si="46"/>
        <v>Mid Quality</v>
      </c>
      <c r="Y744" s="27" t="str">
        <f t="shared" si="47"/>
        <v>8</v>
      </c>
    </row>
    <row r="745" spans="1:25" x14ac:dyDescent="0.25">
      <c r="A745" s="1">
        <v>45475</v>
      </c>
      <c r="B745" t="s">
        <v>28</v>
      </c>
      <c r="C745">
        <v>2</v>
      </c>
      <c r="D745" t="s">
        <v>83</v>
      </c>
      <c r="E745" t="s">
        <v>22</v>
      </c>
      <c r="F745" t="s">
        <v>68</v>
      </c>
      <c r="G745" t="s">
        <v>32</v>
      </c>
      <c r="H745" t="s">
        <v>25</v>
      </c>
      <c r="I745">
        <v>1</v>
      </c>
      <c r="J745">
        <v>12.93</v>
      </c>
      <c r="K745">
        <v>3</v>
      </c>
      <c r="L745">
        <v>117.3</v>
      </c>
      <c r="M745">
        <v>83</v>
      </c>
      <c r="N745" t="s">
        <v>45</v>
      </c>
      <c r="O745">
        <v>44</v>
      </c>
      <c r="P745">
        <v>135</v>
      </c>
      <c r="Q745" s="27" t="str">
        <f>IF(D745=Pivot!$AS$4,R744, "")</f>
        <v/>
      </c>
      <c r="R745" t="s">
        <v>57</v>
      </c>
      <c r="S745" s="5">
        <v>32.590000000000003</v>
      </c>
      <c r="T745">
        <v>33.82</v>
      </c>
      <c r="U745">
        <v>162.26</v>
      </c>
      <c r="V745" s="27">
        <f t="shared" si="44"/>
        <v>38.79</v>
      </c>
      <c r="W745">
        <f t="shared" si="45"/>
        <v>279.56</v>
      </c>
      <c r="X745" s="33" t="str">
        <f t="shared" si="46"/>
        <v>Mid Quality</v>
      </c>
      <c r="Y745" s="27" t="str">
        <f t="shared" si="47"/>
        <v>14</v>
      </c>
    </row>
    <row r="746" spans="1:25" x14ac:dyDescent="0.25">
      <c r="A746" s="1">
        <v>45360</v>
      </c>
      <c r="B746" t="s">
        <v>75</v>
      </c>
      <c r="C746">
        <v>3</v>
      </c>
      <c r="D746" t="s">
        <v>29</v>
      </c>
      <c r="E746" t="s">
        <v>67</v>
      </c>
      <c r="F746" t="s">
        <v>23</v>
      </c>
      <c r="G746" t="s">
        <v>52</v>
      </c>
      <c r="H746" t="s">
        <v>25</v>
      </c>
      <c r="I746">
        <v>5</v>
      </c>
      <c r="J746">
        <v>6.23</v>
      </c>
      <c r="K746">
        <v>9</v>
      </c>
      <c r="L746">
        <v>96.73</v>
      </c>
      <c r="M746">
        <v>88</v>
      </c>
      <c r="N746" t="s">
        <v>55</v>
      </c>
      <c r="O746">
        <v>44</v>
      </c>
      <c r="P746">
        <v>402</v>
      </c>
      <c r="Q746" s="27" t="str">
        <f>IF(D746=Pivot!$AS$4,R745, "")</f>
        <v/>
      </c>
      <c r="R746" t="s">
        <v>27</v>
      </c>
      <c r="S746" s="5">
        <v>10.95</v>
      </c>
      <c r="T746">
        <v>73.099999999999994</v>
      </c>
      <c r="U746">
        <v>141.87</v>
      </c>
      <c r="V746" s="27">
        <f t="shared" si="44"/>
        <v>280.35000000000002</v>
      </c>
      <c r="W746">
        <f t="shared" si="45"/>
        <v>238.60000000000002</v>
      </c>
      <c r="X746" s="33" t="str">
        <f t="shared" si="46"/>
        <v>Mid Quality</v>
      </c>
      <c r="Y746" s="27" t="str">
        <f t="shared" si="47"/>
        <v>8</v>
      </c>
    </row>
    <row r="747" spans="1:25" x14ac:dyDescent="0.25">
      <c r="A747" s="1">
        <v>45420</v>
      </c>
      <c r="B747" t="s">
        <v>20</v>
      </c>
      <c r="C747">
        <v>1</v>
      </c>
      <c r="D747" t="s">
        <v>29</v>
      </c>
      <c r="E747" t="s">
        <v>22</v>
      </c>
      <c r="F747" t="s">
        <v>54</v>
      </c>
      <c r="G747" t="s">
        <v>24</v>
      </c>
      <c r="H747" t="s">
        <v>48</v>
      </c>
      <c r="I747">
        <v>2</v>
      </c>
      <c r="J747">
        <v>18.28</v>
      </c>
      <c r="K747">
        <v>7</v>
      </c>
      <c r="L747">
        <v>105.61</v>
      </c>
      <c r="M747">
        <v>12</v>
      </c>
      <c r="N747" t="s">
        <v>26</v>
      </c>
      <c r="O747">
        <v>18</v>
      </c>
      <c r="P747">
        <v>537</v>
      </c>
      <c r="Q747" s="27" t="str">
        <f>IF(D747=Pivot!$AS$4,R746, "")</f>
        <v/>
      </c>
      <c r="R747" t="s">
        <v>57</v>
      </c>
      <c r="S747" s="5">
        <v>3.35</v>
      </c>
      <c r="T747">
        <v>91.3</v>
      </c>
      <c r="U747">
        <v>21.12</v>
      </c>
      <c r="V747" s="27">
        <f t="shared" si="44"/>
        <v>255.92000000000002</v>
      </c>
      <c r="W747">
        <f t="shared" si="45"/>
        <v>126.73</v>
      </c>
      <c r="X747" s="33" t="str">
        <f t="shared" si="46"/>
        <v>Low Quality</v>
      </c>
      <c r="Y747" s="27" t="str">
        <f t="shared" si="47"/>
        <v>20</v>
      </c>
    </row>
    <row r="748" spans="1:25" x14ac:dyDescent="0.25">
      <c r="A748" s="1">
        <v>45312</v>
      </c>
      <c r="B748" t="s">
        <v>35</v>
      </c>
      <c r="C748">
        <v>1</v>
      </c>
      <c r="D748" t="s">
        <v>88</v>
      </c>
      <c r="E748" t="s">
        <v>67</v>
      </c>
      <c r="F748" t="s">
        <v>23</v>
      </c>
      <c r="G748" t="s">
        <v>60</v>
      </c>
      <c r="H748" t="s">
        <v>25</v>
      </c>
      <c r="I748">
        <v>3</v>
      </c>
      <c r="J748">
        <v>13.04</v>
      </c>
      <c r="K748">
        <v>6</v>
      </c>
      <c r="L748">
        <v>95.46</v>
      </c>
      <c r="M748">
        <v>35</v>
      </c>
      <c r="N748" t="s">
        <v>26</v>
      </c>
      <c r="O748">
        <v>10</v>
      </c>
      <c r="P748">
        <v>825</v>
      </c>
      <c r="Q748" s="27" t="str">
        <f>IF(D748=Pivot!$AS$4,R747, "")</f>
        <v/>
      </c>
      <c r="R748" t="s">
        <v>46</v>
      </c>
      <c r="S748" s="5">
        <v>1.21</v>
      </c>
      <c r="T748">
        <v>94.58</v>
      </c>
      <c r="U748">
        <v>55.68</v>
      </c>
      <c r="V748" s="27">
        <f t="shared" si="44"/>
        <v>234.71999999999997</v>
      </c>
      <c r="W748">
        <f t="shared" si="45"/>
        <v>151.13999999999999</v>
      </c>
      <c r="X748" s="33" t="str">
        <f t="shared" si="46"/>
        <v>Mid Quality</v>
      </c>
      <c r="Y748" s="27" t="str">
        <f t="shared" si="47"/>
        <v>14</v>
      </c>
    </row>
    <row r="749" spans="1:25" x14ac:dyDescent="0.25">
      <c r="A749" s="1">
        <v>45540</v>
      </c>
      <c r="B749" t="s">
        <v>65</v>
      </c>
      <c r="C749">
        <v>1</v>
      </c>
      <c r="D749" t="s">
        <v>85</v>
      </c>
      <c r="E749" t="s">
        <v>51</v>
      </c>
      <c r="F749" t="s">
        <v>89</v>
      </c>
      <c r="G749" t="s">
        <v>32</v>
      </c>
      <c r="H749" t="s">
        <v>33</v>
      </c>
      <c r="I749">
        <v>2</v>
      </c>
      <c r="J749">
        <v>2.37</v>
      </c>
      <c r="K749">
        <v>6</v>
      </c>
      <c r="L749">
        <v>324.37</v>
      </c>
      <c r="M749">
        <v>16</v>
      </c>
      <c r="N749" t="s">
        <v>26</v>
      </c>
      <c r="O749">
        <v>7</v>
      </c>
      <c r="P749">
        <v>131</v>
      </c>
      <c r="Q749" s="27" t="str">
        <f>IF(D749=Pivot!$AS$4,R748, "")</f>
        <v/>
      </c>
      <c r="R749" t="s">
        <v>34</v>
      </c>
      <c r="S749" s="5">
        <v>5.34</v>
      </c>
      <c r="T749">
        <v>87.32</v>
      </c>
      <c r="U749">
        <v>86.5</v>
      </c>
      <c r="V749" s="27">
        <f t="shared" si="44"/>
        <v>28.44</v>
      </c>
      <c r="W749">
        <f t="shared" si="45"/>
        <v>410.87</v>
      </c>
      <c r="X749" s="33" t="str">
        <f t="shared" si="46"/>
        <v>High Quality</v>
      </c>
      <c r="Y749" s="27" t="str">
        <f t="shared" si="47"/>
        <v>4</v>
      </c>
    </row>
    <row r="750" spans="1:25" x14ac:dyDescent="0.25">
      <c r="A750" s="1">
        <v>45516</v>
      </c>
      <c r="B750" t="s">
        <v>75</v>
      </c>
      <c r="C750">
        <v>2</v>
      </c>
      <c r="D750" t="s">
        <v>36</v>
      </c>
      <c r="E750" t="s">
        <v>22</v>
      </c>
      <c r="F750" t="s">
        <v>69</v>
      </c>
      <c r="G750" t="s">
        <v>60</v>
      </c>
      <c r="H750" t="s">
        <v>48</v>
      </c>
      <c r="I750">
        <v>2</v>
      </c>
      <c r="J750">
        <v>18.27</v>
      </c>
      <c r="K750">
        <v>1</v>
      </c>
      <c r="L750">
        <v>138.41999999999999</v>
      </c>
      <c r="M750">
        <v>25</v>
      </c>
      <c r="N750" t="s">
        <v>63</v>
      </c>
      <c r="O750">
        <v>44</v>
      </c>
      <c r="P750">
        <v>285</v>
      </c>
      <c r="Q750" s="27" t="str">
        <f>IF(D750=Pivot!$AS$4,R749, "")</f>
        <v/>
      </c>
      <c r="R750" t="s">
        <v>34</v>
      </c>
      <c r="S750" s="5">
        <v>15.44</v>
      </c>
      <c r="T750">
        <v>67.12</v>
      </c>
      <c r="U750">
        <v>57.68</v>
      </c>
      <c r="V750" s="27">
        <f t="shared" si="44"/>
        <v>36.54</v>
      </c>
      <c r="W750">
        <f t="shared" si="45"/>
        <v>196.1</v>
      </c>
      <c r="X750" s="33" t="str">
        <f t="shared" si="46"/>
        <v>Low Quality</v>
      </c>
      <c r="Y750" s="27" t="str">
        <f t="shared" si="47"/>
        <v>20</v>
      </c>
    </row>
    <row r="751" spans="1:25" x14ac:dyDescent="0.25">
      <c r="A751" s="1">
        <v>45578</v>
      </c>
      <c r="B751" t="s">
        <v>75</v>
      </c>
      <c r="C751">
        <v>3</v>
      </c>
      <c r="D751" t="s">
        <v>91</v>
      </c>
      <c r="E751" t="s">
        <v>22</v>
      </c>
      <c r="F751" t="s">
        <v>78</v>
      </c>
      <c r="G751" t="s">
        <v>24</v>
      </c>
      <c r="H751" t="s">
        <v>48</v>
      </c>
      <c r="I751">
        <v>3</v>
      </c>
      <c r="J751">
        <v>19.2</v>
      </c>
      <c r="K751">
        <v>5</v>
      </c>
      <c r="L751">
        <v>163.13999999999999</v>
      </c>
      <c r="M751">
        <v>66</v>
      </c>
      <c r="N751" t="s">
        <v>63</v>
      </c>
      <c r="O751">
        <v>14</v>
      </c>
      <c r="P751">
        <v>273</v>
      </c>
      <c r="Q751" s="27" t="str">
        <f>IF(D751=Pivot!$AS$4,R750, "")</f>
        <v/>
      </c>
      <c r="R751" t="s">
        <v>57</v>
      </c>
      <c r="S751" s="5">
        <v>5.13</v>
      </c>
      <c r="T751">
        <v>86.74</v>
      </c>
      <c r="U751">
        <v>179.45</v>
      </c>
      <c r="V751" s="27">
        <f t="shared" si="44"/>
        <v>288</v>
      </c>
      <c r="W751">
        <f t="shared" si="45"/>
        <v>342.59</v>
      </c>
      <c r="X751" s="33" t="str">
        <f t="shared" si="46"/>
        <v>Low Quality</v>
      </c>
      <c r="Y751" s="27" t="str">
        <f t="shared" si="47"/>
        <v>20</v>
      </c>
    </row>
    <row r="752" spans="1:25" x14ac:dyDescent="0.25">
      <c r="A752" s="1">
        <v>45442</v>
      </c>
      <c r="B752" t="s">
        <v>75</v>
      </c>
      <c r="C752">
        <v>1</v>
      </c>
      <c r="D752" t="s">
        <v>58</v>
      </c>
      <c r="E752" t="s">
        <v>51</v>
      </c>
      <c r="F752" t="s">
        <v>84</v>
      </c>
      <c r="G752" t="s">
        <v>52</v>
      </c>
      <c r="H752" t="s">
        <v>25</v>
      </c>
      <c r="I752">
        <v>3</v>
      </c>
      <c r="J752">
        <v>2.48</v>
      </c>
      <c r="K752">
        <v>3</v>
      </c>
      <c r="L752">
        <v>128.11000000000001</v>
      </c>
      <c r="M752">
        <v>37</v>
      </c>
      <c r="N752" t="s">
        <v>45</v>
      </c>
      <c r="O752">
        <v>15</v>
      </c>
      <c r="P752">
        <v>665</v>
      </c>
      <c r="Q752" s="27" t="str">
        <f>IF(D752=Pivot!$AS$4,R751, "")</f>
        <v/>
      </c>
      <c r="R752" t="s">
        <v>27</v>
      </c>
      <c r="S752" s="5">
        <v>2.2599999999999998</v>
      </c>
      <c r="T752">
        <v>92.48</v>
      </c>
      <c r="U752">
        <v>79</v>
      </c>
      <c r="V752" s="27">
        <f t="shared" si="44"/>
        <v>22.32</v>
      </c>
      <c r="W752">
        <f t="shared" si="45"/>
        <v>207.11</v>
      </c>
      <c r="X752" s="33" t="str">
        <f t="shared" si="46"/>
        <v>High Quality</v>
      </c>
      <c r="Y752" s="27" t="str">
        <f t="shared" si="47"/>
        <v>4</v>
      </c>
    </row>
    <row r="753" spans="1:25" x14ac:dyDescent="0.25">
      <c r="A753" s="1">
        <v>45569</v>
      </c>
      <c r="B753" t="s">
        <v>28</v>
      </c>
      <c r="C753">
        <v>3</v>
      </c>
      <c r="D753" t="s">
        <v>71</v>
      </c>
      <c r="E753" t="s">
        <v>22</v>
      </c>
      <c r="F753" t="s">
        <v>68</v>
      </c>
      <c r="G753" t="s">
        <v>60</v>
      </c>
      <c r="H753" t="s">
        <v>61</v>
      </c>
      <c r="I753">
        <v>2</v>
      </c>
      <c r="J753">
        <v>11.11</v>
      </c>
      <c r="K753">
        <v>7</v>
      </c>
      <c r="L753">
        <v>481.03</v>
      </c>
      <c r="M753">
        <v>30</v>
      </c>
      <c r="N753" t="s">
        <v>49</v>
      </c>
      <c r="O753">
        <v>16</v>
      </c>
      <c r="P753">
        <v>772</v>
      </c>
      <c r="Q753" s="27" t="str">
        <f>IF(D753=Pivot!$AS$4,R752, "")</f>
        <v/>
      </c>
      <c r="R753" t="s">
        <v>42</v>
      </c>
      <c r="S753" s="5">
        <v>2.0699999999999998</v>
      </c>
      <c r="T753">
        <v>93.86</v>
      </c>
      <c r="U753">
        <v>240.52</v>
      </c>
      <c r="V753" s="27">
        <f t="shared" si="44"/>
        <v>155.54</v>
      </c>
      <c r="W753">
        <f t="shared" si="45"/>
        <v>721.55</v>
      </c>
      <c r="X753" s="33" t="str">
        <f t="shared" si="46"/>
        <v>Mid Quality</v>
      </c>
      <c r="Y753" s="27" t="str">
        <f t="shared" si="47"/>
        <v>12</v>
      </c>
    </row>
    <row r="754" spans="1:25" x14ac:dyDescent="0.25">
      <c r="A754" s="1">
        <v>45542</v>
      </c>
      <c r="B754" t="s">
        <v>20</v>
      </c>
      <c r="C754">
        <v>3</v>
      </c>
      <c r="D754" t="s">
        <v>58</v>
      </c>
      <c r="E754" t="s">
        <v>67</v>
      </c>
      <c r="F754" t="s">
        <v>68</v>
      </c>
      <c r="G754" t="s">
        <v>39</v>
      </c>
      <c r="H754" t="s">
        <v>61</v>
      </c>
      <c r="I754">
        <v>3</v>
      </c>
      <c r="J754">
        <v>6.76</v>
      </c>
      <c r="K754">
        <v>3</v>
      </c>
      <c r="L754">
        <v>434.58</v>
      </c>
      <c r="M754">
        <v>44</v>
      </c>
      <c r="N754" t="s">
        <v>41</v>
      </c>
      <c r="O754">
        <v>2</v>
      </c>
      <c r="P754">
        <v>349</v>
      </c>
      <c r="Q754" s="27" t="str">
        <f>IF(D754=Pivot!$AS$4,R753, "")</f>
        <v/>
      </c>
      <c r="R754" t="s">
        <v>34</v>
      </c>
      <c r="S754" s="5">
        <v>0.56999999999999995</v>
      </c>
      <c r="T754">
        <v>95.86</v>
      </c>
      <c r="U754">
        <v>318.69</v>
      </c>
      <c r="V754" s="27">
        <f t="shared" si="44"/>
        <v>60.839999999999996</v>
      </c>
      <c r="W754">
        <f t="shared" si="45"/>
        <v>753.27</v>
      </c>
      <c r="X754" s="33" t="str">
        <f t="shared" si="46"/>
        <v>Mid Quality</v>
      </c>
      <c r="Y754" s="27" t="str">
        <f t="shared" si="47"/>
        <v>8</v>
      </c>
    </row>
    <row r="755" spans="1:25" x14ac:dyDescent="0.25">
      <c r="A755" s="1">
        <v>45389</v>
      </c>
      <c r="B755" t="s">
        <v>28</v>
      </c>
      <c r="C755">
        <v>1</v>
      </c>
      <c r="D755" t="s">
        <v>74</v>
      </c>
      <c r="E755" t="s">
        <v>22</v>
      </c>
      <c r="F755" t="s">
        <v>62</v>
      </c>
      <c r="G755" t="s">
        <v>32</v>
      </c>
      <c r="H755" t="s">
        <v>48</v>
      </c>
      <c r="I755">
        <v>1</v>
      </c>
      <c r="J755">
        <v>8.4600000000000009</v>
      </c>
      <c r="K755">
        <v>5</v>
      </c>
      <c r="L755">
        <v>153.72</v>
      </c>
      <c r="M755">
        <v>69</v>
      </c>
      <c r="N755" t="s">
        <v>45</v>
      </c>
      <c r="O755">
        <v>30</v>
      </c>
      <c r="P755">
        <v>862</v>
      </c>
      <c r="Q755" s="27" t="str">
        <f>IF(D755=Pivot!$AS$4,R754, "")</f>
        <v/>
      </c>
      <c r="R755" t="s">
        <v>42</v>
      </c>
      <c r="S755" s="5">
        <v>3.48</v>
      </c>
      <c r="T755">
        <v>92.04</v>
      </c>
      <c r="U755">
        <v>176.78</v>
      </c>
      <c r="V755" s="27">
        <f t="shared" si="44"/>
        <v>42.300000000000004</v>
      </c>
      <c r="W755">
        <f t="shared" si="45"/>
        <v>330.5</v>
      </c>
      <c r="X755" s="33" t="str">
        <f t="shared" si="46"/>
        <v>Mid Quality</v>
      </c>
      <c r="Y755" s="27" t="str">
        <f t="shared" si="47"/>
        <v>10</v>
      </c>
    </row>
    <row r="756" spans="1:25" x14ac:dyDescent="0.25">
      <c r="A756" s="1">
        <v>45582</v>
      </c>
      <c r="B756" t="s">
        <v>20</v>
      </c>
      <c r="C756">
        <v>1</v>
      </c>
      <c r="D756" t="s">
        <v>64</v>
      </c>
      <c r="E756" t="s">
        <v>30</v>
      </c>
      <c r="F756" t="s">
        <v>81</v>
      </c>
      <c r="G756" t="s">
        <v>60</v>
      </c>
      <c r="H756" t="s">
        <v>25</v>
      </c>
      <c r="I756">
        <v>3</v>
      </c>
      <c r="J756">
        <v>4.41</v>
      </c>
      <c r="K756">
        <v>7</v>
      </c>
      <c r="L756">
        <v>197.4</v>
      </c>
      <c r="M756">
        <v>63</v>
      </c>
      <c r="N756" t="s">
        <v>41</v>
      </c>
      <c r="O756">
        <v>30</v>
      </c>
      <c r="P756">
        <v>378</v>
      </c>
      <c r="Q756" s="27" t="str">
        <f>IF(D756=Pivot!$AS$4,R755, "")</f>
        <v/>
      </c>
      <c r="R756" t="s">
        <v>34</v>
      </c>
      <c r="S756" s="5">
        <v>7.94</v>
      </c>
      <c r="T756">
        <v>81.12</v>
      </c>
      <c r="U756">
        <v>207.27</v>
      </c>
      <c r="V756" s="27">
        <f t="shared" si="44"/>
        <v>92.61</v>
      </c>
      <c r="W756">
        <f t="shared" si="45"/>
        <v>404.67</v>
      </c>
      <c r="X756" s="33" t="str">
        <f t="shared" si="46"/>
        <v>High Quality</v>
      </c>
      <c r="Y756" s="27" t="str">
        <f t="shared" si="47"/>
        <v>6</v>
      </c>
    </row>
    <row r="757" spans="1:25" x14ac:dyDescent="0.25">
      <c r="A757" s="1">
        <v>45387</v>
      </c>
      <c r="B757" t="s">
        <v>28</v>
      </c>
      <c r="C757">
        <v>3</v>
      </c>
      <c r="D757" t="s">
        <v>79</v>
      </c>
      <c r="E757" t="s">
        <v>37</v>
      </c>
      <c r="F757" t="s">
        <v>89</v>
      </c>
      <c r="G757" t="s">
        <v>32</v>
      </c>
      <c r="H757" t="s">
        <v>61</v>
      </c>
      <c r="I757">
        <v>3</v>
      </c>
      <c r="J757">
        <v>11.98</v>
      </c>
      <c r="K757">
        <v>3</v>
      </c>
      <c r="L757">
        <v>144.44999999999999</v>
      </c>
      <c r="M757">
        <v>19</v>
      </c>
      <c r="N757" t="s">
        <v>45</v>
      </c>
      <c r="O757">
        <v>18</v>
      </c>
      <c r="P757">
        <v>782</v>
      </c>
      <c r="Q757" s="27" t="str">
        <f>IF(D757=Pivot!$AS$4,R756, "")</f>
        <v/>
      </c>
      <c r="R757" t="s">
        <v>27</v>
      </c>
      <c r="S757" s="5">
        <v>2.2999999999999998</v>
      </c>
      <c r="T757">
        <v>92.4</v>
      </c>
      <c r="U757">
        <v>45.74</v>
      </c>
      <c r="V757" s="27">
        <f t="shared" si="44"/>
        <v>107.82000000000001</v>
      </c>
      <c r="W757">
        <f t="shared" si="45"/>
        <v>190.19</v>
      </c>
      <c r="X757" s="33" t="str">
        <f t="shared" si="46"/>
        <v>Mid Quality</v>
      </c>
      <c r="Y757" s="27" t="str">
        <f t="shared" si="47"/>
        <v>12</v>
      </c>
    </row>
    <row r="758" spans="1:25" x14ac:dyDescent="0.25">
      <c r="A758" s="1">
        <v>45570</v>
      </c>
      <c r="B758" t="s">
        <v>28</v>
      </c>
      <c r="C758">
        <v>1</v>
      </c>
      <c r="D758" t="s">
        <v>64</v>
      </c>
      <c r="E758" t="s">
        <v>67</v>
      </c>
      <c r="F758" t="s">
        <v>90</v>
      </c>
      <c r="G758" t="s">
        <v>39</v>
      </c>
      <c r="H758" t="s">
        <v>25</v>
      </c>
      <c r="I758">
        <v>2</v>
      </c>
      <c r="J758">
        <v>19.2</v>
      </c>
      <c r="K758">
        <v>2</v>
      </c>
      <c r="L758">
        <v>271.33999999999997</v>
      </c>
      <c r="M758">
        <v>5</v>
      </c>
      <c r="N758" t="s">
        <v>63</v>
      </c>
      <c r="O758">
        <v>31</v>
      </c>
      <c r="P758">
        <v>794</v>
      </c>
      <c r="Q758" s="27" t="str">
        <f>IF(D758=Pivot!$AS$4,R757, "")</f>
        <v/>
      </c>
      <c r="R758" t="s">
        <v>27</v>
      </c>
      <c r="S758" s="5">
        <v>3.9</v>
      </c>
      <c r="T758">
        <v>90.2</v>
      </c>
      <c r="U758">
        <v>22.61</v>
      </c>
      <c r="V758" s="27">
        <f t="shared" si="44"/>
        <v>76.8</v>
      </c>
      <c r="W758">
        <f t="shared" si="45"/>
        <v>293.95</v>
      </c>
      <c r="X758" s="33" t="str">
        <f t="shared" si="46"/>
        <v>Low Quality</v>
      </c>
      <c r="Y758" s="27" t="str">
        <f t="shared" si="47"/>
        <v>20</v>
      </c>
    </row>
    <row r="759" spans="1:25" x14ac:dyDescent="0.25">
      <c r="A759" s="1">
        <v>45470</v>
      </c>
      <c r="B759" t="s">
        <v>65</v>
      </c>
      <c r="C759">
        <v>1</v>
      </c>
      <c r="D759" t="s">
        <v>85</v>
      </c>
      <c r="E759" t="s">
        <v>30</v>
      </c>
      <c r="F759" t="s">
        <v>59</v>
      </c>
      <c r="G759" t="s">
        <v>52</v>
      </c>
      <c r="H759" t="s">
        <v>25</v>
      </c>
      <c r="I759">
        <v>1</v>
      </c>
      <c r="J759">
        <v>10.56</v>
      </c>
      <c r="K759">
        <v>6</v>
      </c>
      <c r="L759">
        <v>58.82</v>
      </c>
      <c r="M759">
        <v>15</v>
      </c>
      <c r="N759" t="s">
        <v>26</v>
      </c>
      <c r="O759">
        <v>44</v>
      </c>
      <c r="P759">
        <v>101</v>
      </c>
      <c r="Q759" s="27" t="str">
        <f>IF(D759=Pivot!$AS$4,R758, "")</f>
        <v/>
      </c>
      <c r="R759" t="s">
        <v>34</v>
      </c>
      <c r="S759" s="5">
        <v>43.56</v>
      </c>
      <c r="T759">
        <v>11.88</v>
      </c>
      <c r="U759">
        <v>14.7</v>
      </c>
      <c r="V759" s="27">
        <f t="shared" si="44"/>
        <v>63.36</v>
      </c>
      <c r="W759">
        <f t="shared" si="45"/>
        <v>73.52</v>
      </c>
      <c r="X759" s="33" t="str">
        <f t="shared" si="46"/>
        <v>Mid Quality</v>
      </c>
      <c r="Y759" s="27" t="str">
        <f t="shared" si="47"/>
        <v>12</v>
      </c>
    </row>
    <row r="760" spans="1:25" x14ac:dyDescent="0.25">
      <c r="A760" s="1">
        <v>45457</v>
      </c>
      <c r="B760" t="s">
        <v>35</v>
      </c>
      <c r="C760">
        <v>1</v>
      </c>
      <c r="D760" t="s">
        <v>21</v>
      </c>
      <c r="E760" t="s">
        <v>51</v>
      </c>
      <c r="F760" t="s">
        <v>86</v>
      </c>
      <c r="G760" t="s">
        <v>52</v>
      </c>
      <c r="H760" t="s">
        <v>48</v>
      </c>
      <c r="I760">
        <v>4</v>
      </c>
      <c r="J760">
        <v>2.58</v>
      </c>
      <c r="K760">
        <v>8</v>
      </c>
      <c r="L760">
        <v>352.12</v>
      </c>
      <c r="M760">
        <v>59</v>
      </c>
      <c r="N760" t="s">
        <v>49</v>
      </c>
      <c r="O760">
        <v>48</v>
      </c>
      <c r="P760">
        <v>293</v>
      </c>
      <c r="Q760" s="27" t="str">
        <f>IF(D760=Pivot!$AS$4,R759, "")</f>
        <v/>
      </c>
      <c r="R760" t="s">
        <v>57</v>
      </c>
      <c r="S760" s="5">
        <v>16.38</v>
      </c>
      <c r="T760">
        <v>63.24</v>
      </c>
      <c r="U760">
        <v>346.25</v>
      </c>
      <c r="V760" s="27">
        <f t="shared" si="44"/>
        <v>82.56</v>
      </c>
      <c r="W760">
        <f t="shared" si="45"/>
        <v>698.37</v>
      </c>
      <c r="X760" s="33" t="str">
        <f t="shared" si="46"/>
        <v>High Quality</v>
      </c>
      <c r="Y760" s="27" t="str">
        <f t="shared" si="47"/>
        <v>4</v>
      </c>
    </row>
    <row r="761" spans="1:25" x14ac:dyDescent="0.25">
      <c r="A761" s="1">
        <v>45531</v>
      </c>
      <c r="B761" t="s">
        <v>28</v>
      </c>
      <c r="C761">
        <v>2</v>
      </c>
      <c r="D761" t="s">
        <v>77</v>
      </c>
      <c r="E761" t="s">
        <v>67</v>
      </c>
      <c r="F761" t="s">
        <v>78</v>
      </c>
      <c r="G761" t="s">
        <v>39</v>
      </c>
      <c r="H761" t="s">
        <v>48</v>
      </c>
      <c r="I761">
        <v>4</v>
      </c>
      <c r="J761">
        <v>12.78</v>
      </c>
      <c r="K761">
        <v>4</v>
      </c>
      <c r="L761">
        <v>285.42</v>
      </c>
      <c r="M761">
        <v>6</v>
      </c>
      <c r="N761" t="s">
        <v>63</v>
      </c>
      <c r="O761">
        <v>13</v>
      </c>
      <c r="P761">
        <v>265</v>
      </c>
      <c r="Q761" s="27" t="str">
        <f>IF(D761=Pivot!$AS$4,R760, "")</f>
        <v/>
      </c>
      <c r="R761" t="s">
        <v>27</v>
      </c>
      <c r="S761" s="5">
        <v>4.91</v>
      </c>
      <c r="T761">
        <v>86.18</v>
      </c>
      <c r="U761">
        <v>28.54</v>
      </c>
      <c r="V761" s="27">
        <f t="shared" si="44"/>
        <v>204.48</v>
      </c>
      <c r="W761">
        <f t="shared" si="45"/>
        <v>313.96000000000004</v>
      </c>
      <c r="X761" s="33" t="str">
        <f t="shared" si="46"/>
        <v>Mid Quality</v>
      </c>
      <c r="Y761" s="27" t="str">
        <f t="shared" si="47"/>
        <v>14</v>
      </c>
    </row>
    <row r="762" spans="1:25" x14ac:dyDescent="0.25">
      <c r="A762" s="1">
        <v>45432</v>
      </c>
      <c r="B762" t="s">
        <v>65</v>
      </c>
      <c r="C762">
        <v>3</v>
      </c>
      <c r="D762" t="s">
        <v>74</v>
      </c>
      <c r="E762" t="s">
        <v>37</v>
      </c>
      <c r="F762" t="s">
        <v>84</v>
      </c>
      <c r="G762" t="s">
        <v>32</v>
      </c>
      <c r="H762" t="s">
        <v>40</v>
      </c>
      <c r="I762">
        <v>5</v>
      </c>
      <c r="J762">
        <v>7.46</v>
      </c>
      <c r="K762">
        <v>9</v>
      </c>
      <c r="L762">
        <v>454.39</v>
      </c>
      <c r="M762">
        <v>69</v>
      </c>
      <c r="N762" t="s">
        <v>49</v>
      </c>
      <c r="O762">
        <v>20</v>
      </c>
      <c r="P762">
        <v>858</v>
      </c>
      <c r="Q762" s="27" t="str">
        <f>IF(D762=Pivot!$AS$4,R761, "")</f>
        <v/>
      </c>
      <c r="R762" t="s">
        <v>27</v>
      </c>
      <c r="S762" s="5">
        <v>2.33</v>
      </c>
      <c r="T762">
        <v>90.34</v>
      </c>
      <c r="U762">
        <v>522.54999999999995</v>
      </c>
      <c r="V762" s="27">
        <f t="shared" si="44"/>
        <v>335.7</v>
      </c>
      <c r="W762">
        <f t="shared" si="45"/>
        <v>976.93999999999994</v>
      </c>
      <c r="X762" s="33" t="str">
        <f t="shared" si="46"/>
        <v>Mid Quality</v>
      </c>
      <c r="Y762" s="27" t="str">
        <f t="shared" si="47"/>
        <v>8</v>
      </c>
    </row>
    <row r="763" spans="1:25" x14ac:dyDescent="0.25">
      <c r="A763" s="1">
        <v>45575</v>
      </c>
      <c r="B763" t="s">
        <v>50</v>
      </c>
      <c r="C763">
        <v>3</v>
      </c>
      <c r="D763" t="s">
        <v>71</v>
      </c>
      <c r="E763" t="s">
        <v>37</v>
      </c>
      <c r="F763" t="s">
        <v>59</v>
      </c>
      <c r="G763" t="s">
        <v>60</v>
      </c>
      <c r="H763" t="s">
        <v>61</v>
      </c>
      <c r="I763">
        <v>3</v>
      </c>
      <c r="J763">
        <v>17.260000000000002</v>
      </c>
      <c r="K763">
        <v>8</v>
      </c>
      <c r="L763">
        <v>123.98</v>
      </c>
      <c r="M763">
        <v>48</v>
      </c>
      <c r="N763" t="s">
        <v>41</v>
      </c>
      <c r="O763">
        <v>49</v>
      </c>
      <c r="P763">
        <v>855</v>
      </c>
      <c r="Q763" s="27" t="str">
        <f>IF(D763=Pivot!$AS$4,R762, "")</f>
        <v/>
      </c>
      <c r="R763" t="s">
        <v>46</v>
      </c>
      <c r="S763" s="5">
        <v>5.73</v>
      </c>
      <c r="T763">
        <v>85.54</v>
      </c>
      <c r="U763">
        <v>99.18</v>
      </c>
      <c r="V763" s="27">
        <f t="shared" si="44"/>
        <v>414.24</v>
      </c>
      <c r="W763">
        <f t="shared" si="45"/>
        <v>223.16000000000003</v>
      </c>
      <c r="X763" s="33" t="str">
        <f t="shared" si="46"/>
        <v>Low Quality</v>
      </c>
      <c r="Y763" s="27" t="str">
        <f t="shared" si="47"/>
        <v>18</v>
      </c>
    </row>
    <row r="764" spans="1:25" x14ac:dyDescent="0.25">
      <c r="A764" s="1">
        <v>45374</v>
      </c>
      <c r="B764" t="s">
        <v>35</v>
      </c>
      <c r="C764">
        <v>2</v>
      </c>
      <c r="D764" t="s">
        <v>66</v>
      </c>
      <c r="E764" t="s">
        <v>51</v>
      </c>
      <c r="F764" t="s">
        <v>69</v>
      </c>
      <c r="G764" t="s">
        <v>39</v>
      </c>
      <c r="H764" t="s">
        <v>61</v>
      </c>
      <c r="I764">
        <v>3</v>
      </c>
      <c r="J764">
        <v>9.26</v>
      </c>
      <c r="K764">
        <v>7</v>
      </c>
      <c r="L764">
        <v>411.85</v>
      </c>
      <c r="M764">
        <v>20</v>
      </c>
      <c r="N764" t="s">
        <v>45</v>
      </c>
      <c r="O764">
        <v>35</v>
      </c>
      <c r="P764">
        <v>209</v>
      </c>
      <c r="Q764" s="27" t="str">
        <f>IF(D764=Pivot!$AS$4,R763, "")</f>
        <v/>
      </c>
      <c r="R764" t="s">
        <v>27</v>
      </c>
      <c r="S764" s="5">
        <v>16.75</v>
      </c>
      <c r="T764">
        <v>63.5</v>
      </c>
      <c r="U764">
        <v>137.28</v>
      </c>
      <c r="V764" s="27">
        <f t="shared" si="44"/>
        <v>194.46</v>
      </c>
      <c r="W764">
        <f t="shared" si="45"/>
        <v>549.13</v>
      </c>
      <c r="X764" s="33" t="str">
        <f t="shared" si="46"/>
        <v>Mid Quality</v>
      </c>
      <c r="Y764" s="27" t="str">
        <f t="shared" si="47"/>
        <v>10</v>
      </c>
    </row>
    <row r="765" spans="1:25" x14ac:dyDescent="0.25">
      <c r="A765" s="1">
        <v>45327</v>
      </c>
      <c r="B765" t="s">
        <v>28</v>
      </c>
      <c r="C765">
        <v>3</v>
      </c>
      <c r="D765" t="s">
        <v>82</v>
      </c>
      <c r="E765" t="s">
        <v>51</v>
      </c>
      <c r="F765" t="s">
        <v>86</v>
      </c>
      <c r="G765" t="s">
        <v>24</v>
      </c>
      <c r="H765" t="s">
        <v>61</v>
      </c>
      <c r="I765">
        <v>1</v>
      </c>
      <c r="J765">
        <v>4.66</v>
      </c>
      <c r="K765">
        <v>7</v>
      </c>
      <c r="L765">
        <v>406.38</v>
      </c>
      <c r="M765">
        <v>26</v>
      </c>
      <c r="N765" t="s">
        <v>55</v>
      </c>
      <c r="O765">
        <v>23</v>
      </c>
      <c r="P765">
        <v>479</v>
      </c>
      <c r="Q765" s="27" t="str">
        <f>IF(D765=Pivot!$AS$4,R764, "")</f>
        <v/>
      </c>
      <c r="R765" t="s">
        <v>46</v>
      </c>
      <c r="S765" s="5">
        <v>4.8</v>
      </c>
      <c r="T765">
        <v>89.4</v>
      </c>
      <c r="U765">
        <v>176.1</v>
      </c>
      <c r="V765" s="27">
        <f t="shared" si="44"/>
        <v>32.620000000000005</v>
      </c>
      <c r="W765">
        <f t="shared" si="45"/>
        <v>582.48</v>
      </c>
      <c r="X765" s="33" t="str">
        <f t="shared" si="46"/>
        <v>High Quality</v>
      </c>
      <c r="Y765" s="27" t="str">
        <f t="shared" si="47"/>
        <v>6</v>
      </c>
    </row>
    <row r="766" spans="1:25" x14ac:dyDescent="0.25">
      <c r="A766" s="1">
        <v>45563</v>
      </c>
      <c r="B766" t="s">
        <v>75</v>
      </c>
      <c r="C766">
        <v>1</v>
      </c>
      <c r="D766" t="s">
        <v>21</v>
      </c>
      <c r="E766" t="s">
        <v>67</v>
      </c>
      <c r="F766" t="s">
        <v>73</v>
      </c>
      <c r="G766" t="s">
        <v>32</v>
      </c>
      <c r="H766" t="s">
        <v>33</v>
      </c>
      <c r="I766">
        <v>4</v>
      </c>
      <c r="J766">
        <v>4.63</v>
      </c>
      <c r="K766">
        <v>3</v>
      </c>
      <c r="L766">
        <v>107.23</v>
      </c>
      <c r="M766">
        <v>22</v>
      </c>
      <c r="N766" t="s">
        <v>55</v>
      </c>
      <c r="O766">
        <v>42</v>
      </c>
      <c r="P766">
        <v>934</v>
      </c>
      <c r="Q766" s="27" t="str">
        <f>IF(D766=Pivot!$AS$4,R765, "")</f>
        <v/>
      </c>
      <c r="R766" t="s">
        <v>27</v>
      </c>
      <c r="S766" s="5">
        <v>4.5</v>
      </c>
      <c r="T766">
        <v>87</v>
      </c>
      <c r="U766">
        <v>39.32</v>
      </c>
      <c r="V766" s="27">
        <f t="shared" si="44"/>
        <v>55.56</v>
      </c>
      <c r="W766">
        <f t="shared" si="45"/>
        <v>146.55000000000001</v>
      </c>
      <c r="X766" s="33" t="str">
        <f t="shared" si="46"/>
        <v>High Quality</v>
      </c>
      <c r="Y766" s="27" t="str">
        <f t="shared" si="47"/>
        <v>6</v>
      </c>
    </row>
    <row r="767" spans="1:25" x14ac:dyDescent="0.25">
      <c r="A767" s="1">
        <v>45371</v>
      </c>
      <c r="B767" t="s">
        <v>50</v>
      </c>
      <c r="C767">
        <v>3</v>
      </c>
      <c r="D767" t="s">
        <v>71</v>
      </c>
      <c r="E767" t="s">
        <v>22</v>
      </c>
      <c r="F767" t="s">
        <v>62</v>
      </c>
      <c r="G767" t="s">
        <v>52</v>
      </c>
      <c r="H767" t="s">
        <v>25</v>
      </c>
      <c r="I767">
        <v>5</v>
      </c>
      <c r="J767">
        <v>15.61</v>
      </c>
      <c r="K767">
        <v>6</v>
      </c>
      <c r="L767">
        <v>229.35</v>
      </c>
      <c r="M767">
        <v>51</v>
      </c>
      <c r="N767" t="s">
        <v>49</v>
      </c>
      <c r="O767">
        <v>33</v>
      </c>
      <c r="P767">
        <v>682</v>
      </c>
      <c r="Q767" s="27" t="str">
        <f>IF(D767=Pivot!$AS$4,R766, "")</f>
        <v/>
      </c>
      <c r="R767" t="s">
        <v>27</v>
      </c>
      <c r="S767" s="5">
        <v>4.84</v>
      </c>
      <c r="T767">
        <v>85.32</v>
      </c>
      <c r="U767">
        <v>194.95</v>
      </c>
      <c r="V767" s="27">
        <f t="shared" si="44"/>
        <v>468.29999999999995</v>
      </c>
      <c r="W767">
        <f t="shared" si="45"/>
        <v>424.29999999999995</v>
      </c>
      <c r="X767" s="33" t="str">
        <f t="shared" si="46"/>
        <v>Low Quality</v>
      </c>
      <c r="Y767" s="27" t="str">
        <f t="shared" si="47"/>
        <v>16</v>
      </c>
    </row>
    <row r="768" spans="1:25" x14ac:dyDescent="0.25">
      <c r="A768" s="1">
        <v>45522</v>
      </c>
      <c r="B768" t="s">
        <v>50</v>
      </c>
      <c r="C768">
        <v>1</v>
      </c>
      <c r="D768" t="s">
        <v>29</v>
      </c>
      <c r="E768" t="s">
        <v>51</v>
      </c>
      <c r="F768" t="s">
        <v>69</v>
      </c>
      <c r="G768" t="s">
        <v>39</v>
      </c>
      <c r="H768" t="s">
        <v>48</v>
      </c>
      <c r="I768">
        <v>1</v>
      </c>
      <c r="J768">
        <v>6.05</v>
      </c>
      <c r="K768">
        <v>5</v>
      </c>
      <c r="L768">
        <v>126.57</v>
      </c>
      <c r="M768">
        <v>85</v>
      </c>
      <c r="N768" t="s">
        <v>26</v>
      </c>
      <c r="O768">
        <v>38</v>
      </c>
      <c r="P768">
        <v>775</v>
      </c>
      <c r="Q768" s="27" t="str">
        <f>IF(D768=Pivot!$AS$4,R767, "")</f>
        <v/>
      </c>
      <c r="R768" t="s">
        <v>57</v>
      </c>
      <c r="S768" s="5">
        <v>4.9000000000000004</v>
      </c>
      <c r="T768">
        <v>89.2</v>
      </c>
      <c r="U768">
        <v>179.31</v>
      </c>
      <c r="V768" s="27">
        <f t="shared" si="44"/>
        <v>30.25</v>
      </c>
      <c r="W768">
        <f t="shared" si="45"/>
        <v>305.88</v>
      </c>
      <c r="X768" s="33" t="str">
        <f t="shared" si="46"/>
        <v>Mid Quality</v>
      </c>
      <c r="Y768" s="27" t="str">
        <f t="shared" si="47"/>
        <v>8</v>
      </c>
    </row>
    <row r="769" spans="1:25" x14ac:dyDescent="0.25">
      <c r="A769" s="1">
        <v>45443</v>
      </c>
      <c r="B769" t="s">
        <v>65</v>
      </c>
      <c r="C769">
        <v>2</v>
      </c>
      <c r="D769" t="s">
        <v>64</v>
      </c>
      <c r="E769" t="s">
        <v>22</v>
      </c>
      <c r="F769" t="s">
        <v>23</v>
      </c>
      <c r="G769" t="s">
        <v>52</v>
      </c>
      <c r="H769" t="s">
        <v>61</v>
      </c>
      <c r="I769">
        <v>3</v>
      </c>
      <c r="J769">
        <v>15.58</v>
      </c>
      <c r="K769">
        <v>1</v>
      </c>
      <c r="L769">
        <v>164.62</v>
      </c>
      <c r="M769">
        <v>34</v>
      </c>
      <c r="N769" t="s">
        <v>26</v>
      </c>
      <c r="O769">
        <v>35</v>
      </c>
      <c r="P769">
        <v>384</v>
      </c>
      <c r="Q769" s="27" t="str">
        <f>IF(D769=Pivot!$AS$4,R768, "")</f>
        <v/>
      </c>
      <c r="R769" t="s">
        <v>57</v>
      </c>
      <c r="S769" s="5">
        <v>9.11</v>
      </c>
      <c r="T769">
        <v>78.78</v>
      </c>
      <c r="U769">
        <v>93.28</v>
      </c>
      <c r="V769" s="27">
        <f t="shared" si="44"/>
        <v>46.74</v>
      </c>
      <c r="W769">
        <f t="shared" si="45"/>
        <v>257.89999999999998</v>
      </c>
      <c r="X769" s="33" t="str">
        <f t="shared" si="46"/>
        <v>Low Quality</v>
      </c>
      <c r="Y769" s="27" t="str">
        <f t="shared" si="47"/>
        <v>16</v>
      </c>
    </row>
    <row r="770" spans="1:25" x14ac:dyDescent="0.25">
      <c r="A770" s="1">
        <v>45426</v>
      </c>
      <c r="B770" t="s">
        <v>50</v>
      </c>
      <c r="C770">
        <v>1</v>
      </c>
      <c r="D770" t="s">
        <v>53</v>
      </c>
      <c r="E770" t="s">
        <v>30</v>
      </c>
      <c r="F770" t="s">
        <v>38</v>
      </c>
      <c r="G770" t="s">
        <v>32</v>
      </c>
      <c r="H770" t="s">
        <v>40</v>
      </c>
      <c r="I770">
        <v>4</v>
      </c>
      <c r="J770">
        <v>4.91</v>
      </c>
      <c r="K770">
        <v>3</v>
      </c>
      <c r="L770">
        <v>168.46</v>
      </c>
      <c r="M770">
        <v>14</v>
      </c>
      <c r="N770" t="s">
        <v>49</v>
      </c>
      <c r="O770">
        <v>36</v>
      </c>
      <c r="P770">
        <v>986</v>
      </c>
      <c r="Q770" s="27" t="str">
        <f>IF(D770=Pivot!$AS$4,R769, "")</f>
        <v/>
      </c>
      <c r="R770" t="s">
        <v>27</v>
      </c>
      <c r="S770" s="5">
        <v>3.65</v>
      </c>
      <c r="T770">
        <v>88.7</v>
      </c>
      <c r="U770">
        <v>39.31</v>
      </c>
      <c r="V770" s="27">
        <f t="shared" ref="V770:V833" si="48">K770*I770*J770</f>
        <v>58.92</v>
      </c>
      <c r="W770">
        <f t="shared" ref="W770:W833" si="49">U770+L770</f>
        <v>207.77</v>
      </c>
      <c r="X770" s="33" t="str">
        <f t="shared" ref="X770:X833" si="50">_xlfn.IFS(J770&lt;6,"High Quality",J770&lt;=15,"Mid Quality",J770&gt;15,"Low Quality")</f>
        <v>High Quality</v>
      </c>
      <c r="Y770" s="27" t="str">
        <f t="shared" ref="Y770:Y833" si="51">_xlfn.IFS(J770&lt;=0,"0",J770&lt;=2,"2",J770&lt;=4,"4",J770&lt;=6,"6",J770&lt;=8,"8",J770&lt;=10,"10",J770&lt;=12,"12",J770&lt;=14,"14",J770&lt;=16,"16",J770&lt;=16,"16",J770&lt;=18,"18",J770&lt;=20,"20")</f>
        <v>6</v>
      </c>
    </row>
    <row r="771" spans="1:25" x14ac:dyDescent="0.25">
      <c r="A771" s="1">
        <v>45569</v>
      </c>
      <c r="B771" t="s">
        <v>35</v>
      </c>
      <c r="C771">
        <v>3</v>
      </c>
      <c r="D771" t="s">
        <v>85</v>
      </c>
      <c r="E771" t="s">
        <v>37</v>
      </c>
      <c r="F771" t="s">
        <v>69</v>
      </c>
      <c r="G771" t="s">
        <v>52</v>
      </c>
      <c r="H771" t="s">
        <v>61</v>
      </c>
      <c r="I771">
        <v>5</v>
      </c>
      <c r="J771">
        <v>7.11</v>
      </c>
      <c r="K771">
        <v>1</v>
      </c>
      <c r="L771">
        <v>300.31</v>
      </c>
      <c r="M771">
        <v>62</v>
      </c>
      <c r="N771" t="s">
        <v>63</v>
      </c>
      <c r="O771">
        <v>20</v>
      </c>
      <c r="P771">
        <v>520</v>
      </c>
      <c r="Q771" s="27" t="str">
        <f>IF(D771=Pivot!$AS$4,R770, "")</f>
        <v/>
      </c>
      <c r="R771" t="s">
        <v>34</v>
      </c>
      <c r="S771" s="5">
        <v>3.85</v>
      </c>
      <c r="T771">
        <v>87.3</v>
      </c>
      <c r="U771">
        <v>310.32</v>
      </c>
      <c r="V771" s="27">
        <f t="shared" si="48"/>
        <v>35.550000000000004</v>
      </c>
      <c r="W771">
        <f t="shared" si="49"/>
        <v>610.63</v>
      </c>
      <c r="X771" s="33" t="str">
        <f t="shared" si="50"/>
        <v>Mid Quality</v>
      </c>
      <c r="Y771" s="27" t="str">
        <f t="shared" si="51"/>
        <v>8</v>
      </c>
    </row>
    <row r="772" spans="1:25" x14ac:dyDescent="0.25">
      <c r="A772" s="1">
        <v>45479</v>
      </c>
      <c r="B772" t="s">
        <v>28</v>
      </c>
      <c r="C772">
        <v>3</v>
      </c>
      <c r="D772" t="s">
        <v>83</v>
      </c>
      <c r="E772" t="s">
        <v>22</v>
      </c>
      <c r="F772" t="s">
        <v>31</v>
      </c>
      <c r="G772" t="s">
        <v>39</v>
      </c>
      <c r="H772" t="s">
        <v>25</v>
      </c>
      <c r="I772">
        <v>2</v>
      </c>
      <c r="J772">
        <v>9.84</v>
      </c>
      <c r="K772">
        <v>4</v>
      </c>
      <c r="L772">
        <v>235.13</v>
      </c>
      <c r="M772">
        <v>66</v>
      </c>
      <c r="N772" t="s">
        <v>55</v>
      </c>
      <c r="O772">
        <v>3</v>
      </c>
      <c r="P772">
        <v>212</v>
      </c>
      <c r="Q772" s="27" t="str">
        <f>IF(D772=Pivot!$AS$4,R771, "")</f>
        <v/>
      </c>
      <c r="R772" t="s">
        <v>34</v>
      </c>
      <c r="S772" s="5">
        <v>1.42</v>
      </c>
      <c r="T772">
        <v>95.16</v>
      </c>
      <c r="U772">
        <v>258.64</v>
      </c>
      <c r="V772" s="27">
        <f t="shared" si="48"/>
        <v>78.72</v>
      </c>
      <c r="W772">
        <f t="shared" si="49"/>
        <v>493.77</v>
      </c>
      <c r="X772" s="33" t="str">
        <f t="shared" si="50"/>
        <v>Mid Quality</v>
      </c>
      <c r="Y772" s="27" t="str">
        <f t="shared" si="51"/>
        <v>10</v>
      </c>
    </row>
    <row r="773" spans="1:25" x14ac:dyDescent="0.25">
      <c r="A773" s="1">
        <v>45524</v>
      </c>
      <c r="B773" t="s">
        <v>28</v>
      </c>
      <c r="C773">
        <v>3</v>
      </c>
      <c r="D773" t="s">
        <v>82</v>
      </c>
      <c r="E773" t="s">
        <v>37</v>
      </c>
      <c r="F773" t="s">
        <v>38</v>
      </c>
      <c r="G773" t="s">
        <v>32</v>
      </c>
      <c r="H773" t="s">
        <v>25</v>
      </c>
      <c r="I773">
        <v>4</v>
      </c>
      <c r="J773">
        <v>18.920000000000002</v>
      </c>
      <c r="K773">
        <v>3</v>
      </c>
      <c r="L773">
        <v>476.48</v>
      </c>
      <c r="M773">
        <v>89</v>
      </c>
      <c r="N773" t="s">
        <v>63</v>
      </c>
      <c r="O773">
        <v>8</v>
      </c>
      <c r="P773">
        <v>327</v>
      </c>
      <c r="Q773" s="27" t="str">
        <f>IF(D773=Pivot!$AS$4,R772, "")</f>
        <v/>
      </c>
      <c r="R773" t="s">
        <v>27</v>
      </c>
      <c r="S773" s="5">
        <v>2.4500000000000002</v>
      </c>
      <c r="T773">
        <v>91.1</v>
      </c>
      <c r="U773">
        <v>706.78</v>
      </c>
      <c r="V773" s="27">
        <f t="shared" si="48"/>
        <v>227.04000000000002</v>
      </c>
      <c r="W773">
        <f t="shared" si="49"/>
        <v>1183.26</v>
      </c>
      <c r="X773" s="33" t="str">
        <f t="shared" si="50"/>
        <v>Low Quality</v>
      </c>
      <c r="Y773" s="27" t="str">
        <f t="shared" si="51"/>
        <v>20</v>
      </c>
    </row>
    <row r="774" spans="1:25" x14ac:dyDescent="0.25">
      <c r="A774" s="1">
        <v>45292</v>
      </c>
      <c r="B774" t="s">
        <v>75</v>
      </c>
      <c r="C774">
        <v>2</v>
      </c>
      <c r="D774" t="s">
        <v>64</v>
      </c>
      <c r="E774" t="s">
        <v>22</v>
      </c>
      <c r="F774" t="s">
        <v>54</v>
      </c>
      <c r="G774" t="s">
        <v>24</v>
      </c>
      <c r="H774" t="s">
        <v>48</v>
      </c>
      <c r="I774">
        <v>5</v>
      </c>
      <c r="J774">
        <v>18.7</v>
      </c>
      <c r="K774">
        <v>4</v>
      </c>
      <c r="L774">
        <v>106.87</v>
      </c>
      <c r="M774">
        <v>84</v>
      </c>
      <c r="N774" t="s">
        <v>41</v>
      </c>
      <c r="O774">
        <v>40</v>
      </c>
      <c r="P774">
        <v>570</v>
      </c>
      <c r="Q774" s="27" t="str">
        <f>IF(D774=Pivot!$AS$4,R773, "")</f>
        <v/>
      </c>
      <c r="R774" t="s">
        <v>34</v>
      </c>
      <c r="S774" s="5">
        <v>7.02</v>
      </c>
      <c r="T774">
        <v>80.959999999999994</v>
      </c>
      <c r="U774">
        <v>149.62</v>
      </c>
      <c r="V774" s="27">
        <f t="shared" si="48"/>
        <v>374</v>
      </c>
      <c r="W774">
        <f t="shared" si="49"/>
        <v>256.49</v>
      </c>
      <c r="X774" s="33" t="str">
        <f t="shared" si="50"/>
        <v>Low Quality</v>
      </c>
      <c r="Y774" s="27" t="str">
        <f t="shared" si="51"/>
        <v>20</v>
      </c>
    </row>
    <row r="775" spans="1:25" x14ac:dyDescent="0.25">
      <c r="A775" s="1">
        <v>45551</v>
      </c>
      <c r="B775" t="s">
        <v>65</v>
      </c>
      <c r="C775">
        <v>2</v>
      </c>
      <c r="D775" t="s">
        <v>29</v>
      </c>
      <c r="E775" t="s">
        <v>30</v>
      </c>
      <c r="F775" t="s">
        <v>54</v>
      </c>
      <c r="G775" t="s">
        <v>39</v>
      </c>
      <c r="H775" t="s">
        <v>33</v>
      </c>
      <c r="I775">
        <v>1</v>
      </c>
      <c r="J775">
        <v>4.93</v>
      </c>
      <c r="K775">
        <v>9</v>
      </c>
      <c r="L775">
        <v>488.16</v>
      </c>
      <c r="M775">
        <v>10</v>
      </c>
      <c r="N775" t="s">
        <v>55</v>
      </c>
      <c r="O775">
        <v>32</v>
      </c>
      <c r="P775">
        <v>912</v>
      </c>
      <c r="Q775" s="27" t="str">
        <f>IF(D775=Pivot!$AS$4,R774, "")</f>
        <v/>
      </c>
      <c r="R775" t="s">
        <v>27</v>
      </c>
      <c r="S775" s="5">
        <v>3.51</v>
      </c>
      <c r="T775">
        <v>91.98</v>
      </c>
      <c r="U775">
        <v>81.36</v>
      </c>
      <c r="V775" s="27">
        <f t="shared" si="48"/>
        <v>44.37</v>
      </c>
      <c r="W775">
        <f t="shared" si="49"/>
        <v>569.52</v>
      </c>
      <c r="X775" s="33" t="str">
        <f t="shared" si="50"/>
        <v>High Quality</v>
      </c>
      <c r="Y775" s="27" t="str">
        <f t="shared" si="51"/>
        <v>6</v>
      </c>
    </row>
    <row r="776" spans="1:25" x14ac:dyDescent="0.25">
      <c r="A776" s="1">
        <v>45486</v>
      </c>
      <c r="B776" t="s">
        <v>75</v>
      </c>
      <c r="C776">
        <v>3</v>
      </c>
      <c r="D776" t="s">
        <v>77</v>
      </c>
      <c r="E776" t="s">
        <v>51</v>
      </c>
      <c r="F776" t="s">
        <v>54</v>
      </c>
      <c r="G776" t="s">
        <v>60</v>
      </c>
      <c r="H776" t="s">
        <v>48</v>
      </c>
      <c r="I776">
        <v>2</v>
      </c>
      <c r="J776">
        <v>7.81</v>
      </c>
      <c r="K776">
        <v>3</v>
      </c>
      <c r="L776">
        <v>153.79</v>
      </c>
      <c r="M776">
        <v>71</v>
      </c>
      <c r="N776" t="s">
        <v>41</v>
      </c>
      <c r="O776">
        <v>29</v>
      </c>
      <c r="P776">
        <v>627</v>
      </c>
      <c r="Q776" s="27" t="str">
        <f>IF(D776=Pivot!$AS$4,R775, "")</f>
        <v/>
      </c>
      <c r="R776" t="s">
        <v>57</v>
      </c>
      <c r="S776" s="5">
        <v>4.63</v>
      </c>
      <c r="T776">
        <v>88.74</v>
      </c>
      <c r="U776">
        <v>181.98</v>
      </c>
      <c r="V776" s="27">
        <f t="shared" si="48"/>
        <v>46.86</v>
      </c>
      <c r="W776">
        <f t="shared" si="49"/>
        <v>335.77</v>
      </c>
      <c r="X776" s="33" t="str">
        <f t="shared" si="50"/>
        <v>Mid Quality</v>
      </c>
      <c r="Y776" s="27" t="str">
        <f t="shared" si="51"/>
        <v>8</v>
      </c>
    </row>
    <row r="777" spans="1:25" x14ac:dyDescent="0.25">
      <c r="A777" s="1">
        <v>45386</v>
      </c>
      <c r="B777" t="s">
        <v>50</v>
      </c>
      <c r="C777">
        <v>1</v>
      </c>
      <c r="D777" t="s">
        <v>74</v>
      </c>
      <c r="E777" t="s">
        <v>30</v>
      </c>
      <c r="F777" t="s">
        <v>84</v>
      </c>
      <c r="G777" t="s">
        <v>39</v>
      </c>
      <c r="H777" t="s">
        <v>61</v>
      </c>
      <c r="I777">
        <v>5</v>
      </c>
      <c r="J777">
        <v>3.84</v>
      </c>
      <c r="K777">
        <v>6</v>
      </c>
      <c r="L777">
        <v>397.79</v>
      </c>
      <c r="M777">
        <v>45</v>
      </c>
      <c r="N777" t="s">
        <v>45</v>
      </c>
      <c r="O777">
        <v>7</v>
      </c>
      <c r="P777">
        <v>595</v>
      </c>
      <c r="Q777" s="27" t="str">
        <f>IF(D777=Pivot!$AS$4,R776, "")</f>
        <v/>
      </c>
      <c r="R777" t="s">
        <v>42</v>
      </c>
      <c r="S777" s="5">
        <v>1.18</v>
      </c>
      <c r="T777">
        <v>92.64</v>
      </c>
      <c r="U777">
        <v>298.33999999999997</v>
      </c>
      <c r="V777" s="27">
        <f t="shared" si="48"/>
        <v>115.19999999999999</v>
      </c>
      <c r="W777">
        <f t="shared" si="49"/>
        <v>696.13</v>
      </c>
      <c r="X777" s="33" t="str">
        <f t="shared" si="50"/>
        <v>High Quality</v>
      </c>
      <c r="Y777" s="27" t="str">
        <f t="shared" si="51"/>
        <v>4</v>
      </c>
    </row>
    <row r="778" spans="1:25" x14ac:dyDescent="0.25">
      <c r="A778" s="1">
        <v>45301</v>
      </c>
      <c r="B778" t="s">
        <v>75</v>
      </c>
      <c r="C778">
        <v>2</v>
      </c>
      <c r="D778" t="s">
        <v>91</v>
      </c>
      <c r="E778" t="s">
        <v>51</v>
      </c>
      <c r="F778" t="s">
        <v>54</v>
      </c>
      <c r="G778" t="s">
        <v>32</v>
      </c>
      <c r="H778" t="s">
        <v>40</v>
      </c>
      <c r="I778">
        <v>5</v>
      </c>
      <c r="J778">
        <v>10.69</v>
      </c>
      <c r="K778">
        <v>6</v>
      </c>
      <c r="L778">
        <v>202.54</v>
      </c>
      <c r="M778">
        <v>47</v>
      </c>
      <c r="N778" t="s">
        <v>63</v>
      </c>
      <c r="O778">
        <v>2</v>
      </c>
      <c r="P778">
        <v>130</v>
      </c>
      <c r="Q778" s="27" t="str">
        <f>IF(D778=Pivot!$AS$4,R777, "")</f>
        <v/>
      </c>
      <c r="R778" t="s">
        <v>46</v>
      </c>
      <c r="S778" s="5">
        <v>1.54</v>
      </c>
      <c r="T778">
        <v>91.92</v>
      </c>
      <c r="U778">
        <v>158.66</v>
      </c>
      <c r="V778" s="27">
        <f t="shared" si="48"/>
        <v>320.7</v>
      </c>
      <c r="W778">
        <f t="shared" si="49"/>
        <v>361.2</v>
      </c>
      <c r="X778" s="33" t="str">
        <f t="shared" si="50"/>
        <v>Mid Quality</v>
      </c>
      <c r="Y778" s="27" t="str">
        <f t="shared" si="51"/>
        <v>12</v>
      </c>
    </row>
    <row r="779" spans="1:25" x14ac:dyDescent="0.25">
      <c r="A779" s="1">
        <v>45478</v>
      </c>
      <c r="B779" t="s">
        <v>35</v>
      </c>
      <c r="C779">
        <v>3</v>
      </c>
      <c r="D779" t="s">
        <v>85</v>
      </c>
      <c r="E779" t="s">
        <v>51</v>
      </c>
      <c r="F779" t="s">
        <v>90</v>
      </c>
      <c r="G779" t="s">
        <v>39</v>
      </c>
      <c r="H779" t="s">
        <v>48</v>
      </c>
      <c r="I779">
        <v>3</v>
      </c>
      <c r="J779">
        <v>9.75</v>
      </c>
      <c r="K779">
        <v>7</v>
      </c>
      <c r="L779">
        <v>114.39</v>
      </c>
      <c r="M779">
        <v>89</v>
      </c>
      <c r="N779" t="s">
        <v>49</v>
      </c>
      <c r="O779">
        <v>21</v>
      </c>
      <c r="P779">
        <v>261</v>
      </c>
      <c r="Q779" s="27" t="str">
        <f>IF(D779=Pivot!$AS$4,R778, "")</f>
        <v/>
      </c>
      <c r="R779" t="s">
        <v>34</v>
      </c>
      <c r="S779" s="5">
        <v>8.0500000000000007</v>
      </c>
      <c r="T779">
        <v>80.900000000000006</v>
      </c>
      <c r="U779">
        <v>169.68</v>
      </c>
      <c r="V779" s="27">
        <f t="shared" si="48"/>
        <v>204.75</v>
      </c>
      <c r="W779">
        <f t="shared" si="49"/>
        <v>284.07</v>
      </c>
      <c r="X779" s="33" t="str">
        <f t="shared" si="50"/>
        <v>Mid Quality</v>
      </c>
      <c r="Y779" s="27" t="str">
        <f t="shared" si="51"/>
        <v>10</v>
      </c>
    </row>
    <row r="780" spans="1:25" x14ac:dyDescent="0.25">
      <c r="A780" s="1">
        <v>45414</v>
      </c>
      <c r="B780" t="s">
        <v>28</v>
      </c>
      <c r="C780">
        <v>3</v>
      </c>
      <c r="D780" t="s">
        <v>64</v>
      </c>
      <c r="E780" t="s">
        <v>37</v>
      </c>
      <c r="F780" t="s">
        <v>89</v>
      </c>
      <c r="G780" t="s">
        <v>24</v>
      </c>
      <c r="H780" t="s">
        <v>33</v>
      </c>
      <c r="I780">
        <v>4</v>
      </c>
      <c r="J780">
        <v>18.11</v>
      </c>
      <c r="K780">
        <v>9</v>
      </c>
      <c r="L780">
        <v>436.05</v>
      </c>
      <c r="M780">
        <v>81</v>
      </c>
      <c r="N780" t="s">
        <v>55</v>
      </c>
      <c r="O780">
        <v>6</v>
      </c>
      <c r="P780">
        <v>917</v>
      </c>
      <c r="Q780" s="27" t="str">
        <f>IF(D780=Pivot!$AS$4,R779, "")</f>
        <v/>
      </c>
      <c r="R780" t="s">
        <v>34</v>
      </c>
      <c r="S780" s="5">
        <v>0.65</v>
      </c>
      <c r="T780">
        <v>94.7</v>
      </c>
      <c r="U780">
        <v>588.66999999999996</v>
      </c>
      <c r="V780" s="27">
        <f t="shared" si="48"/>
        <v>651.96</v>
      </c>
      <c r="W780">
        <f t="shared" si="49"/>
        <v>1024.72</v>
      </c>
      <c r="X780" s="33" t="str">
        <f t="shared" si="50"/>
        <v>Low Quality</v>
      </c>
      <c r="Y780" s="27" t="str">
        <f t="shared" si="51"/>
        <v>20</v>
      </c>
    </row>
    <row r="781" spans="1:25" x14ac:dyDescent="0.25">
      <c r="A781" s="1">
        <v>45456</v>
      </c>
      <c r="B781" t="s">
        <v>50</v>
      </c>
      <c r="C781">
        <v>2</v>
      </c>
      <c r="D781" t="s">
        <v>88</v>
      </c>
      <c r="E781" t="s">
        <v>30</v>
      </c>
      <c r="F781" t="s">
        <v>54</v>
      </c>
      <c r="G781" t="s">
        <v>24</v>
      </c>
      <c r="H781" t="s">
        <v>48</v>
      </c>
      <c r="I781">
        <v>3</v>
      </c>
      <c r="J781">
        <v>18.670000000000002</v>
      </c>
      <c r="K781">
        <v>7</v>
      </c>
      <c r="L781">
        <v>188.99</v>
      </c>
      <c r="M781">
        <v>22</v>
      </c>
      <c r="N781" t="s">
        <v>63</v>
      </c>
      <c r="O781">
        <v>28</v>
      </c>
      <c r="P781">
        <v>804</v>
      </c>
      <c r="Q781" s="27" t="str">
        <f>IF(D781=Pivot!$AS$4,R780, "")</f>
        <v/>
      </c>
      <c r="R781" t="s">
        <v>57</v>
      </c>
      <c r="S781" s="5">
        <v>3.48</v>
      </c>
      <c r="T781">
        <v>90.04</v>
      </c>
      <c r="U781">
        <v>69.3</v>
      </c>
      <c r="V781" s="27">
        <f t="shared" si="48"/>
        <v>392.07000000000005</v>
      </c>
      <c r="W781">
        <f t="shared" si="49"/>
        <v>258.29000000000002</v>
      </c>
      <c r="X781" s="33" t="str">
        <f t="shared" si="50"/>
        <v>Low Quality</v>
      </c>
      <c r="Y781" s="27" t="str">
        <f t="shared" si="51"/>
        <v>20</v>
      </c>
    </row>
    <row r="782" spans="1:25" x14ac:dyDescent="0.25">
      <c r="A782" s="1">
        <v>45324</v>
      </c>
      <c r="B782" t="s">
        <v>75</v>
      </c>
      <c r="C782">
        <v>2</v>
      </c>
      <c r="D782" t="s">
        <v>43</v>
      </c>
      <c r="E782" t="s">
        <v>22</v>
      </c>
      <c r="F782" t="s">
        <v>62</v>
      </c>
      <c r="G782" t="s">
        <v>60</v>
      </c>
      <c r="H782" t="s">
        <v>25</v>
      </c>
      <c r="I782">
        <v>2</v>
      </c>
      <c r="J782">
        <v>8.2899999999999991</v>
      </c>
      <c r="K782">
        <v>1</v>
      </c>
      <c r="L782">
        <v>346.48</v>
      </c>
      <c r="M782">
        <v>62</v>
      </c>
      <c r="N782" t="s">
        <v>49</v>
      </c>
      <c r="O782">
        <v>48</v>
      </c>
      <c r="P782">
        <v>821</v>
      </c>
      <c r="Q782" s="27" t="str">
        <f>IF(D782=Pivot!$AS$4,R781, "")</f>
        <v/>
      </c>
      <c r="R782" t="s">
        <v>34</v>
      </c>
      <c r="S782" s="5">
        <v>5.85</v>
      </c>
      <c r="T782">
        <v>86.3</v>
      </c>
      <c r="U782">
        <v>358.03</v>
      </c>
      <c r="V782" s="27">
        <f t="shared" si="48"/>
        <v>16.579999999999998</v>
      </c>
      <c r="W782">
        <f t="shared" si="49"/>
        <v>704.51</v>
      </c>
      <c r="X782" s="33" t="str">
        <f t="shared" si="50"/>
        <v>Mid Quality</v>
      </c>
      <c r="Y782" s="27" t="str">
        <f t="shared" si="51"/>
        <v>10</v>
      </c>
    </row>
    <row r="783" spans="1:25" x14ac:dyDescent="0.25">
      <c r="A783" s="1">
        <v>45567</v>
      </c>
      <c r="B783" t="s">
        <v>65</v>
      </c>
      <c r="C783">
        <v>2</v>
      </c>
      <c r="D783" t="s">
        <v>58</v>
      </c>
      <c r="E783" t="s">
        <v>30</v>
      </c>
      <c r="F783" t="s">
        <v>78</v>
      </c>
      <c r="G783" t="s">
        <v>52</v>
      </c>
      <c r="H783" t="s">
        <v>61</v>
      </c>
      <c r="I783">
        <v>5</v>
      </c>
      <c r="J783">
        <v>10.34</v>
      </c>
      <c r="K783">
        <v>8</v>
      </c>
      <c r="L783">
        <v>304.89999999999998</v>
      </c>
      <c r="M783">
        <v>64</v>
      </c>
      <c r="N783" t="s">
        <v>45</v>
      </c>
      <c r="O783">
        <v>42</v>
      </c>
      <c r="P783">
        <v>477</v>
      </c>
      <c r="Q783" s="27" t="str">
        <f>IF(D783=Pivot!$AS$4,R782, "")</f>
        <v/>
      </c>
      <c r="R783" t="s">
        <v>27</v>
      </c>
      <c r="S783" s="5">
        <v>8.81</v>
      </c>
      <c r="T783">
        <v>77.38</v>
      </c>
      <c r="U783">
        <v>325.23</v>
      </c>
      <c r="V783" s="27">
        <f t="shared" si="48"/>
        <v>413.6</v>
      </c>
      <c r="W783">
        <f t="shared" si="49"/>
        <v>630.13</v>
      </c>
      <c r="X783" s="33" t="str">
        <f t="shared" si="50"/>
        <v>Mid Quality</v>
      </c>
      <c r="Y783" s="27" t="str">
        <f t="shared" si="51"/>
        <v>12</v>
      </c>
    </row>
    <row r="784" spans="1:25" x14ac:dyDescent="0.25">
      <c r="A784" s="1">
        <v>45490</v>
      </c>
      <c r="B784" t="s">
        <v>35</v>
      </c>
      <c r="C784">
        <v>1</v>
      </c>
      <c r="D784" t="s">
        <v>58</v>
      </c>
      <c r="E784" t="s">
        <v>37</v>
      </c>
      <c r="F784" t="s">
        <v>68</v>
      </c>
      <c r="G784" t="s">
        <v>32</v>
      </c>
      <c r="H784" t="s">
        <v>61</v>
      </c>
      <c r="I784">
        <v>3</v>
      </c>
      <c r="J784">
        <v>18.03</v>
      </c>
      <c r="K784">
        <v>5</v>
      </c>
      <c r="L784">
        <v>262.29000000000002</v>
      </c>
      <c r="M784">
        <v>31</v>
      </c>
      <c r="N784" t="s">
        <v>55</v>
      </c>
      <c r="O784">
        <v>36</v>
      </c>
      <c r="P784">
        <v>545</v>
      </c>
      <c r="Q784" s="27" t="str">
        <f>IF(D784=Pivot!$AS$4,R783, "")</f>
        <v/>
      </c>
      <c r="R784" t="s">
        <v>27</v>
      </c>
      <c r="S784" s="5">
        <v>6.61</v>
      </c>
      <c r="T784">
        <v>83.78</v>
      </c>
      <c r="U784">
        <v>135.52000000000001</v>
      </c>
      <c r="V784" s="27">
        <f t="shared" si="48"/>
        <v>270.45000000000005</v>
      </c>
      <c r="W784">
        <f t="shared" si="49"/>
        <v>397.81000000000006</v>
      </c>
      <c r="X784" s="33" t="str">
        <f t="shared" si="50"/>
        <v>Low Quality</v>
      </c>
      <c r="Y784" s="27" t="str">
        <f t="shared" si="51"/>
        <v>20</v>
      </c>
    </row>
    <row r="785" spans="1:25" x14ac:dyDescent="0.25">
      <c r="A785" s="1">
        <v>45389</v>
      </c>
      <c r="B785" t="s">
        <v>35</v>
      </c>
      <c r="C785">
        <v>1</v>
      </c>
      <c r="D785" t="s">
        <v>83</v>
      </c>
      <c r="E785" t="s">
        <v>51</v>
      </c>
      <c r="F785" t="s">
        <v>56</v>
      </c>
      <c r="G785" t="s">
        <v>32</v>
      </c>
      <c r="H785" t="s">
        <v>61</v>
      </c>
      <c r="I785">
        <v>4</v>
      </c>
      <c r="J785">
        <v>16.329999999999998</v>
      </c>
      <c r="K785">
        <v>9</v>
      </c>
      <c r="L785">
        <v>273.12</v>
      </c>
      <c r="M785">
        <v>72</v>
      </c>
      <c r="N785" t="s">
        <v>41</v>
      </c>
      <c r="O785">
        <v>32</v>
      </c>
      <c r="P785">
        <v>843</v>
      </c>
      <c r="Q785" s="27" t="str">
        <f>IF(D785=Pivot!$AS$4,R784, "")</f>
        <v/>
      </c>
      <c r="R785" t="s">
        <v>42</v>
      </c>
      <c r="S785" s="5">
        <v>3.8</v>
      </c>
      <c r="T785">
        <v>88.4</v>
      </c>
      <c r="U785">
        <v>327.74</v>
      </c>
      <c r="V785" s="27">
        <f t="shared" si="48"/>
        <v>587.87999999999988</v>
      </c>
      <c r="W785">
        <f t="shared" si="49"/>
        <v>600.86</v>
      </c>
      <c r="X785" s="33" t="str">
        <f t="shared" si="50"/>
        <v>Low Quality</v>
      </c>
      <c r="Y785" s="27" t="str">
        <f t="shared" si="51"/>
        <v>18</v>
      </c>
    </row>
    <row r="786" spans="1:25" x14ac:dyDescent="0.25">
      <c r="A786" s="1">
        <v>45560</v>
      </c>
      <c r="B786" t="s">
        <v>75</v>
      </c>
      <c r="C786">
        <v>3</v>
      </c>
      <c r="D786" t="s">
        <v>29</v>
      </c>
      <c r="E786" t="s">
        <v>37</v>
      </c>
      <c r="F786" t="s">
        <v>70</v>
      </c>
      <c r="G786" t="s">
        <v>52</v>
      </c>
      <c r="H786" t="s">
        <v>61</v>
      </c>
      <c r="I786">
        <v>2</v>
      </c>
      <c r="J786">
        <v>1.07</v>
      </c>
      <c r="K786">
        <v>5</v>
      </c>
      <c r="L786">
        <v>379.51</v>
      </c>
      <c r="M786">
        <v>26</v>
      </c>
      <c r="N786" t="s">
        <v>45</v>
      </c>
      <c r="O786">
        <v>45</v>
      </c>
      <c r="P786">
        <v>526</v>
      </c>
      <c r="Q786" s="27" t="str">
        <f>IF(D786=Pivot!$AS$4,R785, "")</f>
        <v/>
      </c>
      <c r="R786" t="s">
        <v>42</v>
      </c>
      <c r="S786" s="5">
        <v>8.56</v>
      </c>
      <c r="T786">
        <v>80.88</v>
      </c>
      <c r="U786">
        <v>164.45</v>
      </c>
      <c r="V786" s="27">
        <f t="shared" si="48"/>
        <v>10.700000000000001</v>
      </c>
      <c r="W786">
        <f t="shared" si="49"/>
        <v>543.96</v>
      </c>
      <c r="X786" s="33" t="str">
        <f t="shared" si="50"/>
        <v>High Quality</v>
      </c>
      <c r="Y786" s="27" t="str">
        <f t="shared" si="51"/>
        <v>2</v>
      </c>
    </row>
    <row r="787" spans="1:25" x14ac:dyDescent="0.25">
      <c r="A787" s="1">
        <v>45546</v>
      </c>
      <c r="B787" t="s">
        <v>28</v>
      </c>
      <c r="C787">
        <v>2</v>
      </c>
      <c r="D787" t="s">
        <v>58</v>
      </c>
      <c r="E787" t="s">
        <v>67</v>
      </c>
      <c r="F787" t="s">
        <v>56</v>
      </c>
      <c r="G787" t="s">
        <v>24</v>
      </c>
      <c r="H787" t="s">
        <v>61</v>
      </c>
      <c r="I787">
        <v>1</v>
      </c>
      <c r="J787">
        <v>7.08</v>
      </c>
      <c r="K787">
        <v>5</v>
      </c>
      <c r="L787">
        <v>89.5</v>
      </c>
      <c r="M787">
        <v>28</v>
      </c>
      <c r="N787" t="s">
        <v>26</v>
      </c>
      <c r="O787">
        <v>42</v>
      </c>
      <c r="P787">
        <v>795</v>
      </c>
      <c r="Q787" s="27" t="str">
        <f>IF(D787=Pivot!$AS$4,R786, "")</f>
        <v/>
      </c>
      <c r="R787" t="s">
        <v>42</v>
      </c>
      <c r="S787" s="5">
        <v>5.28</v>
      </c>
      <c r="T787">
        <v>88.44</v>
      </c>
      <c r="U787">
        <v>41.77</v>
      </c>
      <c r="V787" s="27">
        <f t="shared" si="48"/>
        <v>35.4</v>
      </c>
      <c r="W787">
        <f t="shared" si="49"/>
        <v>131.27000000000001</v>
      </c>
      <c r="X787" s="33" t="str">
        <f t="shared" si="50"/>
        <v>Mid Quality</v>
      </c>
      <c r="Y787" s="27" t="str">
        <f t="shared" si="51"/>
        <v>8</v>
      </c>
    </row>
    <row r="788" spans="1:25" x14ac:dyDescent="0.25">
      <c r="A788" s="1">
        <v>45574</v>
      </c>
      <c r="B788" t="s">
        <v>75</v>
      </c>
      <c r="C788">
        <v>1</v>
      </c>
      <c r="D788" t="s">
        <v>53</v>
      </c>
      <c r="E788" t="s">
        <v>67</v>
      </c>
      <c r="F788" t="s">
        <v>38</v>
      </c>
      <c r="G788" t="s">
        <v>24</v>
      </c>
      <c r="H788" t="s">
        <v>61</v>
      </c>
      <c r="I788">
        <v>3</v>
      </c>
      <c r="J788">
        <v>9.01</v>
      </c>
      <c r="K788">
        <v>2</v>
      </c>
      <c r="L788">
        <v>350.68</v>
      </c>
      <c r="M788">
        <v>44</v>
      </c>
      <c r="N788" t="s">
        <v>49</v>
      </c>
      <c r="O788">
        <v>46</v>
      </c>
      <c r="P788">
        <v>603</v>
      </c>
      <c r="Q788" s="27" t="str">
        <f>IF(D788=Pivot!$AS$4,R787, "")</f>
        <v/>
      </c>
      <c r="R788" t="s">
        <v>27</v>
      </c>
      <c r="S788" s="5">
        <v>7.63</v>
      </c>
      <c r="T788">
        <v>81.739999999999995</v>
      </c>
      <c r="U788">
        <v>257.17</v>
      </c>
      <c r="V788" s="27">
        <f t="shared" si="48"/>
        <v>54.06</v>
      </c>
      <c r="W788">
        <f t="shared" si="49"/>
        <v>607.85</v>
      </c>
      <c r="X788" s="33" t="str">
        <f t="shared" si="50"/>
        <v>Mid Quality</v>
      </c>
      <c r="Y788" s="27" t="str">
        <f t="shared" si="51"/>
        <v>10</v>
      </c>
    </row>
    <row r="789" spans="1:25" x14ac:dyDescent="0.25">
      <c r="A789" s="1">
        <v>45370</v>
      </c>
      <c r="B789" t="s">
        <v>50</v>
      </c>
      <c r="C789">
        <v>2</v>
      </c>
      <c r="D789" t="s">
        <v>47</v>
      </c>
      <c r="E789" t="s">
        <v>22</v>
      </c>
      <c r="F789" t="s">
        <v>56</v>
      </c>
      <c r="G789" t="s">
        <v>39</v>
      </c>
      <c r="H789" t="s">
        <v>40</v>
      </c>
      <c r="I789">
        <v>2</v>
      </c>
      <c r="J789">
        <v>5.36</v>
      </c>
      <c r="K789">
        <v>3</v>
      </c>
      <c r="L789">
        <v>453.12</v>
      </c>
      <c r="M789">
        <v>78</v>
      </c>
      <c r="N789" t="s">
        <v>55</v>
      </c>
      <c r="O789">
        <v>9</v>
      </c>
      <c r="P789">
        <v>626</v>
      </c>
      <c r="Q789" s="27" t="str">
        <f>IF(D789=Pivot!$AS$4,R788, "")</f>
        <v/>
      </c>
      <c r="R789" t="s">
        <v>42</v>
      </c>
      <c r="S789" s="5">
        <v>1.44</v>
      </c>
      <c r="T789">
        <v>95.12</v>
      </c>
      <c r="U789">
        <v>589.05999999999995</v>
      </c>
      <c r="V789" s="27">
        <f t="shared" si="48"/>
        <v>32.160000000000004</v>
      </c>
      <c r="W789">
        <f t="shared" si="49"/>
        <v>1042.1799999999998</v>
      </c>
      <c r="X789" s="33" t="str">
        <f t="shared" si="50"/>
        <v>High Quality</v>
      </c>
      <c r="Y789" s="27" t="str">
        <f t="shared" si="51"/>
        <v>6</v>
      </c>
    </row>
    <row r="790" spans="1:25" x14ac:dyDescent="0.25">
      <c r="A790" s="1">
        <v>45436</v>
      </c>
      <c r="B790" t="s">
        <v>75</v>
      </c>
      <c r="C790">
        <v>3</v>
      </c>
      <c r="D790" t="s">
        <v>71</v>
      </c>
      <c r="E790" t="s">
        <v>37</v>
      </c>
      <c r="F790" t="s">
        <v>86</v>
      </c>
      <c r="G790" t="s">
        <v>60</v>
      </c>
      <c r="H790" t="s">
        <v>33</v>
      </c>
      <c r="I790">
        <v>1</v>
      </c>
      <c r="J790">
        <v>4.79</v>
      </c>
      <c r="K790">
        <v>9</v>
      </c>
      <c r="L790">
        <v>76</v>
      </c>
      <c r="M790">
        <v>70</v>
      </c>
      <c r="N790" t="s">
        <v>55</v>
      </c>
      <c r="O790">
        <v>11</v>
      </c>
      <c r="P790">
        <v>916</v>
      </c>
      <c r="Q790" s="27" t="str">
        <f>IF(D790=Pivot!$AS$4,R789, "")</f>
        <v/>
      </c>
      <c r="R790" t="s">
        <v>42</v>
      </c>
      <c r="S790" s="5">
        <v>1.2</v>
      </c>
      <c r="T790">
        <v>96.6</v>
      </c>
      <c r="U790">
        <v>88.67</v>
      </c>
      <c r="V790" s="27">
        <f t="shared" si="48"/>
        <v>43.11</v>
      </c>
      <c r="W790">
        <f t="shared" si="49"/>
        <v>164.67000000000002</v>
      </c>
      <c r="X790" s="33" t="str">
        <f t="shared" si="50"/>
        <v>High Quality</v>
      </c>
      <c r="Y790" s="27" t="str">
        <f t="shared" si="51"/>
        <v>6</v>
      </c>
    </row>
    <row r="791" spans="1:25" x14ac:dyDescent="0.25">
      <c r="A791" s="1">
        <v>45457</v>
      </c>
      <c r="B791" t="s">
        <v>35</v>
      </c>
      <c r="C791">
        <v>1</v>
      </c>
      <c r="D791" t="s">
        <v>64</v>
      </c>
      <c r="E791" t="s">
        <v>22</v>
      </c>
      <c r="F791" t="s">
        <v>73</v>
      </c>
      <c r="G791" t="s">
        <v>60</v>
      </c>
      <c r="H791" t="s">
        <v>61</v>
      </c>
      <c r="I791">
        <v>3</v>
      </c>
      <c r="J791">
        <v>1.72</v>
      </c>
      <c r="K791">
        <v>7</v>
      </c>
      <c r="L791">
        <v>113.29</v>
      </c>
      <c r="M791">
        <v>44</v>
      </c>
      <c r="N791" t="s">
        <v>45</v>
      </c>
      <c r="O791">
        <v>23</v>
      </c>
      <c r="P791">
        <v>820</v>
      </c>
      <c r="Q791" s="27" t="str">
        <f>IF(D791=Pivot!$AS$4,R790, "")</f>
        <v/>
      </c>
      <c r="R791" t="s">
        <v>27</v>
      </c>
      <c r="S791" s="5">
        <v>2.8</v>
      </c>
      <c r="T791">
        <v>91.4</v>
      </c>
      <c r="U791">
        <v>83.08</v>
      </c>
      <c r="V791" s="27">
        <f t="shared" si="48"/>
        <v>36.119999999999997</v>
      </c>
      <c r="W791">
        <f t="shared" si="49"/>
        <v>196.37</v>
      </c>
      <c r="X791" s="33" t="str">
        <f t="shared" si="50"/>
        <v>High Quality</v>
      </c>
      <c r="Y791" s="27" t="str">
        <f t="shared" si="51"/>
        <v>2</v>
      </c>
    </row>
    <row r="792" spans="1:25" x14ac:dyDescent="0.25">
      <c r="A792" s="1">
        <v>45501</v>
      </c>
      <c r="B792" t="s">
        <v>75</v>
      </c>
      <c r="C792">
        <v>1</v>
      </c>
      <c r="D792" t="s">
        <v>58</v>
      </c>
      <c r="E792" t="s">
        <v>22</v>
      </c>
      <c r="F792" t="s">
        <v>59</v>
      </c>
      <c r="G792" t="s">
        <v>60</v>
      </c>
      <c r="H792" t="s">
        <v>33</v>
      </c>
      <c r="I792">
        <v>2</v>
      </c>
      <c r="J792">
        <v>13.22</v>
      </c>
      <c r="K792">
        <v>1</v>
      </c>
      <c r="L792">
        <v>372.48</v>
      </c>
      <c r="M792">
        <v>10</v>
      </c>
      <c r="N792" t="s">
        <v>55</v>
      </c>
      <c r="O792">
        <v>11</v>
      </c>
      <c r="P792">
        <v>783</v>
      </c>
      <c r="Q792" s="27" t="str">
        <f>IF(D792=Pivot!$AS$4,R791, "")</f>
        <v/>
      </c>
      <c r="R792" t="s">
        <v>57</v>
      </c>
      <c r="S792" s="5">
        <v>1.4</v>
      </c>
      <c r="T792">
        <v>95.2</v>
      </c>
      <c r="U792">
        <v>62.08</v>
      </c>
      <c r="V792" s="27">
        <f t="shared" si="48"/>
        <v>26.44</v>
      </c>
      <c r="W792">
        <f t="shared" si="49"/>
        <v>434.56</v>
      </c>
      <c r="X792" s="33" t="str">
        <f t="shared" si="50"/>
        <v>Mid Quality</v>
      </c>
      <c r="Y792" s="27" t="str">
        <f t="shared" si="51"/>
        <v>14</v>
      </c>
    </row>
    <row r="793" spans="1:25" x14ac:dyDescent="0.25">
      <c r="A793" s="1">
        <v>45456</v>
      </c>
      <c r="B793" t="s">
        <v>28</v>
      </c>
      <c r="C793">
        <v>1</v>
      </c>
      <c r="D793" t="s">
        <v>91</v>
      </c>
      <c r="E793" t="s">
        <v>67</v>
      </c>
      <c r="F793" t="s">
        <v>90</v>
      </c>
      <c r="G793" t="s">
        <v>39</v>
      </c>
      <c r="H793" t="s">
        <v>61</v>
      </c>
      <c r="I793">
        <v>2</v>
      </c>
      <c r="J793">
        <v>5.99</v>
      </c>
      <c r="K793">
        <v>3</v>
      </c>
      <c r="L793">
        <v>246.78</v>
      </c>
      <c r="M793">
        <v>22</v>
      </c>
      <c r="N793" t="s">
        <v>49</v>
      </c>
      <c r="O793">
        <v>49</v>
      </c>
      <c r="P793">
        <v>877</v>
      </c>
      <c r="Q793" s="27" t="str">
        <f>IF(D793=Pivot!$AS$4,R792, "")</f>
        <v/>
      </c>
      <c r="R793" t="s">
        <v>34</v>
      </c>
      <c r="S793" s="5">
        <v>5.59</v>
      </c>
      <c r="T793">
        <v>86.82</v>
      </c>
      <c r="U793">
        <v>90.49</v>
      </c>
      <c r="V793" s="27">
        <f t="shared" si="48"/>
        <v>35.94</v>
      </c>
      <c r="W793">
        <f t="shared" si="49"/>
        <v>337.27</v>
      </c>
      <c r="X793" s="33" t="str">
        <f t="shared" si="50"/>
        <v>High Quality</v>
      </c>
      <c r="Y793" s="27" t="str">
        <f t="shared" si="51"/>
        <v>6</v>
      </c>
    </row>
    <row r="794" spans="1:25" x14ac:dyDescent="0.25">
      <c r="A794" s="1">
        <v>45348</v>
      </c>
      <c r="B794" t="s">
        <v>65</v>
      </c>
      <c r="C794">
        <v>3</v>
      </c>
      <c r="D794" t="s">
        <v>53</v>
      </c>
      <c r="E794" t="s">
        <v>22</v>
      </c>
      <c r="F794" t="s">
        <v>89</v>
      </c>
      <c r="G794" t="s">
        <v>60</v>
      </c>
      <c r="H794" t="s">
        <v>48</v>
      </c>
      <c r="I794">
        <v>3</v>
      </c>
      <c r="J794">
        <v>1.99</v>
      </c>
      <c r="K794">
        <v>2</v>
      </c>
      <c r="L794">
        <v>231.6</v>
      </c>
      <c r="M794">
        <v>85</v>
      </c>
      <c r="N794" t="s">
        <v>45</v>
      </c>
      <c r="O794">
        <v>2</v>
      </c>
      <c r="P794">
        <v>631</v>
      </c>
      <c r="Q794" s="27" t="str">
        <f>IF(D794=Pivot!$AS$4,R793, "")</f>
        <v/>
      </c>
      <c r="R794" t="s">
        <v>46</v>
      </c>
      <c r="S794" s="5">
        <v>0.32</v>
      </c>
      <c r="T794">
        <v>96.36</v>
      </c>
      <c r="U794">
        <v>328.1</v>
      </c>
      <c r="V794" s="27">
        <f t="shared" si="48"/>
        <v>11.94</v>
      </c>
      <c r="W794">
        <f t="shared" si="49"/>
        <v>559.70000000000005</v>
      </c>
      <c r="X794" s="33" t="str">
        <f t="shared" si="50"/>
        <v>High Quality</v>
      </c>
      <c r="Y794" s="27" t="str">
        <f t="shared" si="51"/>
        <v>2</v>
      </c>
    </row>
    <row r="795" spans="1:25" x14ac:dyDescent="0.25">
      <c r="A795" s="1">
        <v>45341</v>
      </c>
      <c r="B795" t="s">
        <v>20</v>
      </c>
      <c r="C795">
        <v>2</v>
      </c>
      <c r="D795" t="s">
        <v>64</v>
      </c>
      <c r="E795" t="s">
        <v>67</v>
      </c>
      <c r="F795" t="s">
        <v>38</v>
      </c>
      <c r="G795" t="s">
        <v>52</v>
      </c>
      <c r="H795" t="s">
        <v>61</v>
      </c>
      <c r="I795">
        <v>2</v>
      </c>
      <c r="J795">
        <v>5.39</v>
      </c>
      <c r="K795">
        <v>1</v>
      </c>
      <c r="L795">
        <v>111.63</v>
      </c>
      <c r="M795">
        <v>34</v>
      </c>
      <c r="N795" t="s">
        <v>41</v>
      </c>
      <c r="O795">
        <v>3</v>
      </c>
      <c r="P795">
        <v>681</v>
      </c>
      <c r="Q795" s="27" t="str">
        <f>IF(D795=Pivot!$AS$4,R794, "")</f>
        <v/>
      </c>
      <c r="R795" t="s">
        <v>27</v>
      </c>
      <c r="S795" s="5">
        <v>0.44</v>
      </c>
      <c r="T795">
        <v>97.12</v>
      </c>
      <c r="U795">
        <v>63.26</v>
      </c>
      <c r="V795" s="27">
        <f t="shared" si="48"/>
        <v>10.78</v>
      </c>
      <c r="W795">
        <f t="shared" si="49"/>
        <v>174.89</v>
      </c>
      <c r="X795" s="33" t="str">
        <f t="shared" si="50"/>
        <v>High Quality</v>
      </c>
      <c r="Y795" s="27" t="str">
        <f t="shared" si="51"/>
        <v>6</v>
      </c>
    </row>
    <row r="796" spans="1:25" x14ac:dyDescent="0.25">
      <c r="A796" s="1">
        <v>45559</v>
      </c>
      <c r="B796" t="s">
        <v>75</v>
      </c>
      <c r="C796">
        <v>1</v>
      </c>
      <c r="D796" t="s">
        <v>83</v>
      </c>
      <c r="E796" t="s">
        <v>51</v>
      </c>
      <c r="F796" t="s">
        <v>73</v>
      </c>
      <c r="G796" t="s">
        <v>39</v>
      </c>
      <c r="H796" t="s">
        <v>25</v>
      </c>
      <c r="I796">
        <v>5</v>
      </c>
      <c r="J796">
        <v>16.239999999999998</v>
      </c>
      <c r="K796">
        <v>9</v>
      </c>
      <c r="L796">
        <v>278.05</v>
      </c>
      <c r="M796">
        <v>25</v>
      </c>
      <c r="N796" t="s">
        <v>45</v>
      </c>
      <c r="O796">
        <v>11</v>
      </c>
      <c r="P796">
        <v>619</v>
      </c>
      <c r="Q796" s="27" t="str">
        <f>IF(D796=Pivot!$AS$4,R795, "")</f>
        <v/>
      </c>
      <c r="R796" t="s">
        <v>27</v>
      </c>
      <c r="S796" s="5">
        <v>1.78</v>
      </c>
      <c r="T796">
        <v>91.44</v>
      </c>
      <c r="U796">
        <v>115.85</v>
      </c>
      <c r="V796" s="27">
        <f t="shared" si="48"/>
        <v>730.8</v>
      </c>
      <c r="W796">
        <f t="shared" si="49"/>
        <v>393.9</v>
      </c>
      <c r="X796" s="33" t="str">
        <f t="shared" si="50"/>
        <v>Low Quality</v>
      </c>
      <c r="Y796" s="27" t="str">
        <f t="shared" si="51"/>
        <v>18</v>
      </c>
    </row>
    <row r="797" spans="1:25" x14ac:dyDescent="0.25">
      <c r="A797" s="1">
        <v>45326</v>
      </c>
      <c r="B797" t="s">
        <v>28</v>
      </c>
      <c r="C797">
        <v>3</v>
      </c>
      <c r="D797" t="s">
        <v>80</v>
      </c>
      <c r="E797" t="s">
        <v>37</v>
      </c>
      <c r="F797" t="s">
        <v>62</v>
      </c>
      <c r="G797" t="s">
        <v>52</v>
      </c>
      <c r="H797" t="s">
        <v>40</v>
      </c>
      <c r="I797">
        <v>3</v>
      </c>
      <c r="J797">
        <v>17.18</v>
      </c>
      <c r="K797">
        <v>8</v>
      </c>
      <c r="L797">
        <v>106.95</v>
      </c>
      <c r="M797">
        <v>66</v>
      </c>
      <c r="N797" t="s">
        <v>45</v>
      </c>
      <c r="O797">
        <v>35</v>
      </c>
      <c r="P797">
        <v>133</v>
      </c>
      <c r="Q797" s="27" t="str">
        <f>IF(D797=Pivot!$AS$4,R796, "")</f>
        <v>Kontrol tekrarlandı</v>
      </c>
      <c r="R797" t="s">
        <v>46</v>
      </c>
      <c r="S797" s="5">
        <v>26.32</v>
      </c>
      <c r="T797">
        <v>44.36</v>
      </c>
      <c r="U797">
        <v>117.65</v>
      </c>
      <c r="V797" s="27">
        <f t="shared" si="48"/>
        <v>412.32</v>
      </c>
      <c r="W797">
        <f t="shared" si="49"/>
        <v>224.60000000000002</v>
      </c>
      <c r="X797" s="33" t="str">
        <f t="shared" si="50"/>
        <v>Low Quality</v>
      </c>
      <c r="Y797" s="27" t="str">
        <f t="shared" si="51"/>
        <v>18</v>
      </c>
    </row>
    <row r="798" spans="1:25" x14ac:dyDescent="0.25">
      <c r="A798" s="1">
        <v>45314</v>
      </c>
      <c r="B798" t="s">
        <v>28</v>
      </c>
      <c r="C798">
        <v>2</v>
      </c>
      <c r="D798" t="s">
        <v>43</v>
      </c>
      <c r="E798" t="s">
        <v>22</v>
      </c>
      <c r="F798" t="s">
        <v>54</v>
      </c>
      <c r="G798" t="s">
        <v>39</v>
      </c>
      <c r="H798" t="s">
        <v>48</v>
      </c>
      <c r="I798">
        <v>2</v>
      </c>
      <c r="J798">
        <v>10.18</v>
      </c>
      <c r="K798">
        <v>5</v>
      </c>
      <c r="L798">
        <v>264.48</v>
      </c>
      <c r="M798">
        <v>14</v>
      </c>
      <c r="N798" t="s">
        <v>41</v>
      </c>
      <c r="O798">
        <v>15</v>
      </c>
      <c r="P798">
        <v>835</v>
      </c>
      <c r="Q798" s="27" t="str">
        <f>IF(D798=Pivot!$AS$4,R797, "")</f>
        <v/>
      </c>
      <c r="R798" t="s">
        <v>46</v>
      </c>
      <c r="S798" s="5">
        <v>1.8</v>
      </c>
      <c r="T798">
        <v>94.4</v>
      </c>
      <c r="U798">
        <v>61.71</v>
      </c>
      <c r="V798" s="27">
        <f t="shared" si="48"/>
        <v>101.8</v>
      </c>
      <c r="W798">
        <f t="shared" si="49"/>
        <v>326.19</v>
      </c>
      <c r="X798" s="33" t="str">
        <f t="shared" si="50"/>
        <v>Mid Quality</v>
      </c>
      <c r="Y798" s="27" t="str">
        <f t="shared" si="51"/>
        <v>12</v>
      </c>
    </row>
    <row r="799" spans="1:25" x14ac:dyDescent="0.25">
      <c r="A799" s="1">
        <v>45358</v>
      </c>
      <c r="B799" t="s">
        <v>65</v>
      </c>
      <c r="C799">
        <v>3</v>
      </c>
      <c r="D799" t="s">
        <v>85</v>
      </c>
      <c r="E799" t="s">
        <v>67</v>
      </c>
      <c r="F799" t="s">
        <v>89</v>
      </c>
      <c r="G799" t="s">
        <v>60</v>
      </c>
      <c r="H799" t="s">
        <v>48</v>
      </c>
      <c r="I799">
        <v>1</v>
      </c>
      <c r="J799">
        <v>8.91</v>
      </c>
      <c r="K799">
        <v>2</v>
      </c>
      <c r="L799">
        <v>393.63</v>
      </c>
      <c r="M799">
        <v>17</v>
      </c>
      <c r="N799" t="s">
        <v>26</v>
      </c>
      <c r="O799">
        <v>43</v>
      </c>
      <c r="P799">
        <v>790</v>
      </c>
      <c r="Q799" s="27" t="str">
        <f>IF(D799=Pivot!$AS$4,R798, "")</f>
        <v/>
      </c>
      <c r="R799" t="s">
        <v>42</v>
      </c>
      <c r="S799" s="5">
        <v>5.44</v>
      </c>
      <c r="T799">
        <v>88.12</v>
      </c>
      <c r="U799">
        <v>111.53</v>
      </c>
      <c r="V799" s="27">
        <f t="shared" si="48"/>
        <v>17.82</v>
      </c>
      <c r="W799">
        <f t="shared" si="49"/>
        <v>505.15999999999997</v>
      </c>
      <c r="X799" s="33" t="str">
        <f t="shared" si="50"/>
        <v>Mid Quality</v>
      </c>
      <c r="Y799" s="27" t="str">
        <f t="shared" si="51"/>
        <v>10</v>
      </c>
    </row>
    <row r="800" spans="1:25" x14ac:dyDescent="0.25">
      <c r="A800" s="1">
        <v>45383</v>
      </c>
      <c r="B800" t="s">
        <v>35</v>
      </c>
      <c r="C800">
        <v>2</v>
      </c>
      <c r="D800" t="s">
        <v>83</v>
      </c>
      <c r="E800" t="s">
        <v>30</v>
      </c>
      <c r="F800" t="s">
        <v>31</v>
      </c>
      <c r="G800" t="s">
        <v>52</v>
      </c>
      <c r="H800" t="s">
        <v>25</v>
      </c>
      <c r="I800">
        <v>1</v>
      </c>
      <c r="J800">
        <v>19.579999999999998</v>
      </c>
      <c r="K800">
        <v>1</v>
      </c>
      <c r="L800">
        <v>166.22</v>
      </c>
      <c r="M800">
        <v>80</v>
      </c>
      <c r="N800" t="s">
        <v>49</v>
      </c>
      <c r="O800">
        <v>11</v>
      </c>
      <c r="P800">
        <v>857</v>
      </c>
      <c r="Q800" s="27" t="str">
        <f>IF(D800=Pivot!$AS$4,R799, "")</f>
        <v/>
      </c>
      <c r="R800" t="s">
        <v>46</v>
      </c>
      <c r="S800" s="5">
        <v>1.28</v>
      </c>
      <c r="T800">
        <v>96.44</v>
      </c>
      <c r="U800">
        <v>221.63</v>
      </c>
      <c r="V800" s="27">
        <f t="shared" si="48"/>
        <v>19.579999999999998</v>
      </c>
      <c r="W800">
        <f t="shared" si="49"/>
        <v>387.85</v>
      </c>
      <c r="X800" s="33" t="str">
        <f t="shared" si="50"/>
        <v>Low Quality</v>
      </c>
      <c r="Y800" s="27" t="str">
        <f t="shared" si="51"/>
        <v>20</v>
      </c>
    </row>
    <row r="801" spans="1:25" x14ac:dyDescent="0.25">
      <c r="A801" s="1">
        <v>45308</v>
      </c>
      <c r="B801" t="s">
        <v>28</v>
      </c>
      <c r="C801">
        <v>3</v>
      </c>
      <c r="D801" t="s">
        <v>79</v>
      </c>
      <c r="E801" t="s">
        <v>22</v>
      </c>
      <c r="F801" t="s">
        <v>84</v>
      </c>
      <c r="G801" t="s">
        <v>52</v>
      </c>
      <c r="H801" t="s">
        <v>61</v>
      </c>
      <c r="I801">
        <v>5</v>
      </c>
      <c r="J801">
        <v>4.8099999999999996</v>
      </c>
      <c r="K801">
        <v>7</v>
      </c>
      <c r="L801">
        <v>266.35000000000002</v>
      </c>
      <c r="M801">
        <v>13</v>
      </c>
      <c r="N801" t="s">
        <v>26</v>
      </c>
      <c r="O801">
        <v>31</v>
      </c>
      <c r="P801">
        <v>589</v>
      </c>
      <c r="Q801" s="27" t="str">
        <f>IF(D801=Pivot!$AS$4,R800, "")</f>
        <v/>
      </c>
      <c r="R801" t="s">
        <v>34</v>
      </c>
      <c r="S801" s="5">
        <v>5.26</v>
      </c>
      <c r="T801">
        <v>84.48</v>
      </c>
      <c r="U801">
        <v>57.71</v>
      </c>
      <c r="V801" s="27">
        <f t="shared" si="48"/>
        <v>168.35</v>
      </c>
      <c r="W801">
        <f t="shared" si="49"/>
        <v>324.06</v>
      </c>
      <c r="X801" s="33" t="str">
        <f t="shared" si="50"/>
        <v>High Quality</v>
      </c>
      <c r="Y801" s="27" t="str">
        <f t="shared" si="51"/>
        <v>6</v>
      </c>
    </row>
    <row r="802" spans="1:25" x14ac:dyDescent="0.25">
      <c r="A802" s="1">
        <v>45395</v>
      </c>
      <c r="B802" t="s">
        <v>28</v>
      </c>
      <c r="C802">
        <v>2</v>
      </c>
      <c r="D802" t="s">
        <v>36</v>
      </c>
      <c r="E802" t="s">
        <v>51</v>
      </c>
      <c r="F802" t="s">
        <v>87</v>
      </c>
      <c r="G802" t="s">
        <v>52</v>
      </c>
      <c r="H802" t="s">
        <v>40</v>
      </c>
      <c r="I802">
        <v>3</v>
      </c>
      <c r="J802">
        <v>5.09</v>
      </c>
      <c r="K802">
        <v>2</v>
      </c>
      <c r="L802">
        <v>496.41</v>
      </c>
      <c r="M802">
        <v>72</v>
      </c>
      <c r="N802" t="s">
        <v>26</v>
      </c>
      <c r="O802">
        <v>28</v>
      </c>
      <c r="P802">
        <v>871</v>
      </c>
      <c r="Q802" s="27" t="str">
        <f>IF(D802=Pivot!$AS$4,R801, "")</f>
        <v/>
      </c>
      <c r="R802" t="s">
        <v>34</v>
      </c>
      <c r="S802" s="5">
        <v>3.21</v>
      </c>
      <c r="T802">
        <v>90.58</v>
      </c>
      <c r="U802">
        <v>595.69000000000005</v>
      </c>
      <c r="V802" s="27">
        <f t="shared" si="48"/>
        <v>30.54</v>
      </c>
      <c r="W802">
        <f t="shared" si="49"/>
        <v>1092.1000000000001</v>
      </c>
      <c r="X802" s="33" t="str">
        <f t="shared" si="50"/>
        <v>High Quality</v>
      </c>
      <c r="Y802" s="27" t="str">
        <f t="shared" si="51"/>
        <v>6</v>
      </c>
    </row>
    <row r="803" spans="1:25" x14ac:dyDescent="0.25">
      <c r="A803" s="1">
        <v>45346</v>
      </c>
      <c r="B803" t="s">
        <v>28</v>
      </c>
      <c r="C803">
        <v>1</v>
      </c>
      <c r="D803" t="s">
        <v>53</v>
      </c>
      <c r="E803" t="s">
        <v>51</v>
      </c>
      <c r="F803" t="s">
        <v>68</v>
      </c>
      <c r="G803" t="s">
        <v>39</v>
      </c>
      <c r="H803" t="s">
        <v>48</v>
      </c>
      <c r="I803">
        <v>2</v>
      </c>
      <c r="J803">
        <v>6.55</v>
      </c>
      <c r="K803">
        <v>1</v>
      </c>
      <c r="L803">
        <v>358.99</v>
      </c>
      <c r="M803">
        <v>43</v>
      </c>
      <c r="N803" t="s">
        <v>26</v>
      </c>
      <c r="O803">
        <v>28</v>
      </c>
      <c r="P803">
        <v>719</v>
      </c>
      <c r="Q803" s="27" t="str">
        <f>IF(D803=Pivot!$AS$4,R802, "")</f>
        <v/>
      </c>
      <c r="R803" t="s">
        <v>34</v>
      </c>
      <c r="S803" s="5">
        <v>3.89</v>
      </c>
      <c r="T803">
        <v>90.22</v>
      </c>
      <c r="U803">
        <v>257.27999999999997</v>
      </c>
      <c r="V803" s="27">
        <f t="shared" si="48"/>
        <v>13.1</v>
      </c>
      <c r="W803">
        <f t="shared" si="49"/>
        <v>616.27</v>
      </c>
      <c r="X803" s="33" t="str">
        <f t="shared" si="50"/>
        <v>Mid Quality</v>
      </c>
      <c r="Y803" s="27" t="str">
        <f t="shared" si="51"/>
        <v>8</v>
      </c>
    </row>
    <row r="804" spans="1:25" x14ac:dyDescent="0.25">
      <c r="A804" s="1">
        <v>45540</v>
      </c>
      <c r="B804" t="s">
        <v>28</v>
      </c>
      <c r="C804">
        <v>2</v>
      </c>
      <c r="D804" t="s">
        <v>80</v>
      </c>
      <c r="E804" t="s">
        <v>30</v>
      </c>
      <c r="F804" t="s">
        <v>44</v>
      </c>
      <c r="G804" t="s">
        <v>32</v>
      </c>
      <c r="H804" t="s">
        <v>40</v>
      </c>
      <c r="I804">
        <v>2</v>
      </c>
      <c r="J804">
        <v>4.28</v>
      </c>
      <c r="K804">
        <v>2</v>
      </c>
      <c r="L804">
        <v>428.61</v>
      </c>
      <c r="M804">
        <v>28</v>
      </c>
      <c r="N804" t="s">
        <v>63</v>
      </c>
      <c r="O804">
        <v>32</v>
      </c>
      <c r="P804">
        <v>853</v>
      </c>
      <c r="Q804" s="27" t="str">
        <f>IF(D804=Pivot!$AS$4,R803, "")</f>
        <v>Kritik hata</v>
      </c>
      <c r="R804" t="s">
        <v>34</v>
      </c>
      <c r="S804" s="5">
        <v>3.75</v>
      </c>
      <c r="T804">
        <v>90.5</v>
      </c>
      <c r="U804">
        <v>200.02</v>
      </c>
      <c r="V804" s="27">
        <f t="shared" si="48"/>
        <v>17.12</v>
      </c>
      <c r="W804">
        <f t="shared" si="49"/>
        <v>628.63</v>
      </c>
      <c r="X804" s="33" t="str">
        <f t="shared" si="50"/>
        <v>High Quality</v>
      </c>
      <c r="Y804" s="27" t="str">
        <f t="shared" si="51"/>
        <v>6</v>
      </c>
    </row>
    <row r="805" spans="1:25" x14ac:dyDescent="0.25">
      <c r="A805" s="1">
        <v>45390</v>
      </c>
      <c r="B805" t="s">
        <v>50</v>
      </c>
      <c r="C805">
        <v>3</v>
      </c>
      <c r="D805" t="s">
        <v>83</v>
      </c>
      <c r="E805" t="s">
        <v>67</v>
      </c>
      <c r="F805" t="s">
        <v>62</v>
      </c>
      <c r="G805" t="s">
        <v>60</v>
      </c>
      <c r="H805" t="s">
        <v>48</v>
      </c>
      <c r="I805">
        <v>1</v>
      </c>
      <c r="J805">
        <v>8.2100000000000009</v>
      </c>
      <c r="K805">
        <v>7</v>
      </c>
      <c r="L805">
        <v>236.68</v>
      </c>
      <c r="M805">
        <v>38</v>
      </c>
      <c r="N805" t="s">
        <v>26</v>
      </c>
      <c r="O805">
        <v>25</v>
      </c>
      <c r="P805">
        <v>522</v>
      </c>
      <c r="Q805" s="27" t="str">
        <f>IF(D805=Pivot!$AS$4,R804, "")</f>
        <v/>
      </c>
      <c r="R805" t="s">
        <v>34</v>
      </c>
      <c r="S805" s="5">
        <v>4.79</v>
      </c>
      <c r="T805">
        <v>89.42</v>
      </c>
      <c r="U805">
        <v>149.9</v>
      </c>
      <c r="V805" s="27">
        <f t="shared" si="48"/>
        <v>57.470000000000006</v>
      </c>
      <c r="W805">
        <f t="shared" si="49"/>
        <v>386.58000000000004</v>
      </c>
      <c r="X805" s="33" t="str">
        <f t="shared" si="50"/>
        <v>Mid Quality</v>
      </c>
      <c r="Y805" s="27" t="str">
        <f t="shared" si="51"/>
        <v>10</v>
      </c>
    </row>
    <row r="806" spans="1:25" x14ac:dyDescent="0.25">
      <c r="A806" s="1">
        <v>45342</v>
      </c>
      <c r="B806" t="s">
        <v>50</v>
      </c>
      <c r="C806">
        <v>3</v>
      </c>
      <c r="D806" t="s">
        <v>71</v>
      </c>
      <c r="E806" t="s">
        <v>22</v>
      </c>
      <c r="F806" t="s">
        <v>62</v>
      </c>
      <c r="G806" t="s">
        <v>52</v>
      </c>
      <c r="H806" t="s">
        <v>61</v>
      </c>
      <c r="I806">
        <v>5</v>
      </c>
      <c r="J806">
        <v>18.309999999999999</v>
      </c>
      <c r="K806">
        <v>7</v>
      </c>
      <c r="L806">
        <v>395.54</v>
      </c>
      <c r="M806">
        <v>65</v>
      </c>
      <c r="N806" t="s">
        <v>63</v>
      </c>
      <c r="O806">
        <v>20</v>
      </c>
      <c r="P806">
        <v>567</v>
      </c>
      <c r="Q806" s="27" t="str">
        <f>IF(D806=Pivot!$AS$4,R805, "")</f>
        <v/>
      </c>
      <c r="R806" t="s">
        <v>42</v>
      </c>
      <c r="S806" s="5">
        <v>3.53</v>
      </c>
      <c r="T806">
        <v>87.94</v>
      </c>
      <c r="U806">
        <v>428.5</v>
      </c>
      <c r="V806" s="27">
        <f t="shared" si="48"/>
        <v>640.84999999999991</v>
      </c>
      <c r="W806">
        <f t="shared" si="49"/>
        <v>824.04</v>
      </c>
      <c r="X806" s="33" t="str">
        <f t="shared" si="50"/>
        <v>Low Quality</v>
      </c>
      <c r="Y806" s="27" t="str">
        <f t="shared" si="51"/>
        <v>20</v>
      </c>
    </row>
    <row r="807" spans="1:25" x14ac:dyDescent="0.25">
      <c r="A807" s="1">
        <v>45308</v>
      </c>
      <c r="B807" t="s">
        <v>35</v>
      </c>
      <c r="C807">
        <v>2</v>
      </c>
      <c r="D807" t="s">
        <v>64</v>
      </c>
      <c r="E807" t="s">
        <v>67</v>
      </c>
      <c r="F807" t="s">
        <v>59</v>
      </c>
      <c r="G807" t="s">
        <v>32</v>
      </c>
      <c r="H807" t="s">
        <v>48</v>
      </c>
      <c r="I807">
        <v>1</v>
      </c>
      <c r="J807">
        <v>12.69</v>
      </c>
      <c r="K807">
        <v>6</v>
      </c>
      <c r="L807">
        <v>68.23</v>
      </c>
      <c r="M807">
        <v>45</v>
      </c>
      <c r="N807" t="s">
        <v>41</v>
      </c>
      <c r="O807">
        <v>28</v>
      </c>
      <c r="P807">
        <v>123</v>
      </c>
      <c r="Q807" s="27" t="str">
        <f>IF(D807=Pivot!$AS$4,R806, "")</f>
        <v/>
      </c>
      <c r="R807" t="s">
        <v>27</v>
      </c>
      <c r="S807" s="5">
        <v>22.76</v>
      </c>
      <c r="T807">
        <v>53.48</v>
      </c>
      <c r="U807">
        <v>51.17</v>
      </c>
      <c r="V807" s="27">
        <f t="shared" si="48"/>
        <v>76.14</v>
      </c>
      <c r="W807">
        <f t="shared" si="49"/>
        <v>119.4</v>
      </c>
      <c r="X807" s="33" t="str">
        <f t="shared" si="50"/>
        <v>Mid Quality</v>
      </c>
      <c r="Y807" s="27" t="str">
        <f t="shared" si="51"/>
        <v>14</v>
      </c>
    </row>
    <row r="808" spans="1:25" x14ac:dyDescent="0.25">
      <c r="A808" s="1">
        <v>45584</v>
      </c>
      <c r="B808" t="s">
        <v>75</v>
      </c>
      <c r="C808">
        <v>1</v>
      </c>
      <c r="D808" t="s">
        <v>85</v>
      </c>
      <c r="E808" t="s">
        <v>51</v>
      </c>
      <c r="F808" t="s">
        <v>72</v>
      </c>
      <c r="G808" t="s">
        <v>60</v>
      </c>
      <c r="H808" t="s">
        <v>48</v>
      </c>
      <c r="I808">
        <v>1</v>
      </c>
      <c r="J808">
        <v>8.83</v>
      </c>
      <c r="K808">
        <v>5</v>
      </c>
      <c r="L808">
        <v>105.31</v>
      </c>
      <c r="M808">
        <v>9</v>
      </c>
      <c r="N808" t="s">
        <v>49</v>
      </c>
      <c r="O808">
        <v>25</v>
      </c>
      <c r="P808">
        <v>315</v>
      </c>
      <c r="Q808" s="27" t="str">
        <f>IF(D808=Pivot!$AS$4,R807, "")</f>
        <v/>
      </c>
      <c r="R808" t="s">
        <v>46</v>
      </c>
      <c r="S808" s="5">
        <v>7.94</v>
      </c>
      <c r="T808">
        <v>83.12</v>
      </c>
      <c r="U808">
        <v>15.8</v>
      </c>
      <c r="V808" s="27">
        <f t="shared" si="48"/>
        <v>44.15</v>
      </c>
      <c r="W808">
        <f t="shared" si="49"/>
        <v>121.11</v>
      </c>
      <c r="X808" s="33" t="str">
        <f t="shared" si="50"/>
        <v>Mid Quality</v>
      </c>
      <c r="Y808" s="27" t="str">
        <f t="shared" si="51"/>
        <v>10</v>
      </c>
    </row>
    <row r="809" spans="1:25" x14ac:dyDescent="0.25">
      <c r="A809" s="1">
        <v>45490</v>
      </c>
      <c r="B809" t="s">
        <v>28</v>
      </c>
      <c r="C809">
        <v>1</v>
      </c>
      <c r="D809" t="s">
        <v>91</v>
      </c>
      <c r="E809" t="s">
        <v>67</v>
      </c>
      <c r="F809" t="s">
        <v>70</v>
      </c>
      <c r="G809" t="s">
        <v>60</v>
      </c>
      <c r="H809" t="s">
        <v>33</v>
      </c>
      <c r="I809">
        <v>5</v>
      </c>
      <c r="J809">
        <v>18.75</v>
      </c>
      <c r="K809">
        <v>3</v>
      </c>
      <c r="L809">
        <v>141.38</v>
      </c>
      <c r="M809">
        <v>83</v>
      </c>
      <c r="N809" t="s">
        <v>26</v>
      </c>
      <c r="O809">
        <v>11</v>
      </c>
      <c r="P809">
        <v>154</v>
      </c>
      <c r="Q809" s="27" t="str">
        <f>IF(D809=Pivot!$AS$4,R808, "")</f>
        <v/>
      </c>
      <c r="R809" t="s">
        <v>27</v>
      </c>
      <c r="S809" s="5">
        <v>7.14</v>
      </c>
      <c r="T809">
        <v>80.72</v>
      </c>
      <c r="U809">
        <v>195.58</v>
      </c>
      <c r="V809" s="27">
        <f t="shared" si="48"/>
        <v>281.25</v>
      </c>
      <c r="W809">
        <f t="shared" si="49"/>
        <v>336.96000000000004</v>
      </c>
      <c r="X809" s="33" t="str">
        <f t="shared" si="50"/>
        <v>Low Quality</v>
      </c>
      <c r="Y809" s="27" t="str">
        <f t="shared" si="51"/>
        <v>20</v>
      </c>
    </row>
    <row r="810" spans="1:25" x14ac:dyDescent="0.25">
      <c r="A810" s="1">
        <v>45542</v>
      </c>
      <c r="B810" t="s">
        <v>65</v>
      </c>
      <c r="C810">
        <v>2</v>
      </c>
      <c r="D810" t="s">
        <v>79</v>
      </c>
      <c r="E810" t="s">
        <v>51</v>
      </c>
      <c r="F810" t="s">
        <v>87</v>
      </c>
      <c r="G810" t="s">
        <v>52</v>
      </c>
      <c r="H810" t="s">
        <v>61</v>
      </c>
      <c r="I810">
        <v>3</v>
      </c>
      <c r="J810">
        <v>1.92</v>
      </c>
      <c r="K810">
        <v>3</v>
      </c>
      <c r="L810">
        <v>230.88</v>
      </c>
      <c r="M810">
        <v>54</v>
      </c>
      <c r="N810" t="s">
        <v>55</v>
      </c>
      <c r="O810">
        <v>19</v>
      </c>
      <c r="P810">
        <v>125</v>
      </c>
      <c r="Q810" s="27" t="str">
        <f>IF(D810=Pivot!$AS$4,R809, "")</f>
        <v/>
      </c>
      <c r="R810" t="s">
        <v>46</v>
      </c>
      <c r="S810" s="5">
        <v>15.2</v>
      </c>
      <c r="T810">
        <v>66.599999999999994</v>
      </c>
      <c r="U810">
        <v>207.79</v>
      </c>
      <c r="V810" s="27">
        <f t="shared" si="48"/>
        <v>17.28</v>
      </c>
      <c r="W810">
        <f t="shared" si="49"/>
        <v>438.66999999999996</v>
      </c>
      <c r="X810" s="33" t="str">
        <f t="shared" si="50"/>
        <v>High Quality</v>
      </c>
      <c r="Y810" s="27" t="str">
        <f t="shared" si="51"/>
        <v>2</v>
      </c>
    </row>
    <row r="811" spans="1:25" x14ac:dyDescent="0.25">
      <c r="A811" s="1">
        <v>45561</v>
      </c>
      <c r="B811" t="s">
        <v>75</v>
      </c>
      <c r="C811">
        <v>2</v>
      </c>
      <c r="D811" t="s">
        <v>79</v>
      </c>
      <c r="E811" t="s">
        <v>67</v>
      </c>
      <c r="F811" t="s">
        <v>86</v>
      </c>
      <c r="G811" t="s">
        <v>52</v>
      </c>
      <c r="H811" t="s">
        <v>25</v>
      </c>
      <c r="I811">
        <v>2</v>
      </c>
      <c r="J811">
        <v>5</v>
      </c>
      <c r="K811">
        <v>9</v>
      </c>
      <c r="L811">
        <v>430.59</v>
      </c>
      <c r="M811">
        <v>8</v>
      </c>
      <c r="N811" t="s">
        <v>41</v>
      </c>
      <c r="O811">
        <v>28</v>
      </c>
      <c r="P811">
        <v>380</v>
      </c>
      <c r="Q811" s="27" t="str">
        <f>IF(D811=Pivot!$AS$4,R810, "")</f>
        <v/>
      </c>
      <c r="R811" t="s">
        <v>42</v>
      </c>
      <c r="S811" s="5">
        <v>7.37</v>
      </c>
      <c r="T811">
        <v>83.26</v>
      </c>
      <c r="U811">
        <v>57.41</v>
      </c>
      <c r="V811" s="27">
        <f t="shared" si="48"/>
        <v>90</v>
      </c>
      <c r="W811">
        <f t="shared" si="49"/>
        <v>488</v>
      </c>
      <c r="X811" s="33" t="str">
        <f t="shared" si="50"/>
        <v>High Quality</v>
      </c>
      <c r="Y811" s="27" t="str">
        <f t="shared" si="51"/>
        <v>6</v>
      </c>
    </row>
    <row r="812" spans="1:25" x14ac:dyDescent="0.25">
      <c r="A812" s="1">
        <v>45423</v>
      </c>
      <c r="B812" t="s">
        <v>65</v>
      </c>
      <c r="C812">
        <v>3</v>
      </c>
      <c r="D812" t="s">
        <v>71</v>
      </c>
      <c r="E812" t="s">
        <v>30</v>
      </c>
      <c r="F812" t="s">
        <v>81</v>
      </c>
      <c r="G812" t="s">
        <v>39</v>
      </c>
      <c r="H812" t="s">
        <v>25</v>
      </c>
      <c r="I812">
        <v>3</v>
      </c>
      <c r="J812">
        <v>11.75</v>
      </c>
      <c r="K812">
        <v>4</v>
      </c>
      <c r="L812">
        <v>205.82</v>
      </c>
      <c r="M812">
        <v>55</v>
      </c>
      <c r="N812" t="s">
        <v>63</v>
      </c>
      <c r="O812">
        <v>1</v>
      </c>
      <c r="P812">
        <v>903</v>
      </c>
      <c r="Q812" s="27" t="str">
        <f>IF(D812=Pivot!$AS$4,R811, "")</f>
        <v/>
      </c>
      <c r="R812" t="s">
        <v>42</v>
      </c>
      <c r="S812" s="5">
        <v>0.11</v>
      </c>
      <c r="T812">
        <v>96.78</v>
      </c>
      <c r="U812">
        <v>188.67</v>
      </c>
      <c r="V812" s="27">
        <f t="shared" si="48"/>
        <v>141</v>
      </c>
      <c r="W812">
        <f t="shared" si="49"/>
        <v>394.49</v>
      </c>
      <c r="X812" s="33" t="str">
        <f t="shared" si="50"/>
        <v>Mid Quality</v>
      </c>
      <c r="Y812" s="27" t="str">
        <f t="shared" si="51"/>
        <v>12</v>
      </c>
    </row>
    <row r="813" spans="1:25" x14ac:dyDescent="0.25">
      <c r="A813" s="1">
        <v>45317</v>
      </c>
      <c r="B813" t="s">
        <v>75</v>
      </c>
      <c r="C813">
        <v>1</v>
      </c>
      <c r="D813" t="s">
        <v>79</v>
      </c>
      <c r="E813" t="s">
        <v>37</v>
      </c>
      <c r="F813" t="s">
        <v>84</v>
      </c>
      <c r="G813" t="s">
        <v>32</v>
      </c>
      <c r="H813" t="s">
        <v>61</v>
      </c>
      <c r="I813">
        <v>4</v>
      </c>
      <c r="J813">
        <v>12.7</v>
      </c>
      <c r="K813">
        <v>9</v>
      </c>
      <c r="L813">
        <v>344.58</v>
      </c>
      <c r="M813">
        <v>56</v>
      </c>
      <c r="N813" t="s">
        <v>49</v>
      </c>
      <c r="O813">
        <v>5</v>
      </c>
      <c r="P813">
        <v>426</v>
      </c>
      <c r="Q813" s="27" t="str">
        <f>IF(D813=Pivot!$AS$4,R812, "")</f>
        <v/>
      </c>
      <c r="R813" t="s">
        <v>57</v>
      </c>
      <c r="S813" s="5">
        <v>1.17</v>
      </c>
      <c r="T813">
        <v>93.66</v>
      </c>
      <c r="U813">
        <v>321.61</v>
      </c>
      <c r="V813" s="27">
        <f t="shared" si="48"/>
        <v>457.2</v>
      </c>
      <c r="W813">
        <f t="shared" si="49"/>
        <v>666.19</v>
      </c>
      <c r="X813" s="33" t="str">
        <f t="shared" si="50"/>
        <v>Mid Quality</v>
      </c>
      <c r="Y813" s="27" t="str">
        <f t="shared" si="51"/>
        <v>14</v>
      </c>
    </row>
    <row r="814" spans="1:25" x14ac:dyDescent="0.25">
      <c r="A814" s="1">
        <v>45479</v>
      </c>
      <c r="B814" t="s">
        <v>35</v>
      </c>
      <c r="C814">
        <v>2</v>
      </c>
      <c r="D814" t="s">
        <v>29</v>
      </c>
      <c r="E814" t="s">
        <v>30</v>
      </c>
      <c r="F814" t="s">
        <v>54</v>
      </c>
      <c r="G814" t="s">
        <v>32</v>
      </c>
      <c r="H814" t="s">
        <v>25</v>
      </c>
      <c r="I814">
        <v>4</v>
      </c>
      <c r="J814">
        <v>1.75</v>
      </c>
      <c r="K814">
        <v>4</v>
      </c>
      <c r="L814">
        <v>369.19</v>
      </c>
      <c r="M814">
        <v>43</v>
      </c>
      <c r="N814" t="s">
        <v>45</v>
      </c>
      <c r="O814">
        <v>10</v>
      </c>
      <c r="P814">
        <v>285</v>
      </c>
      <c r="Q814" s="27" t="str">
        <f>IF(D814=Pivot!$AS$4,R813, "")</f>
        <v/>
      </c>
      <c r="R814" t="s">
        <v>57</v>
      </c>
      <c r="S814" s="5">
        <v>3.51</v>
      </c>
      <c r="T814">
        <v>88.98</v>
      </c>
      <c r="U814">
        <v>264.58999999999997</v>
      </c>
      <c r="V814" s="27">
        <f t="shared" si="48"/>
        <v>28</v>
      </c>
      <c r="W814">
        <f t="shared" si="49"/>
        <v>633.78</v>
      </c>
      <c r="X814" s="33" t="str">
        <f t="shared" si="50"/>
        <v>High Quality</v>
      </c>
      <c r="Y814" s="27" t="str">
        <f t="shared" si="51"/>
        <v>2</v>
      </c>
    </row>
    <row r="815" spans="1:25" x14ac:dyDescent="0.25">
      <c r="A815" s="1">
        <v>45405</v>
      </c>
      <c r="B815" t="s">
        <v>28</v>
      </c>
      <c r="C815">
        <v>1</v>
      </c>
      <c r="D815" t="s">
        <v>36</v>
      </c>
      <c r="E815" t="s">
        <v>30</v>
      </c>
      <c r="F815" t="s">
        <v>68</v>
      </c>
      <c r="G815" t="s">
        <v>52</v>
      </c>
      <c r="H815" t="s">
        <v>61</v>
      </c>
      <c r="I815">
        <v>4</v>
      </c>
      <c r="J815">
        <v>8.66</v>
      </c>
      <c r="K815">
        <v>2</v>
      </c>
      <c r="L815">
        <v>313.77999999999997</v>
      </c>
      <c r="M815">
        <v>12</v>
      </c>
      <c r="N815" t="s">
        <v>49</v>
      </c>
      <c r="O815">
        <v>42</v>
      </c>
      <c r="P815">
        <v>594</v>
      </c>
      <c r="Q815" s="27" t="str">
        <f>IF(D815=Pivot!$AS$4,R814, "")</f>
        <v/>
      </c>
      <c r="R815" t="s">
        <v>42</v>
      </c>
      <c r="S815" s="5">
        <v>7.07</v>
      </c>
      <c r="T815">
        <v>81.86</v>
      </c>
      <c r="U815">
        <v>62.76</v>
      </c>
      <c r="V815" s="27">
        <f t="shared" si="48"/>
        <v>69.28</v>
      </c>
      <c r="W815">
        <f t="shared" si="49"/>
        <v>376.53999999999996</v>
      </c>
      <c r="X815" s="33" t="str">
        <f t="shared" si="50"/>
        <v>Mid Quality</v>
      </c>
      <c r="Y815" s="27" t="str">
        <f t="shared" si="51"/>
        <v>10</v>
      </c>
    </row>
    <row r="816" spans="1:25" x14ac:dyDescent="0.25">
      <c r="A816" s="1">
        <v>45328</v>
      </c>
      <c r="B816" t="s">
        <v>28</v>
      </c>
      <c r="C816">
        <v>2</v>
      </c>
      <c r="D816" t="s">
        <v>82</v>
      </c>
      <c r="E816" t="s">
        <v>37</v>
      </c>
      <c r="F816" t="s">
        <v>23</v>
      </c>
      <c r="G816" t="s">
        <v>60</v>
      </c>
      <c r="H816" t="s">
        <v>25</v>
      </c>
      <c r="I816">
        <v>5</v>
      </c>
      <c r="J816">
        <v>13.33</v>
      </c>
      <c r="K816">
        <v>4</v>
      </c>
      <c r="L816">
        <v>210.76</v>
      </c>
      <c r="M816">
        <v>49</v>
      </c>
      <c r="N816" t="s">
        <v>49</v>
      </c>
      <c r="O816">
        <v>46</v>
      </c>
      <c r="P816">
        <v>111</v>
      </c>
      <c r="Q816" s="27" t="str">
        <f>IF(D816=Pivot!$AS$4,R815, "")</f>
        <v/>
      </c>
      <c r="R816" t="s">
        <v>42</v>
      </c>
      <c r="S816" s="5">
        <v>41.44</v>
      </c>
      <c r="T816">
        <v>12.12</v>
      </c>
      <c r="U816">
        <v>172.12</v>
      </c>
      <c r="V816" s="27">
        <f t="shared" si="48"/>
        <v>266.60000000000002</v>
      </c>
      <c r="W816">
        <f t="shared" si="49"/>
        <v>382.88</v>
      </c>
      <c r="X816" s="33" t="str">
        <f t="shared" si="50"/>
        <v>Mid Quality</v>
      </c>
      <c r="Y816" s="27" t="str">
        <f t="shared" si="51"/>
        <v>14</v>
      </c>
    </row>
    <row r="817" spans="1:25" x14ac:dyDescent="0.25">
      <c r="A817" s="1">
        <v>45298</v>
      </c>
      <c r="B817" t="s">
        <v>20</v>
      </c>
      <c r="C817">
        <v>2</v>
      </c>
      <c r="D817" t="s">
        <v>76</v>
      </c>
      <c r="E817" t="s">
        <v>37</v>
      </c>
      <c r="F817" t="s">
        <v>62</v>
      </c>
      <c r="G817" t="s">
        <v>52</v>
      </c>
      <c r="H817" t="s">
        <v>33</v>
      </c>
      <c r="I817">
        <v>1</v>
      </c>
      <c r="J817">
        <v>14.26</v>
      </c>
      <c r="K817">
        <v>6</v>
      </c>
      <c r="L817">
        <v>309.67</v>
      </c>
      <c r="M817">
        <v>32</v>
      </c>
      <c r="N817" t="s">
        <v>26</v>
      </c>
      <c r="O817">
        <v>34</v>
      </c>
      <c r="P817">
        <v>740</v>
      </c>
      <c r="Q817" s="27" t="str">
        <f>IF(D817=Pivot!$AS$4,R816, "")</f>
        <v/>
      </c>
      <c r="R817" t="s">
        <v>46</v>
      </c>
      <c r="S817" s="5">
        <v>4.59</v>
      </c>
      <c r="T817">
        <v>89.82</v>
      </c>
      <c r="U817">
        <v>165.16</v>
      </c>
      <c r="V817" s="27">
        <f t="shared" si="48"/>
        <v>85.56</v>
      </c>
      <c r="W817">
        <f t="shared" si="49"/>
        <v>474.83000000000004</v>
      </c>
      <c r="X817" s="33" t="str">
        <f t="shared" si="50"/>
        <v>Mid Quality</v>
      </c>
      <c r="Y817" s="27" t="str">
        <f t="shared" si="51"/>
        <v>16</v>
      </c>
    </row>
    <row r="818" spans="1:25" x14ac:dyDescent="0.25">
      <c r="A818" s="1">
        <v>45398</v>
      </c>
      <c r="B818" t="s">
        <v>65</v>
      </c>
      <c r="C818">
        <v>1</v>
      </c>
      <c r="D818" t="s">
        <v>91</v>
      </c>
      <c r="E818" t="s">
        <v>22</v>
      </c>
      <c r="F818" t="s">
        <v>23</v>
      </c>
      <c r="G818" t="s">
        <v>60</v>
      </c>
      <c r="H818" t="s">
        <v>25</v>
      </c>
      <c r="I818">
        <v>3</v>
      </c>
      <c r="J818">
        <v>13.12</v>
      </c>
      <c r="K818">
        <v>6</v>
      </c>
      <c r="L818">
        <v>204.02</v>
      </c>
      <c r="M818">
        <v>31</v>
      </c>
      <c r="N818" t="s">
        <v>26</v>
      </c>
      <c r="O818">
        <v>36</v>
      </c>
      <c r="P818">
        <v>983</v>
      </c>
      <c r="Q818" s="27" t="str">
        <f>IF(D818=Pivot!$AS$4,R817, "")</f>
        <v/>
      </c>
      <c r="R818" t="s">
        <v>42</v>
      </c>
      <c r="S818" s="5">
        <v>3.66</v>
      </c>
      <c r="T818">
        <v>89.68</v>
      </c>
      <c r="U818">
        <v>105.41</v>
      </c>
      <c r="V818" s="27">
        <f t="shared" si="48"/>
        <v>236.16</v>
      </c>
      <c r="W818">
        <f t="shared" si="49"/>
        <v>309.43</v>
      </c>
      <c r="X818" s="33" t="str">
        <f t="shared" si="50"/>
        <v>Mid Quality</v>
      </c>
      <c r="Y818" s="27" t="str">
        <f t="shared" si="51"/>
        <v>14</v>
      </c>
    </row>
    <row r="819" spans="1:25" x14ac:dyDescent="0.25">
      <c r="A819" s="1">
        <v>45543</v>
      </c>
      <c r="B819" t="s">
        <v>75</v>
      </c>
      <c r="C819">
        <v>2</v>
      </c>
      <c r="D819" t="s">
        <v>74</v>
      </c>
      <c r="E819" t="s">
        <v>22</v>
      </c>
      <c r="F819" t="s">
        <v>23</v>
      </c>
      <c r="G819" t="s">
        <v>60</v>
      </c>
      <c r="H819" t="s">
        <v>48</v>
      </c>
      <c r="I819">
        <v>2</v>
      </c>
      <c r="J819">
        <v>7.09</v>
      </c>
      <c r="K819">
        <v>5</v>
      </c>
      <c r="L819">
        <v>87.74</v>
      </c>
      <c r="M819">
        <v>69</v>
      </c>
      <c r="N819" t="s">
        <v>63</v>
      </c>
      <c r="O819">
        <v>2</v>
      </c>
      <c r="P819">
        <v>533</v>
      </c>
      <c r="Q819" s="27" t="str">
        <f>IF(D819=Pivot!$AS$4,R818, "")</f>
        <v/>
      </c>
      <c r="R819" t="s">
        <v>27</v>
      </c>
      <c r="S819" s="5">
        <v>0.38</v>
      </c>
      <c r="T819">
        <v>97.24</v>
      </c>
      <c r="U819">
        <v>100.9</v>
      </c>
      <c r="V819" s="27">
        <f t="shared" si="48"/>
        <v>70.900000000000006</v>
      </c>
      <c r="W819">
        <f t="shared" si="49"/>
        <v>188.64</v>
      </c>
      <c r="X819" s="33" t="str">
        <f t="shared" si="50"/>
        <v>Mid Quality</v>
      </c>
      <c r="Y819" s="27" t="str">
        <f t="shared" si="51"/>
        <v>8</v>
      </c>
    </row>
    <row r="820" spans="1:25" x14ac:dyDescent="0.25">
      <c r="A820" s="1">
        <v>45332</v>
      </c>
      <c r="B820" t="s">
        <v>75</v>
      </c>
      <c r="C820">
        <v>2</v>
      </c>
      <c r="D820" t="s">
        <v>85</v>
      </c>
      <c r="E820" t="s">
        <v>30</v>
      </c>
      <c r="F820" t="s">
        <v>78</v>
      </c>
      <c r="G820" t="s">
        <v>52</v>
      </c>
      <c r="H820" t="s">
        <v>61</v>
      </c>
      <c r="I820">
        <v>4</v>
      </c>
      <c r="J820">
        <v>2.78</v>
      </c>
      <c r="K820">
        <v>1</v>
      </c>
      <c r="L820">
        <v>496.76</v>
      </c>
      <c r="M820">
        <v>38</v>
      </c>
      <c r="N820" t="s">
        <v>63</v>
      </c>
      <c r="O820">
        <v>18</v>
      </c>
      <c r="P820">
        <v>307</v>
      </c>
      <c r="Q820" s="27" t="str">
        <f>IF(D820=Pivot!$AS$4,R819, "")</f>
        <v/>
      </c>
      <c r="R820" t="s">
        <v>46</v>
      </c>
      <c r="S820" s="5">
        <v>5.86</v>
      </c>
      <c r="T820">
        <v>84.28</v>
      </c>
      <c r="U820">
        <v>314.61</v>
      </c>
      <c r="V820" s="27">
        <f t="shared" si="48"/>
        <v>11.12</v>
      </c>
      <c r="W820">
        <f t="shared" si="49"/>
        <v>811.37</v>
      </c>
      <c r="X820" s="33" t="str">
        <f t="shared" si="50"/>
        <v>High Quality</v>
      </c>
      <c r="Y820" s="27" t="str">
        <f t="shared" si="51"/>
        <v>4</v>
      </c>
    </row>
    <row r="821" spans="1:25" x14ac:dyDescent="0.25">
      <c r="A821" s="1">
        <v>45531</v>
      </c>
      <c r="B821" t="s">
        <v>50</v>
      </c>
      <c r="C821">
        <v>3</v>
      </c>
      <c r="D821" t="s">
        <v>21</v>
      </c>
      <c r="E821" t="s">
        <v>30</v>
      </c>
      <c r="F821" t="s">
        <v>70</v>
      </c>
      <c r="G821" t="s">
        <v>24</v>
      </c>
      <c r="H821" t="s">
        <v>40</v>
      </c>
      <c r="I821">
        <v>3</v>
      </c>
      <c r="J821">
        <v>9.1199999999999992</v>
      </c>
      <c r="K821">
        <v>3</v>
      </c>
      <c r="L821">
        <v>107.23</v>
      </c>
      <c r="M821">
        <v>85</v>
      </c>
      <c r="N821" t="s">
        <v>26</v>
      </c>
      <c r="O821">
        <v>13</v>
      </c>
      <c r="P821">
        <v>232</v>
      </c>
      <c r="Q821" s="27" t="str">
        <f>IF(D821=Pivot!$AS$4,R820, "")</f>
        <v/>
      </c>
      <c r="R821" t="s">
        <v>42</v>
      </c>
      <c r="S821" s="5">
        <v>5.6</v>
      </c>
      <c r="T821">
        <v>85.8</v>
      </c>
      <c r="U821">
        <v>151.91</v>
      </c>
      <c r="V821" s="27">
        <f t="shared" si="48"/>
        <v>82.08</v>
      </c>
      <c r="W821">
        <f t="shared" si="49"/>
        <v>259.14</v>
      </c>
      <c r="X821" s="33" t="str">
        <f t="shared" si="50"/>
        <v>Mid Quality</v>
      </c>
      <c r="Y821" s="27" t="str">
        <f t="shared" si="51"/>
        <v>10</v>
      </c>
    </row>
    <row r="822" spans="1:25" x14ac:dyDescent="0.25">
      <c r="A822" s="1">
        <v>45323</v>
      </c>
      <c r="B822" t="s">
        <v>20</v>
      </c>
      <c r="C822">
        <v>2</v>
      </c>
      <c r="D822" t="s">
        <v>43</v>
      </c>
      <c r="E822" t="s">
        <v>51</v>
      </c>
      <c r="F822" t="s">
        <v>68</v>
      </c>
      <c r="G822" t="s">
        <v>32</v>
      </c>
      <c r="H822" t="s">
        <v>40</v>
      </c>
      <c r="I822">
        <v>4</v>
      </c>
      <c r="J822">
        <v>3.45</v>
      </c>
      <c r="K822">
        <v>5</v>
      </c>
      <c r="L822">
        <v>82.56</v>
      </c>
      <c r="M822">
        <v>66</v>
      </c>
      <c r="N822" t="s">
        <v>26</v>
      </c>
      <c r="O822">
        <v>5</v>
      </c>
      <c r="P822">
        <v>438</v>
      </c>
      <c r="Q822" s="27" t="str">
        <f>IF(D822=Pivot!$AS$4,R821, "")</f>
        <v/>
      </c>
      <c r="R822" t="s">
        <v>46</v>
      </c>
      <c r="S822" s="5">
        <v>1.1399999999999999</v>
      </c>
      <c r="T822">
        <v>93.72</v>
      </c>
      <c r="U822">
        <v>90.82</v>
      </c>
      <c r="V822" s="27">
        <f t="shared" si="48"/>
        <v>69</v>
      </c>
      <c r="W822">
        <f t="shared" si="49"/>
        <v>173.38</v>
      </c>
      <c r="X822" s="33" t="str">
        <f t="shared" si="50"/>
        <v>High Quality</v>
      </c>
      <c r="Y822" s="27" t="str">
        <f t="shared" si="51"/>
        <v>4</v>
      </c>
    </row>
    <row r="823" spans="1:25" x14ac:dyDescent="0.25">
      <c r="A823" s="1">
        <v>45476</v>
      </c>
      <c r="B823" t="s">
        <v>50</v>
      </c>
      <c r="C823">
        <v>2</v>
      </c>
      <c r="D823" t="s">
        <v>77</v>
      </c>
      <c r="E823" t="s">
        <v>51</v>
      </c>
      <c r="F823" t="s">
        <v>72</v>
      </c>
      <c r="G823" t="s">
        <v>60</v>
      </c>
      <c r="H823" t="s">
        <v>61</v>
      </c>
      <c r="I823">
        <v>4</v>
      </c>
      <c r="J823">
        <v>19</v>
      </c>
      <c r="K823">
        <v>6</v>
      </c>
      <c r="L823">
        <v>445.34</v>
      </c>
      <c r="M823">
        <v>66</v>
      </c>
      <c r="N823" t="s">
        <v>55</v>
      </c>
      <c r="O823">
        <v>20</v>
      </c>
      <c r="P823">
        <v>295</v>
      </c>
      <c r="Q823" s="27" t="str">
        <f>IF(D823=Pivot!$AS$4,R822, "")</f>
        <v/>
      </c>
      <c r="R823" t="s">
        <v>46</v>
      </c>
      <c r="S823" s="5">
        <v>6.78</v>
      </c>
      <c r="T823">
        <v>82.44</v>
      </c>
      <c r="U823">
        <v>489.87</v>
      </c>
      <c r="V823" s="27">
        <f t="shared" si="48"/>
        <v>456</v>
      </c>
      <c r="W823">
        <f t="shared" si="49"/>
        <v>935.21</v>
      </c>
      <c r="X823" s="33" t="str">
        <f t="shared" si="50"/>
        <v>Low Quality</v>
      </c>
      <c r="Y823" s="27" t="str">
        <f t="shared" si="51"/>
        <v>20</v>
      </c>
    </row>
    <row r="824" spans="1:25" x14ac:dyDescent="0.25">
      <c r="A824" s="1">
        <v>45577</v>
      </c>
      <c r="B824" t="s">
        <v>50</v>
      </c>
      <c r="C824">
        <v>2</v>
      </c>
      <c r="D824" t="s">
        <v>53</v>
      </c>
      <c r="E824" t="s">
        <v>22</v>
      </c>
      <c r="F824" t="s">
        <v>54</v>
      </c>
      <c r="G824" t="s">
        <v>60</v>
      </c>
      <c r="H824" t="s">
        <v>33</v>
      </c>
      <c r="I824">
        <v>2</v>
      </c>
      <c r="J824">
        <v>10.029999999999999</v>
      </c>
      <c r="K824">
        <v>1</v>
      </c>
      <c r="L824">
        <v>185.83</v>
      </c>
      <c r="M824">
        <v>42</v>
      </c>
      <c r="N824" t="s">
        <v>55</v>
      </c>
      <c r="O824">
        <v>2</v>
      </c>
      <c r="P824">
        <v>361</v>
      </c>
      <c r="Q824" s="27" t="str">
        <f>IF(D824=Pivot!$AS$4,R823, "")</f>
        <v/>
      </c>
      <c r="R824" t="s">
        <v>34</v>
      </c>
      <c r="S824" s="5">
        <v>0.55000000000000004</v>
      </c>
      <c r="T824">
        <v>96.9</v>
      </c>
      <c r="U824">
        <v>130.08000000000001</v>
      </c>
      <c r="V824" s="27">
        <f t="shared" si="48"/>
        <v>20.059999999999999</v>
      </c>
      <c r="W824">
        <f t="shared" si="49"/>
        <v>315.91000000000003</v>
      </c>
      <c r="X824" s="33" t="str">
        <f t="shared" si="50"/>
        <v>Mid Quality</v>
      </c>
      <c r="Y824" s="27" t="str">
        <f t="shared" si="51"/>
        <v>12</v>
      </c>
    </row>
    <row r="825" spans="1:25" x14ac:dyDescent="0.25">
      <c r="A825" s="1">
        <v>45504</v>
      </c>
      <c r="B825" t="s">
        <v>50</v>
      </c>
      <c r="C825">
        <v>3</v>
      </c>
      <c r="D825" t="s">
        <v>36</v>
      </c>
      <c r="E825" t="s">
        <v>22</v>
      </c>
      <c r="F825" t="s">
        <v>69</v>
      </c>
      <c r="G825" t="s">
        <v>24</v>
      </c>
      <c r="H825" t="s">
        <v>25</v>
      </c>
      <c r="I825">
        <v>5</v>
      </c>
      <c r="J825">
        <v>7.03</v>
      </c>
      <c r="K825">
        <v>9</v>
      </c>
      <c r="L825">
        <v>342.63</v>
      </c>
      <c r="M825">
        <v>30</v>
      </c>
      <c r="N825" t="s">
        <v>41</v>
      </c>
      <c r="O825">
        <v>11</v>
      </c>
      <c r="P825">
        <v>381</v>
      </c>
      <c r="Q825" s="27" t="str">
        <f>IF(D825=Pivot!$AS$4,R824, "")</f>
        <v/>
      </c>
      <c r="R825" t="s">
        <v>57</v>
      </c>
      <c r="S825" s="5">
        <v>2.89</v>
      </c>
      <c r="T825">
        <v>89.22</v>
      </c>
      <c r="U825">
        <v>171.32</v>
      </c>
      <c r="V825" s="27">
        <f t="shared" si="48"/>
        <v>316.35000000000002</v>
      </c>
      <c r="W825">
        <f t="shared" si="49"/>
        <v>513.95000000000005</v>
      </c>
      <c r="X825" s="33" t="str">
        <f t="shared" si="50"/>
        <v>Mid Quality</v>
      </c>
      <c r="Y825" s="27" t="str">
        <f t="shared" si="51"/>
        <v>8</v>
      </c>
    </row>
    <row r="826" spans="1:25" x14ac:dyDescent="0.25">
      <c r="A826" s="1">
        <v>45480</v>
      </c>
      <c r="B826" t="s">
        <v>65</v>
      </c>
      <c r="C826">
        <v>1</v>
      </c>
      <c r="D826" t="s">
        <v>83</v>
      </c>
      <c r="E826" t="s">
        <v>51</v>
      </c>
      <c r="F826" t="s">
        <v>86</v>
      </c>
      <c r="G826" t="s">
        <v>39</v>
      </c>
      <c r="H826" t="s">
        <v>33</v>
      </c>
      <c r="I826">
        <v>1</v>
      </c>
      <c r="J826">
        <v>15.56</v>
      </c>
      <c r="K826">
        <v>3</v>
      </c>
      <c r="L826">
        <v>198.05</v>
      </c>
      <c r="M826">
        <v>28</v>
      </c>
      <c r="N826" t="s">
        <v>26</v>
      </c>
      <c r="O826">
        <v>30</v>
      </c>
      <c r="P826">
        <v>468</v>
      </c>
      <c r="Q826" s="27" t="str">
        <f>IF(D826=Pivot!$AS$4,R825, "")</f>
        <v/>
      </c>
      <c r="R826" t="s">
        <v>46</v>
      </c>
      <c r="S826" s="5">
        <v>6.41</v>
      </c>
      <c r="T826">
        <v>86.18</v>
      </c>
      <c r="U826">
        <v>92.42</v>
      </c>
      <c r="V826" s="27">
        <f t="shared" si="48"/>
        <v>46.68</v>
      </c>
      <c r="W826">
        <f t="shared" si="49"/>
        <v>290.47000000000003</v>
      </c>
      <c r="X826" s="33" t="str">
        <f t="shared" si="50"/>
        <v>Low Quality</v>
      </c>
      <c r="Y826" s="27" t="str">
        <f t="shared" si="51"/>
        <v>16</v>
      </c>
    </row>
    <row r="827" spans="1:25" x14ac:dyDescent="0.25">
      <c r="A827" s="1">
        <v>45321</v>
      </c>
      <c r="B827" t="s">
        <v>65</v>
      </c>
      <c r="C827">
        <v>3</v>
      </c>
      <c r="D827" t="s">
        <v>53</v>
      </c>
      <c r="E827" t="s">
        <v>51</v>
      </c>
      <c r="F827" t="s">
        <v>70</v>
      </c>
      <c r="G827" t="s">
        <v>24</v>
      </c>
      <c r="H827" t="s">
        <v>40</v>
      </c>
      <c r="I827">
        <v>5</v>
      </c>
      <c r="J827">
        <v>10.46</v>
      </c>
      <c r="K827">
        <v>3</v>
      </c>
      <c r="L827">
        <v>226.15</v>
      </c>
      <c r="M827">
        <v>43</v>
      </c>
      <c r="N827" t="s">
        <v>45</v>
      </c>
      <c r="O827">
        <v>32</v>
      </c>
      <c r="P827">
        <v>202</v>
      </c>
      <c r="Q827" s="27" t="str">
        <f>IF(D827=Pivot!$AS$4,R826, "")</f>
        <v/>
      </c>
      <c r="R827" t="s">
        <v>46</v>
      </c>
      <c r="S827" s="5">
        <v>15.84</v>
      </c>
      <c r="T827">
        <v>63.32</v>
      </c>
      <c r="U827">
        <v>162.07</v>
      </c>
      <c r="V827" s="27">
        <f t="shared" si="48"/>
        <v>156.9</v>
      </c>
      <c r="W827">
        <f t="shared" si="49"/>
        <v>388.22</v>
      </c>
      <c r="X827" s="33" t="str">
        <f t="shared" si="50"/>
        <v>Mid Quality</v>
      </c>
      <c r="Y827" s="27" t="str">
        <f t="shared" si="51"/>
        <v>12</v>
      </c>
    </row>
    <row r="828" spans="1:25" x14ac:dyDescent="0.25">
      <c r="A828" s="1">
        <v>45428</v>
      </c>
      <c r="B828" t="s">
        <v>35</v>
      </c>
      <c r="C828">
        <v>3</v>
      </c>
      <c r="D828" t="s">
        <v>71</v>
      </c>
      <c r="E828" t="s">
        <v>67</v>
      </c>
      <c r="F828" t="s">
        <v>87</v>
      </c>
      <c r="G828" t="s">
        <v>24</v>
      </c>
      <c r="H828" t="s">
        <v>61</v>
      </c>
      <c r="I828">
        <v>3</v>
      </c>
      <c r="J828">
        <v>6.89</v>
      </c>
      <c r="K828">
        <v>2</v>
      </c>
      <c r="L828">
        <v>167.95</v>
      </c>
      <c r="M828">
        <v>25</v>
      </c>
      <c r="N828" t="s">
        <v>55</v>
      </c>
      <c r="O828">
        <v>32</v>
      </c>
      <c r="P828">
        <v>731</v>
      </c>
      <c r="Q828" s="27" t="str">
        <f>IF(D828=Pivot!$AS$4,R827, "")</f>
        <v/>
      </c>
      <c r="R828" t="s">
        <v>34</v>
      </c>
      <c r="S828" s="5">
        <v>4.38</v>
      </c>
      <c r="T828">
        <v>88.24</v>
      </c>
      <c r="U828">
        <v>69.98</v>
      </c>
      <c r="V828" s="27">
        <f t="shared" si="48"/>
        <v>41.339999999999996</v>
      </c>
      <c r="W828">
        <f t="shared" si="49"/>
        <v>237.93</v>
      </c>
      <c r="X828" s="33" t="str">
        <f t="shared" si="50"/>
        <v>Mid Quality</v>
      </c>
      <c r="Y828" s="27" t="str">
        <f t="shared" si="51"/>
        <v>8</v>
      </c>
    </row>
    <row r="829" spans="1:25" x14ac:dyDescent="0.25">
      <c r="A829" s="1">
        <v>45562</v>
      </c>
      <c r="B829" t="s">
        <v>35</v>
      </c>
      <c r="C829">
        <v>1</v>
      </c>
      <c r="D829" t="s">
        <v>83</v>
      </c>
      <c r="E829" t="s">
        <v>67</v>
      </c>
      <c r="F829" t="s">
        <v>72</v>
      </c>
      <c r="G829" t="s">
        <v>60</v>
      </c>
      <c r="H829" t="s">
        <v>61</v>
      </c>
      <c r="I829">
        <v>5</v>
      </c>
      <c r="J829">
        <v>16.43</v>
      </c>
      <c r="K829">
        <v>8</v>
      </c>
      <c r="L829">
        <v>204.37</v>
      </c>
      <c r="M829">
        <v>51</v>
      </c>
      <c r="N829" t="s">
        <v>63</v>
      </c>
      <c r="O829">
        <v>38</v>
      </c>
      <c r="P829">
        <v>282</v>
      </c>
      <c r="Q829" s="27" t="str">
        <f>IF(D829=Pivot!$AS$4,R828, "")</f>
        <v/>
      </c>
      <c r="R829" t="s">
        <v>42</v>
      </c>
      <c r="S829" s="5">
        <v>13.48</v>
      </c>
      <c r="T829">
        <v>68.040000000000006</v>
      </c>
      <c r="U829">
        <v>173.71</v>
      </c>
      <c r="V829" s="27">
        <f t="shared" si="48"/>
        <v>657.2</v>
      </c>
      <c r="W829">
        <f t="shared" si="49"/>
        <v>378.08000000000004</v>
      </c>
      <c r="X829" s="33" t="str">
        <f t="shared" si="50"/>
        <v>Low Quality</v>
      </c>
      <c r="Y829" s="27" t="str">
        <f t="shared" si="51"/>
        <v>18</v>
      </c>
    </row>
    <row r="830" spans="1:25" x14ac:dyDescent="0.25">
      <c r="A830" s="1">
        <v>45312</v>
      </c>
      <c r="B830" t="s">
        <v>50</v>
      </c>
      <c r="C830">
        <v>3</v>
      </c>
      <c r="D830" t="s">
        <v>53</v>
      </c>
      <c r="E830" t="s">
        <v>51</v>
      </c>
      <c r="F830" t="s">
        <v>84</v>
      </c>
      <c r="G830" t="s">
        <v>32</v>
      </c>
      <c r="H830" t="s">
        <v>33</v>
      </c>
      <c r="I830">
        <v>3</v>
      </c>
      <c r="J830">
        <v>17.48</v>
      </c>
      <c r="K830">
        <v>3</v>
      </c>
      <c r="L830">
        <v>234.82</v>
      </c>
      <c r="M830">
        <v>52</v>
      </c>
      <c r="N830" t="s">
        <v>49</v>
      </c>
      <c r="O830">
        <v>28</v>
      </c>
      <c r="P830">
        <v>522</v>
      </c>
      <c r="Q830" s="27" t="str">
        <f>IF(D830=Pivot!$AS$4,R829, "")</f>
        <v/>
      </c>
      <c r="R830" t="s">
        <v>46</v>
      </c>
      <c r="S830" s="5">
        <v>5.36</v>
      </c>
      <c r="T830">
        <v>86.28</v>
      </c>
      <c r="U830">
        <v>203.51</v>
      </c>
      <c r="V830" s="27">
        <f t="shared" si="48"/>
        <v>157.32</v>
      </c>
      <c r="W830">
        <f t="shared" si="49"/>
        <v>438.33</v>
      </c>
      <c r="X830" s="33" t="str">
        <f t="shared" si="50"/>
        <v>Low Quality</v>
      </c>
      <c r="Y830" s="27" t="str">
        <f t="shared" si="51"/>
        <v>18</v>
      </c>
    </row>
    <row r="831" spans="1:25" x14ac:dyDescent="0.25">
      <c r="A831" s="1">
        <v>45328</v>
      </c>
      <c r="B831" t="s">
        <v>20</v>
      </c>
      <c r="C831">
        <v>1</v>
      </c>
      <c r="D831" t="s">
        <v>58</v>
      </c>
      <c r="E831" t="s">
        <v>67</v>
      </c>
      <c r="F831" t="s">
        <v>84</v>
      </c>
      <c r="G831" t="s">
        <v>24</v>
      </c>
      <c r="H831" t="s">
        <v>33</v>
      </c>
      <c r="I831">
        <v>3</v>
      </c>
      <c r="J831">
        <v>13.79</v>
      </c>
      <c r="K831">
        <v>6</v>
      </c>
      <c r="L831">
        <v>374.19</v>
      </c>
      <c r="M831">
        <v>17</v>
      </c>
      <c r="N831" t="s">
        <v>41</v>
      </c>
      <c r="O831">
        <v>10</v>
      </c>
      <c r="P831">
        <v>108</v>
      </c>
      <c r="Q831" s="27" t="str">
        <f>IF(D831=Pivot!$AS$4,R830, "")</f>
        <v/>
      </c>
      <c r="R831" t="s">
        <v>34</v>
      </c>
      <c r="S831" s="5">
        <v>9.26</v>
      </c>
      <c r="T831">
        <v>78.48</v>
      </c>
      <c r="U831">
        <v>106.02</v>
      </c>
      <c r="V831" s="27">
        <f t="shared" si="48"/>
        <v>248.21999999999997</v>
      </c>
      <c r="W831">
        <f t="shared" si="49"/>
        <v>480.21</v>
      </c>
      <c r="X831" s="33" t="str">
        <f t="shared" si="50"/>
        <v>Mid Quality</v>
      </c>
      <c r="Y831" s="27" t="str">
        <f t="shared" si="51"/>
        <v>14</v>
      </c>
    </row>
    <row r="832" spans="1:25" x14ac:dyDescent="0.25">
      <c r="A832" s="1">
        <v>45447</v>
      </c>
      <c r="B832" t="s">
        <v>75</v>
      </c>
      <c r="C832">
        <v>3</v>
      </c>
      <c r="D832" t="s">
        <v>58</v>
      </c>
      <c r="E832" t="s">
        <v>37</v>
      </c>
      <c r="F832" t="s">
        <v>73</v>
      </c>
      <c r="G832" t="s">
        <v>39</v>
      </c>
      <c r="H832" t="s">
        <v>25</v>
      </c>
      <c r="I832">
        <v>1</v>
      </c>
      <c r="J832">
        <v>1.89</v>
      </c>
      <c r="K832">
        <v>2</v>
      </c>
      <c r="L832">
        <v>280.19</v>
      </c>
      <c r="M832">
        <v>7</v>
      </c>
      <c r="N832" t="s">
        <v>55</v>
      </c>
      <c r="O832">
        <v>22</v>
      </c>
      <c r="P832">
        <v>656</v>
      </c>
      <c r="Q832" s="27" t="str">
        <f>IF(D832=Pivot!$AS$4,R831, "")</f>
        <v/>
      </c>
      <c r="R832" t="s">
        <v>27</v>
      </c>
      <c r="S832" s="5">
        <v>3.35</v>
      </c>
      <c r="T832">
        <v>92.3</v>
      </c>
      <c r="U832">
        <v>32.69</v>
      </c>
      <c r="V832" s="27">
        <f t="shared" si="48"/>
        <v>3.78</v>
      </c>
      <c r="W832">
        <f t="shared" si="49"/>
        <v>312.88</v>
      </c>
      <c r="X832" s="33" t="str">
        <f t="shared" si="50"/>
        <v>High Quality</v>
      </c>
      <c r="Y832" s="27" t="str">
        <f t="shared" si="51"/>
        <v>2</v>
      </c>
    </row>
    <row r="833" spans="1:25" x14ac:dyDescent="0.25">
      <c r="A833" s="1">
        <v>45331</v>
      </c>
      <c r="B833" t="s">
        <v>65</v>
      </c>
      <c r="C833">
        <v>1</v>
      </c>
      <c r="D833" t="s">
        <v>21</v>
      </c>
      <c r="E833" t="s">
        <v>22</v>
      </c>
      <c r="F833" t="s">
        <v>81</v>
      </c>
      <c r="G833" t="s">
        <v>52</v>
      </c>
      <c r="H833" t="s">
        <v>48</v>
      </c>
      <c r="I833">
        <v>2</v>
      </c>
      <c r="J833">
        <v>11.76</v>
      </c>
      <c r="K833">
        <v>7</v>
      </c>
      <c r="L833">
        <v>474.6</v>
      </c>
      <c r="M833">
        <v>36</v>
      </c>
      <c r="N833" t="s">
        <v>49</v>
      </c>
      <c r="O833">
        <v>17</v>
      </c>
      <c r="P833">
        <v>343</v>
      </c>
      <c r="Q833" s="27" t="str">
        <f>IF(D833=Pivot!$AS$4,R832, "")</f>
        <v/>
      </c>
      <c r="R833" t="s">
        <v>34</v>
      </c>
      <c r="S833" s="5">
        <v>4.96</v>
      </c>
      <c r="T833">
        <v>88.08</v>
      </c>
      <c r="U833">
        <v>284.76</v>
      </c>
      <c r="V833" s="27">
        <f t="shared" si="48"/>
        <v>164.64</v>
      </c>
      <c r="W833">
        <f t="shared" si="49"/>
        <v>759.36</v>
      </c>
      <c r="X833" s="33" t="str">
        <f t="shared" si="50"/>
        <v>Mid Quality</v>
      </c>
      <c r="Y833" s="27" t="str">
        <f t="shared" si="51"/>
        <v>12</v>
      </c>
    </row>
    <row r="834" spans="1:25" x14ac:dyDescent="0.25">
      <c r="A834" s="1">
        <v>45402</v>
      </c>
      <c r="B834" t="s">
        <v>20</v>
      </c>
      <c r="C834">
        <v>2</v>
      </c>
      <c r="D834" t="s">
        <v>77</v>
      </c>
      <c r="E834" t="s">
        <v>22</v>
      </c>
      <c r="F834" t="s">
        <v>78</v>
      </c>
      <c r="G834" t="s">
        <v>24</v>
      </c>
      <c r="H834" t="s">
        <v>48</v>
      </c>
      <c r="I834">
        <v>1</v>
      </c>
      <c r="J834">
        <v>15.5</v>
      </c>
      <c r="K834">
        <v>4</v>
      </c>
      <c r="L834">
        <v>68.849999999999994</v>
      </c>
      <c r="M834">
        <v>39</v>
      </c>
      <c r="N834" t="s">
        <v>49</v>
      </c>
      <c r="O834">
        <v>22</v>
      </c>
      <c r="P834">
        <v>881</v>
      </c>
      <c r="Q834" s="27" t="str">
        <f>IF(D834=Pivot!$AS$4,R833, "")</f>
        <v/>
      </c>
      <c r="R834" t="s">
        <v>57</v>
      </c>
      <c r="S834" s="5">
        <v>2.5</v>
      </c>
      <c r="T834">
        <v>94</v>
      </c>
      <c r="U834">
        <v>44.75</v>
      </c>
      <c r="V834" s="27">
        <f t="shared" ref="V834:V897" si="52">K834*I834*J834</f>
        <v>62</v>
      </c>
      <c r="W834">
        <f t="shared" ref="W834:W897" si="53">U834+L834</f>
        <v>113.6</v>
      </c>
      <c r="X834" s="33" t="str">
        <f t="shared" ref="X834:X897" si="54">_xlfn.IFS(J834&lt;6,"High Quality",J834&lt;=15,"Mid Quality",J834&gt;15,"Low Quality")</f>
        <v>Low Quality</v>
      </c>
      <c r="Y834" s="27" t="str">
        <f t="shared" ref="Y834:Y897" si="55">_xlfn.IFS(J834&lt;=0,"0",J834&lt;=2,"2",J834&lt;=4,"4",J834&lt;=6,"6",J834&lt;=8,"8",J834&lt;=10,"10",J834&lt;=12,"12",J834&lt;=14,"14",J834&lt;=16,"16",J834&lt;=16,"16",J834&lt;=18,"18",J834&lt;=20,"20")</f>
        <v>16</v>
      </c>
    </row>
    <row r="835" spans="1:25" x14ac:dyDescent="0.25">
      <c r="A835" s="1">
        <v>45557</v>
      </c>
      <c r="B835" t="s">
        <v>28</v>
      </c>
      <c r="C835">
        <v>3</v>
      </c>
      <c r="D835" t="s">
        <v>29</v>
      </c>
      <c r="E835" t="s">
        <v>51</v>
      </c>
      <c r="F835" t="s">
        <v>31</v>
      </c>
      <c r="G835" t="s">
        <v>24</v>
      </c>
      <c r="H835" t="s">
        <v>25</v>
      </c>
      <c r="I835">
        <v>5</v>
      </c>
      <c r="J835">
        <v>3.59</v>
      </c>
      <c r="K835">
        <v>9</v>
      </c>
      <c r="L835">
        <v>276.38</v>
      </c>
      <c r="M835">
        <v>23</v>
      </c>
      <c r="N835" t="s">
        <v>55</v>
      </c>
      <c r="O835">
        <v>43</v>
      </c>
      <c r="P835">
        <v>723</v>
      </c>
      <c r="Q835" s="27" t="str">
        <f>IF(D835=Pivot!$AS$4,R834, "")</f>
        <v/>
      </c>
      <c r="R835" t="s">
        <v>57</v>
      </c>
      <c r="S835" s="5">
        <v>5.95</v>
      </c>
      <c r="T835">
        <v>83.1</v>
      </c>
      <c r="U835">
        <v>105.95</v>
      </c>
      <c r="V835" s="27">
        <f t="shared" si="52"/>
        <v>161.54999999999998</v>
      </c>
      <c r="W835">
        <f t="shared" si="53"/>
        <v>382.33</v>
      </c>
      <c r="X835" s="33" t="str">
        <f t="shared" si="54"/>
        <v>High Quality</v>
      </c>
      <c r="Y835" s="27" t="str">
        <f t="shared" si="55"/>
        <v>4</v>
      </c>
    </row>
    <row r="836" spans="1:25" x14ac:dyDescent="0.25">
      <c r="A836" s="1">
        <v>45341</v>
      </c>
      <c r="B836" t="s">
        <v>65</v>
      </c>
      <c r="C836">
        <v>3</v>
      </c>
      <c r="D836" t="s">
        <v>58</v>
      </c>
      <c r="E836" t="s">
        <v>30</v>
      </c>
      <c r="F836" t="s">
        <v>87</v>
      </c>
      <c r="G836" t="s">
        <v>39</v>
      </c>
      <c r="H836" t="s">
        <v>48</v>
      </c>
      <c r="I836">
        <v>3</v>
      </c>
      <c r="J836">
        <v>5.34</v>
      </c>
      <c r="K836">
        <v>9</v>
      </c>
      <c r="L836">
        <v>312.89999999999998</v>
      </c>
      <c r="M836">
        <v>18</v>
      </c>
      <c r="N836" t="s">
        <v>45</v>
      </c>
      <c r="O836">
        <v>19</v>
      </c>
      <c r="P836">
        <v>666</v>
      </c>
      <c r="Q836" s="27" t="str">
        <f>IF(D836=Pivot!$AS$4,R835, "")</f>
        <v/>
      </c>
      <c r="R836" t="s">
        <v>42</v>
      </c>
      <c r="S836" s="5">
        <v>2.85</v>
      </c>
      <c r="T836">
        <v>91.3</v>
      </c>
      <c r="U836">
        <v>93.87</v>
      </c>
      <c r="V836" s="27">
        <f t="shared" si="52"/>
        <v>144.18</v>
      </c>
      <c r="W836">
        <f t="shared" si="53"/>
        <v>406.77</v>
      </c>
      <c r="X836" s="33" t="str">
        <f t="shared" si="54"/>
        <v>High Quality</v>
      </c>
      <c r="Y836" s="27" t="str">
        <f t="shared" si="55"/>
        <v>6</v>
      </c>
    </row>
    <row r="837" spans="1:25" x14ac:dyDescent="0.25">
      <c r="A837" s="1">
        <v>45343</v>
      </c>
      <c r="B837" t="s">
        <v>65</v>
      </c>
      <c r="C837">
        <v>3</v>
      </c>
      <c r="D837" t="s">
        <v>74</v>
      </c>
      <c r="E837" t="s">
        <v>51</v>
      </c>
      <c r="F837" t="s">
        <v>86</v>
      </c>
      <c r="G837" t="s">
        <v>32</v>
      </c>
      <c r="H837" t="s">
        <v>40</v>
      </c>
      <c r="I837">
        <v>4</v>
      </c>
      <c r="J837">
        <v>17.77</v>
      </c>
      <c r="K837">
        <v>7</v>
      </c>
      <c r="L837">
        <v>464.09</v>
      </c>
      <c r="M837">
        <v>52</v>
      </c>
      <c r="N837" t="s">
        <v>45</v>
      </c>
      <c r="O837">
        <v>17</v>
      </c>
      <c r="P837">
        <v>492</v>
      </c>
      <c r="Q837" s="27" t="str">
        <f>IF(D837=Pivot!$AS$4,R836, "")</f>
        <v/>
      </c>
      <c r="R837" t="s">
        <v>42</v>
      </c>
      <c r="S837" s="5">
        <v>3.46</v>
      </c>
      <c r="T837">
        <v>89.08</v>
      </c>
      <c r="U837">
        <v>402.21</v>
      </c>
      <c r="V837" s="27">
        <f t="shared" si="52"/>
        <v>497.56</v>
      </c>
      <c r="W837">
        <f t="shared" si="53"/>
        <v>866.3</v>
      </c>
      <c r="X837" s="33" t="str">
        <f t="shared" si="54"/>
        <v>Low Quality</v>
      </c>
      <c r="Y837" s="27" t="str">
        <f t="shared" si="55"/>
        <v>18</v>
      </c>
    </row>
    <row r="838" spans="1:25" x14ac:dyDescent="0.25">
      <c r="A838" s="1">
        <v>45410</v>
      </c>
      <c r="B838" t="s">
        <v>35</v>
      </c>
      <c r="C838">
        <v>3</v>
      </c>
      <c r="D838" t="s">
        <v>74</v>
      </c>
      <c r="E838" t="s">
        <v>67</v>
      </c>
      <c r="F838" t="s">
        <v>87</v>
      </c>
      <c r="G838" t="s">
        <v>24</v>
      </c>
      <c r="H838" t="s">
        <v>48</v>
      </c>
      <c r="I838">
        <v>4</v>
      </c>
      <c r="J838">
        <v>1.38</v>
      </c>
      <c r="K838">
        <v>8</v>
      </c>
      <c r="L838">
        <v>72.12</v>
      </c>
      <c r="M838">
        <v>85</v>
      </c>
      <c r="N838" t="s">
        <v>41</v>
      </c>
      <c r="O838">
        <v>24</v>
      </c>
      <c r="P838">
        <v>626</v>
      </c>
      <c r="Q838" s="27" t="str">
        <f>IF(D838=Pivot!$AS$4,R837, "")</f>
        <v/>
      </c>
      <c r="R838" t="s">
        <v>57</v>
      </c>
      <c r="S838" s="5">
        <v>3.83</v>
      </c>
      <c r="T838">
        <v>88.34</v>
      </c>
      <c r="U838">
        <v>102.17</v>
      </c>
      <c r="V838" s="27">
        <f t="shared" si="52"/>
        <v>44.16</v>
      </c>
      <c r="W838">
        <f t="shared" si="53"/>
        <v>174.29000000000002</v>
      </c>
      <c r="X838" s="33" t="str">
        <f t="shared" si="54"/>
        <v>High Quality</v>
      </c>
      <c r="Y838" s="27" t="str">
        <f t="shared" si="55"/>
        <v>2</v>
      </c>
    </row>
    <row r="839" spans="1:25" x14ac:dyDescent="0.25">
      <c r="A839" s="1">
        <v>45564</v>
      </c>
      <c r="B839" t="s">
        <v>75</v>
      </c>
      <c r="C839">
        <v>2</v>
      </c>
      <c r="D839" t="s">
        <v>85</v>
      </c>
      <c r="E839" t="s">
        <v>30</v>
      </c>
      <c r="F839" t="s">
        <v>78</v>
      </c>
      <c r="G839" t="s">
        <v>24</v>
      </c>
      <c r="H839" t="s">
        <v>25</v>
      </c>
      <c r="I839">
        <v>3</v>
      </c>
      <c r="J839">
        <v>15.3</v>
      </c>
      <c r="K839">
        <v>3</v>
      </c>
      <c r="L839">
        <v>308.07</v>
      </c>
      <c r="M839">
        <v>72</v>
      </c>
      <c r="N839" t="s">
        <v>45</v>
      </c>
      <c r="O839">
        <v>36</v>
      </c>
      <c r="P839">
        <v>136</v>
      </c>
      <c r="Q839" s="27" t="str">
        <f>IF(D839=Pivot!$AS$4,R838, "")</f>
        <v/>
      </c>
      <c r="R839" t="s">
        <v>57</v>
      </c>
      <c r="S839" s="5">
        <v>26.47</v>
      </c>
      <c r="T839">
        <v>44.06</v>
      </c>
      <c r="U839">
        <v>369.68</v>
      </c>
      <c r="V839" s="27">
        <f t="shared" si="52"/>
        <v>137.70000000000002</v>
      </c>
      <c r="W839">
        <f t="shared" si="53"/>
        <v>677.75</v>
      </c>
      <c r="X839" s="33" t="str">
        <f t="shared" si="54"/>
        <v>Low Quality</v>
      </c>
      <c r="Y839" s="27" t="str">
        <f t="shared" si="55"/>
        <v>16</v>
      </c>
    </row>
    <row r="840" spans="1:25" x14ac:dyDescent="0.25">
      <c r="A840" s="1">
        <v>45489</v>
      </c>
      <c r="B840" t="s">
        <v>75</v>
      </c>
      <c r="C840">
        <v>3</v>
      </c>
      <c r="D840" t="s">
        <v>83</v>
      </c>
      <c r="E840" t="s">
        <v>67</v>
      </c>
      <c r="F840" t="s">
        <v>56</v>
      </c>
      <c r="G840" t="s">
        <v>32</v>
      </c>
      <c r="H840" t="s">
        <v>48</v>
      </c>
      <c r="I840">
        <v>1</v>
      </c>
      <c r="J840">
        <v>10</v>
      </c>
      <c r="K840">
        <v>5</v>
      </c>
      <c r="L840">
        <v>434.13</v>
      </c>
      <c r="M840">
        <v>49</v>
      </c>
      <c r="N840" t="s">
        <v>41</v>
      </c>
      <c r="O840">
        <v>32</v>
      </c>
      <c r="P840">
        <v>277</v>
      </c>
      <c r="Q840" s="27" t="str">
        <f>IF(D840=Pivot!$AS$4,R839, "")</f>
        <v/>
      </c>
      <c r="R840" t="s">
        <v>46</v>
      </c>
      <c r="S840" s="5">
        <v>11.55</v>
      </c>
      <c r="T840">
        <v>75.900000000000006</v>
      </c>
      <c r="U840">
        <v>354.54</v>
      </c>
      <c r="V840" s="27">
        <f t="shared" si="52"/>
        <v>50</v>
      </c>
      <c r="W840">
        <f t="shared" si="53"/>
        <v>788.67000000000007</v>
      </c>
      <c r="X840" s="33" t="str">
        <f t="shared" si="54"/>
        <v>Mid Quality</v>
      </c>
      <c r="Y840" s="27" t="str">
        <f t="shared" si="55"/>
        <v>10</v>
      </c>
    </row>
    <row r="841" spans="1:25" x14ac:dyDescent="0.25">
      <c r="A841" s="1">
        <v>45389</v>
      </c>
      <c r="B841" t="s">
        <v>28</v>
      </c>
      <c r="C841">
        <v>2</v>
      </c>
      <c r="D841" t="s">
        <v>21</v>
      </c>
      <c r="E841" t="s">
        <v>37</v>
      </c>
      <c r="F841" t="s">
        <v>54</v>
      </c>
      <c r="G841" t="s">
        <v>39</v>
      </c>
      <c r="H841" t="s">
        <v>61</v>
      </c>
      <c r="I841">
        <v>2</v>
      </c>
      <c r="J841">
        <v>9.49</v>
      </c>
      <c r="K841">
        <v>2</v>
      </c>
      <c r="L841">
        <v>158.87</v>
      </c>
      <c r="M841">
        <v>23</v>
      </c>
      <c r="N841" t="s">
        <v>63</v>
      </c>
      <c r="O841">
        <v>46</v>
      </c>
      <c r="P841">
        <v>738</v>
      </c>
      <c r="Q841" s="27" t="str">
        <f>IF(D841=Pivot!$AS$4,R840, "")</f>
        <v/>
      </c>
      <c r="R841" t="s">
        <v>57</v>
      </c>
      <c r="S841" s="5">
        <v>6.23</v>
      </c>
      <c r="T841">
        <v>85.54</v>
      </c>
      <c r="U841">
        <v>60.9</v>
      </c>
      <c r="V841" s="27">
        <f t="shared" si="52"/>
        <v>37.96</v>
      </c>
      <c r="W841">
        <f t="shared" si="53"/>
        <v>219.77</v>
      </c>
      <c r="X841" s="33" t="str">
        <f t="shared" si="54"/>
        <v>Mid Quality</v>
      </c>
      <c r="Y841" s="27" t="str">
        <f t="shared" si="55"/>
        <v>10</v>
      </c>
    </row>
    <row r="842" spans="1:25" x14ac:dyDescent="0.25">
      <c r="A842" s="1">
        <v>45390</v>
      </c>
      <c r="B842" t="s">
        <v>28</v>
      </c>
      <c r="C842">
        <v>2</v>
      </c>
      <c r="D842" t="s">
        <v>74</v>
      </c>
      <c r="E842" t="s">
        <v>67</v>
      </c>
      <c r="F842" t="s">
        <v>70</v>
      </c>
      <c r="G842" t="s">
        <v>24</v>
      </c>
      <c r="H842" t="s">
        <v>33</v>
      </c>
      <c r="I842">
        <v>1</v>
      </c>
      <c r="J842">
        <v>1.1299999999999999</v>
      </c>
      <c r="K842">
        <v>7</v>
      </c>
      <c r="L842">
        <v>444.33</v>
      </c>
      <c r="M842">
        <v>68</v>
      </c>
      <c r="N842" t="s">
        <v>55</v>
      </c>
      <c r="O842">
        <v>36</v>
      </c>
      <c r="P842">
        <v>728</v>
      </c>
      <c r="Q842" s="27" t="str">
        <f>IF(D842=Pivot!$AS$4,R841, "")</f>
        <v/>
      </c>
      <c r="R842" t="s">
        <v>42</v>
      </c>
      <c r="S842" s="5">
        <v>4.95</v>
      </c>
      <c r="T842">
        <v>89.1</v>
      </c>
      <c r="U842">
        <v>503.57</v>
      </c>
      <c r="V842" s="27">
        <f t="shared" si="52"/>
        <v>7.9099999999999993</v>
      </c>
      <c r="W842">
        <f t="shared" si="53"/>
        <v>947.9</v>
      </c>
      <c r="X842" s="33" t="str">
        <f t="shared" si="54"/>
        <v>High Quality</v>
      </c>
      <c r="Y842" s="27" t="str">
        <f t="shared" si="55"/>
        <v>2</v>
      </c>
    </row>
    <row r="843" spans="1:25" x14ac:dyDescent="0.25">
      <c r="A843" s="1">
        <v>45561</v>
      </c>
      <c r="B843" t="s">
        <v>65</v>
      </c>
      <c r="C843">
        <v>2</v>
      </c>
      <c r="D843" t="s">
        <v>64</v>
      </c>
      <c r="E843" t="s">
        <v>37</v>
      </c>
      <c r="F843" t="s">
        <v>70</v>
      </c>
      <c r="G843" t="s">
        <v>32</v>
      </c>
      <c r="H843" t="s">
        <v>40</v>
      </c>
      <c r="I843">
        <v>3</v>
      </c>
      <c r="J843">
        <v>16.57</v>
      </c>
      <c r="K843">
        <v>8</v>
      </c>
      <c r="L843">
        <v>58.57</v>
      </c>
      <c r="M843">
        <v>70</v>
      </c>
      <c r="N843" t="s">
        <v>49</v>
      </c>
      <c r="O843">
        <v>28</v>
      </c>
      <c r="P843">
        <v>951</v>
      </c>
      <c r="Q843" s="27" t="str">
        <f>IF(D843=Pivot!$AS$4,R842, "")</f>
        <v/>
      </c>
      <c r="R843" t="s">
        <v>57</v>
      </c>
      <c r="S843" s="5">
        <v>2.94</v>
      </c>
      <c r="T843">
        <v>91.12</v>
      </c>
      <c r="U843">
        <v>68.33</v>
      </c>
      <c r="V843" s="27">
        <f t="shared" si="52"/>
        <v>397.68</v>
      </c>
      <c r="W843">
        <f t="shared" si="53"/>
        <v>126.9</v>
      </c>
      <c r="X843" s="33" t="str">
        <f t="shared" si="54"/>
        <v>Low Quality</v>
      </c>
      <c r="Y843" s="27" t="str">
        <f t="shared" si="55"/>
        <v>18</v>
      </c>
    </row>
    <row r="844" spans="1:25" x14ac:dyDescent="0.25">
      <c r="A844" s="1">
        <v>45419</v>
      </c>
      <c r="B844" t="s">
        <v>50</v>
      </c>
      <c r="C844">
        <v>2</v>
      </c>
      <c r="D844" t="s">
        <v>71</v>
      </c>
      <c r="E844" t="s">
        <v>37</v>
      </c>
      <c r="F844" t="s">
        <v>68</v>
      </c>
      <c r="G844" t="s">
        <v>24</v>
      </c>
      <c r="H844" t="s">
        <v>61</v>
      </c>
      <c r="I844">
        <v>3</v>
      </c>
      <c r="J844">
        <v>7.84</v>
      </c>
      <c r="K844">
        <v>9</v>
      </c>
      <c r="L844">
        <v>379.6</v>
      </c>
      <c r="M844">
        <v>83</v>
      </c>
      <c r="N844" t="s">
        <v>41</v>
      </c>
      <c r="O844">
        <v>14</v>
      </c>
      <c r="P844">
        <v>171</v>
      </c>
      <c r="Q844" s="27" t="str">
        <f>IF(D844=Pivot!$AS$4,R843, "")</f>
        <v/>
      </c>
      <c r="R844" t="s">
        <v>42</v>
      </c>
      <c r="S844" s="5">
        <v>8.19</v>
      </c>
      <c r="T844">
        <v>80.62</v>
      </c>
      <c r="U844">
        <v>525.11</v>
      </c>
      <c r="V844" s="27">
        <f t="shared" si="52"/>
        <v>211.68</v>
      </c>
      <c r="W844">
        <f t="shared" si="53"/>
        <v>904.71</v>
      </c>
      <c r="X844" s="33" t="str">
        <f t="shared" si="54"/>
        <v>Mid Quality</v>
      </c>
      <c r="Y844" s="27" t="str">
        <f t="shared" si="55"/>
        <v>8</v>
      </c>
    </row>
    <row r="845" spans="1:25" x14ac:dyDescent="0.25">
      <c r="A845" s="1">
        <v>45583</v>
      </c>
      <c r="B845" t="s">
        <v>35</v>
      </c>
      <c r="C845">
        <v>1</v>
      </c>
      <c r="D845" t="s">
        <v>64</v>
      </c>
      <c r="E845" t="s">
        <v>67</v>
      </c>
      <c r="F845" t="s">
        <v>68</v>
      </c>
      <c r="G845" t="s">
        <v>52</v>
      </c>
      <c r="H845" t="s">
        <v>61</v>
      </c>
      <c r="I845">
        <v>2</v>
      </c>
      <c r="J845">
        <v>11.27</v>
      </c>
      <c r="K845">
        <v>7</v>
      </c>
      <c r="L845">
        <v>469.9</v>
      </c>
      <c r="M845">
        <v>70</v>
      </c>
      <c r="N845" t="s">
        <v>45</v>
      </c>
      <c r="O845">
        <v>36</v>
      </c>
      <c r="P845">
        <v>451</v>
      </c>
      <c r="Q845" s="27" t="str">
        <f>IF(D845=Pivot!$AS$4,R844, "")</f>
        <v/>
      </c>
      <c r="R845" t="s">
        <v>27</v>
      </c>
      <c r="S845" s="5">
        <v>7.98</v>
      </c>
      <c r="T845">
        <v>82.04</v>
      </c>
      <c r="U845">
        <v>548.22</v>
      </c>
      <c r="V845" s="27">
        <f t="shared" si="52"/>
        <v>157.78</v>
      </c>
      <c r="W845">
        <f t="shared" si="53"/>
        <v>1018.12</v>
      </c>
      <c r="X845" s="33" t="str">
        <f t="shared" si="54"/>
        <v>Mid Quality</v>
      </c>
      <c r="Y845" s="27" t="str">
        <f t="shared" si="55"/>
        <v>12</v>
      </c>
    </row>
    <row r="846" spans="1:25" x14ac:dyDescent="0.25">
      <c r="A846" s="1">
        <v>45383</v>
      </c>
      <c r="B846" t="s">
        <v>35</v>
      </c>
      <c r="C846">
        <v>1</v>
      </c>
      <c r="D846" t="s">
        <v>82</v>
      </c>
      <c r="E846" t="s">
        <v>67</v>
      </c>
      <c r="F846" t="s">
        <v>38</v>
      </c>
      <c r="G846" t="s">
        <v>60</v>
      </c>
      <c r="H846" t="s">
        <v>25</v>
      </c>
      <c r="I846">
        <v>5</v>
      </c>
      <c r="J846">
        <v>13.87</v>
      </c>
      <c r="K846">
        <v>8</v>
      </c>
      <c r="L846">
        <v>345.74</v>
      </c>
      <c r="M846">
        <v>79</v>
      </c>
      <c r="N846" t="s">
        <v>41</v>
      </c>
      <c r="O846">
        <v>6</v>
      </c>
      <c r="P846">
        <v>722</v>
      </c>
      <c r="Q846" s="27" t="str">
        <f>IF(D846=Pivot!$AS$4,R845, "")</f>
        <v/>
      </c>
      <c r="R846" t="s">
        <v>57</v>
      </c>
      <c r="S846" s="5">
        <v>0.83</v>
      </c>
      <c r="T846">
        <v>93.34</v>
      </c>
      <c r="U846">
        <v>455.22</v>
      </c>
      <c r="V846" s="27">
        <f t="shared" si="52"/>
        <v>554.79999999999995</v>
      </c>
      <c r="W846">
        <f t="shared" si="53"/>
        <v>800.96</v>
      </c>
      <c r="X846" s="33" t="str">
        <f t="shared" si="54"/>
        <v>Mid Quality</v>
      </c>
      <c r="Y846" s="27" t="str">
        <f t="shared" si="55"/>
        <v>14</v>
      </c>
    </row>
    <row r="847" spans="1:25" x14ac:dyDescent="0.25">
      <c r="A847" s="1">
        <v>45577</v>
      </c>
      <c r="B847" t="s">
        <v>65</v>
      </c>
      <c r="C847">
        <v>3</v>
      </c>
      <c r="D847" t="s">
        <v>82</v>
      </c>
      <c r="E847" t="s">
        <v>37</v>
      </c>
      <c r="F847" t="s">
        <v>73</v>
      </c>
      <c r="G847" t="s">
        <v>52</v>
      </c>
      <c r="H847" t="s">
        <v>33</v>
      </c>
      <c r="I847">
        <v>5</v>
      </c>
      <c r="J847">
        <v>14.35</v>
      </c>
      <c r="K847">
        <v>9</v>
      </c>
      <c r="L847">
        <v>247.56</v>
      </c>
      <c r="M847">
        <v>49</v>
      </c>
      <c r="N847" t="s">
        <v>26</v>
      </c>
      <c r="O847">
        <v>9</v>
      </c>
      <c r="P847">
        <v>248</v>
      </c>
      <c r="Q847" s="27" t="str">
        <f>IF(D847=Pivot!$AS$4,R846, "")</f>
        <v/>
      </c>
      <c r="R847" t="s">
        <v>42</v>
      </c>
      <c r="S847" s="5">
        <v>3.63</v>
      </c>
      <c r="T847">
        <v>87.74</v>
      </c>
      <c r="U847">
        <v>202.17</v>
      </c>
      <c r="V847" s="27">
        <f t="shared" si="52"/>
        <v>645.75</v>
      </c>
      <c r="W847">
        <f t="shared" si="53"/>
        <v>449.73</v>
      </c>
      <c r="X847" s="33" t="str">
        <f t="shared" si="54"/>
        <v>Mid Quality</v>
      </c>
      <c r="Y847" s="27" t="str">
        <f t="shared" si="55"/>
        <v>16</v>
      </c>
    </row>
    <row r="848" spans="1:25" x14ac:dyDescent="0.25">
      <c r="A848" s="1">
        <v>45577</v>
      </c>
      <c r="B848" t="s">
        <v>20</v>
      </c>
      <c r="C848">
        <v>1</v>
      </c>
      <c r="D848" t="s">
        <v>43</v>
      </c>
      <c r="E848" t="s">
        <v>30</v>
      </c>
      <c r="F848" t="s">
        <v>81</v>
      </c>
      <c r="G848" t="s">
        <v>24</v>
      </c>
      <c r="H848" t="s">
        <v>33</v>
      </c>
      <c r="I848">
        <v>2</v>
      </c>
      <c r="J848">
        <v>19.16</v>
      </c>
      <c r="K848">
        <v>6</v>
      </c>
      <c r="L848">
        <v>70.2</v>
      </c>
      <c r="M848">
        <v>78</v>
      </c>
      <c r="N848" t="s">
        <v>41</v>
      </c>
      <c r="O848">
        <v>21</v>
      </c>
      <c r="P848">
        <v>796</v>
      </c>
      <c r="Q848" s="27" t="str">
        <f>IF(D848=Pivot!$AS$4,R847, "")</f>
        <v/>
      </c>
      <c r="R848" t="s">
        <v>34</v>
      </c>
      <c r="S848" s="5">
        <v>2.64</v>
      </c>
      <c r="T848">
        <v>92.72</v>
      </c>
      <c r="U848">
        <v>91.26</v>
      </c>
      <c r="V848" s="27">
        <f t="shared" si="52"/>
        <v>229.92000000000002</v>
      </c>
      <c r="W848">
        <f t="shared" si="53"/>
        <v>161.46</v>
      </c>
      <c r="X848" s="33" t="str">
        <f t="shared" si="54"/>
        <v>Low Quality</v>
      </c>
      <c r="Y848" s="27" t="str">
        <f t="shared" si="55"/>
        <v>20</v>
      </c>
    </row>
    <row r="849" spans="1:25" x14ac:dyDescent="0.25">
      <c r="A849" s="1">
        <v>45504</v>
      </c>
      <c r="B849" t="s">
        <v>50</v>
      </c>
      <c r="C849">
        <v>1</v>
      </c>
      <c r="D849" t="s">
        <v>77</v>
      </c>
      <c r="E849" t="s">
        <v>37</v>
      </c>
      <c r="F849" t="s">
        <v>70</v>
      </c>
      <c r="G849" t="s">
        <v>39</v>
      </c>
      <c r="H849" t="s">
        <v>40</v>
      </c>
      <c r="I849">
        <v>5</v>
      </c>
      <c r="J849">
        <v>11.1</v>
      </c>
      <c r="K849">
        <v>2</v>
      </c>
      <c r="L849">
        <v>464.05</v>
      </c>
      <c r="M849">
        <v>71</v>
      </c>
      <c r="N849" t="s">
        <v>45</v>
      </c>
      <c r="O849">
        <v>12</v>
      </c>
      <c r="P849">
        <v>204</v>
      </c>
      <c r="Q849" s="27" t="str">
        <f>IF(D849=Pivot!$AS$4,R848, "")</f>
        <v/>
      </c>
      <c r="R849" t="s">
        <v>46</v>
      </c>
      <c r="S849" s="5">
        <v>5.88</v>
      </c>
      <c r="T849">
        <v>83.24</v>
      </c>
      <c r="U849">
        <v>549.13</v>
      </c>
      <c r="V849" s="27">
        <f t="shared" si="52"/>
        <v>111</v>
      </c>
      <c r="W849">
        <f t="shared" si="53"/>
        <v>1013.1800000000001</v>
      </c>
      <c r="X849" s="33" t="str">
        <f t="shared" si="54"/>
        <v>Mid Quality</v>
      </c>
      <c r="Y849" s="27" t="str">
        <f t="shared" si="55"/>
        <v>12</v>
      </c>
    </row>
    <row r="850" spans="1:25" x14ac:dyDescent="0.25">
      <c r="A850" s="1">
        <v>45346</v>
      </c>
      <c r="B850" t="s">
        <v>65</v>
      </c>
      <c r="C850">
        <v>3</v>
      </c>
      <c r="D850" t="s">
        <v>80</v>
      </c>
      <c r="E850" t="s">
        <v>22</v>
      </c>
      <c r="F850" t="s">
        <v>89</v>
      </c>
      <c r="G850" t="s">
        <v>60</v>
      </c>
      <c r="H850" t="s">
        <v>25</v>
      </c>
      <c r="I850">
        <v>4</v>
      </c>
      <c r="J850">
        <v>8.59</v>
      </c>
      <c r="K850">
        <v>2</v>
      </c>
      <c r="L850">
        <v>261.63</v>
      </c>
      <c r="M850">
        <v>73</v>
      </c>
      <c r="N850" t="s">
        <v>26</v>
      </c>
      <c r="O850">
        <v>30</v>
      </c>
      <c r="P850">
        <v>758</v>
      </c>
      <c r="Q850" s="27" t="str">
        <f>IF(D850=Pivot!$AS$4,R849, "")</f>
        <v>Eğitim önerildi</v>
      </c>
      <c r="R850" t="s">
        <v>42</v>
      </c>
      <c r="S850" s="5">
        <v>3.96</v>
      </c>
      <c r="T850">
        <v>88.08</v>
      </c>
      <c r="U850">
        <v>318.32</v>
      </c>
      <c r="V850" s="27">
        <f t="shared" si="52"/>
        <v>68.72</v>
      </c>
      <c r="W850">
        <f t="shared" si="53"/>
        <v>579.95000000000005</v>
      </c>
      <c r="X850" s="33" t="str">
        <f t="shared" si="54"/>
        <v>Mid Quality</v>
      </c>
      <c r="Y850" s="27" t="str">
        <f t="shared" si="55"/>
        <v>10</v>
      </c>
    </row>
    <row r="851" spans="1:25" x14ac:dyDescent="0.25">
      <c r="A851" s="1">
        <v>45587</v>
      </c>
      <c r="B851" t="s">
        <v>50</v>
      </c>
      <c r="C851">
        <v>3</v>
      </c>
      <c r="D851" t="s">
        <v>64</v>
      </c>
      <c r="E851" t="s">
        <v>37</v>
      </c>
      <c r="F851" t="s">
        <v>56</v>
      </c>
      <c r="G851" t="s">
        <v>52</v>
      </c>
      <c r="H851" t="s">
        <v>40</v>
      </c>
      <c r="I851">
        <v>5</v>
      </c>
      <c r="J851">
        <v>19.12</v>
      </c>
      <c r="K851">
        <v>4</v>
      </c>
      <c r="L851">
        <v>63.05</v>
      </c>
      <c r="M851">
        <v>7</v>
      </c>
      <c r="N851" t="s">
        <v>26</v>
      </c>
      <c r="O851">
        <v>31</v>
      </c>
      <c r="P851">
        <v>320</v>
      </c>
      <c r="Q851" s="27" t="str">
        <f>IF(D851=Pivot!$AS$4,R850, "")</f>
        <v/>
      </c>
      <c r="R851" t="s">
        <v>57</v>
      </c>
      <c r="S851" s="5">
        <v>9.69</v>
      </c>
      <c r="T851">
        <v>75.62</v>
      </c>
      <c r="U851">
        <v>7.36</v>
      </c>
      <c r="V851" s="27">
        <f t="shared" si="52"/>
        <v>382.40000000000003</v>
      </c>
      <c r="W851">
        <f t="shared" si="53"/>
        <v>70.41</v>
      </c>
      <c r="X851" s="33" t="str">
        <f t="shared" si="54"/>
        <v>Low Quality</v>
      </c>
      <c r="Y851" s="27" t="str">
        <f t="shared" si="55"/>
        <v>20</v>
      </c>
    </row>
    <row r="852" spans="1:25" x14ac:dyDescent="0.25">
      <c r="A852" s="1">
        <v>45475</v>
      </c>
      <c r="B852" t="s">
        <v>50</v>
      </c>
      <c r="C852">
        <v>3</v>
      </c>
      <c r="D852" t="s">
        <v>71</v>
      </c>
      <c r="E852" t="s">
        <v>30</v>
      </c>
      <c r="F852" t="s">
        <v>78</v>
      </c>
      <c r="G852" t="s">
        <v>32</v>
      </c>
      <c r="H852" t="s">
        <v>48</v>
      </c>
      <c r="I852">
        <v>5</v>
      </c>
      <c r="J852">
        <v>13.2</v>
      </c>
      <c r="K852">
        <v>9</v>
      </c>
      <c r="L852">
        <v>360.42</v>
      </c>
      <c r="M852">
        <v>42</v>
      </c>
      <c r="N852" t="s">
        <v>45</v>
      </c>
      <c r="O852">
        <v>40</v>
      </c>
      <c r="P852">
        <v>925</v>
      </c>
      <c r="Q852" s="27" t="str">
        <f>IF(D852=Pivot!$AS$4,R851, "")</f>
        <v/>
      </c>
      <c r="R852" t="s">
        <v>57</v>
      </c>
      <c r="S852" s="5">
        <v>4.32</v>
      </c>
      <c r="T852">
        <v>86.36</v>
      </c>
      <c r="U852">
        <v>252.29</v>
      </c>
      <c r="V852" s="27">
        <f t="shared" si="52"/>
        <v>594</v>
      </c>
      <c r="W852">
        <f t="shared" si="53"/>
        <v>612.71</v>
      </c>
      <c r="X852" s="33" t="str">
        <f t="shared" si="54"/>
        <v>Mid Quality</v>
      </c>
      <c r="Y852" s="27" t="str">
        <f t="shared" si="55"/>
        <v>14</v>
      </c>
    </row>
    <row r="853" spans="1:25" x14ac:dyDescent="0.25">
      <c r="A853" s="1">
        <v>45526</v>
      </c>
      <c r="B853" t="s">
        <v>50</v>
      </c>
      <c r="C853">
        <v>1</v>
      </c>
      <c r="D853" t="s">
        <v>76</v>
      </c>
      <c r="E853" t="s">
        <v>22</v>
      </c>
      <c r="F853" t="s">
        <v>54</v>
      </c>
      <c r="G853" t="s">
        <v>39</v>
      </c>
      <c r="H853" t="s">
        <v>61</v>
      </c>
      <c r="I853">
        <v>5</v>
      </c>
      <c r="J853">
        <v>6.66</v>
      </c>
      <c r="K853">
        <v>7</v>
      </c>
      <c r="L853">
        <v>266.83</v>
      </c>
      <c r="M853">
        <v>81</v>
      </c>
      <c r="N853" t="s">
        <v>26</v>
      </c>
      <c r="O853">
        <v>4</v>
      </c>
      <c r="P853">
        <v>962</v>
      </c>
      <c r="Q853" s="27" t="str">
        <f>IF(D853=Pivot!$AS$4,R852, "")</f>
        <v/>
      </c>
      <c r="R853" t="s">
        <v>27</v>
      </c>
      <c r="S853" s="5">
        <v>0.42</v>
      </c>
      <c r="T853">
        <v>94.16</v>
      </c>
      <c r="U853">
        <v>360.22</v>
      </c>
      <c r="V853" s="27">
        <f t="shared" si="52"/>
        <v>233.1</v>
      </c>
      <c r="W853">
        <f t="shared" si="53"/>
        <v>627.04999999999995</v>
      </c>
      <c r="X853" s="33" t="str">
        <f t="shared" si="54"/>
        <v>Mid Quality</v>
      </c>
      <c r="Y853" s="27" t="str">
        <f t="shared" si="55"/>
        <v>8</v>
      </c>
    </row>
    <row r="854" spans="1:25" x14ac:dyDescent="0.25">
      <c r="A854" s="1">
        <v>45510</v>
      </c>
      <c r="B854" t="s">
        <v>65</v>
      </c>
      <c r="C854">
        <v>1</v>
      </c>
      <c r="D854" t="s">
        <v>29</v>
      </c>
      <c r="E854" t="s">
        <v>51</v>
      </c>
      <c r="F854" t="s">
        <v>70</v>
      </c>
      <c r="G854" t="s">
        <v>52</v>
      </c>
      <c r="H854" t="s">
        <v>40</v>
      </c>
      <c r="I854">
        <v>4</v>
      </c>
      <c r="J854">
        <v>3.4</v>
      </c>
      <c r="K854">
        <v>2</v>
      </c>
      <c r="L854">
        <v>105.96</v>
      </c>
      <c r="M854">
        <v>46</v>
      </c>
      <c r="N854" t="s">
        <v>55</v>
      </c>
      <c r="O854">
        <v>31</v>
      </c>
      <c r="P854">
        <v>473</v>
      </c>
      <c r="Q854" s="27" t="str">
        <f>IF(D854=Pivot!$AS$4,R853, "")</f>
        <v/>
      </c>
      <c r="R854" t="s">
        <v>34</v>
      </c>
      <c r="S854" s="5">
        <v>6.55</v>
      </c>
      <c r="T854">
        <v>82.9</v>
      </c>
      <c r="U854">
        <v>81.239999999999995</v>
      </c>
      <c r="V854" s="27">
        <f t="shared" si="52"/>
        <v>27.2</v>
      </c>
      <c r="W854">
        <f t="shared" si="53"/>
        <v>187.2</v>
      </c>
      <c r="X854" s="33" t="str">
        <f t="shared" si="54"/>
        <v>High Quality</v>
      </c>
      <c r="Y854" s="27" t="str">
        <f t="shared" si="55"/>
        <v>4</v>
      </c>
    </row>
    <row r="855" spans="1:25" x14ac:dyDescent="0.25">
      <c r="A855" s="1">
        <v>45345</v>
      </c>
      <c r="B855" t="s">
        <v>35</v>
      </c>
      <c r="C855">
        <v>3</v>
      </c>
      <c r="D855" t="s">
        <v>47</v>
      </c>
      <c r="E855" t="s">
        <v>51</v>
      </c>
      <c r="F855" t="s">
        <v>73</v>
      </c>
      <c r="G855" t="s">
        <v>32</v>
      </c>
      <c r="H855" t="s">
        <v>61</v>
      </c>
      <c r="I855">
        <v>5</v>
      </c>
      <c r="J855">
        <v>17.010000000000002</v>
      </c>
      <c r="K855">
        <v>8</v>
      </c>
      <c r="L855">
        <v>146.41999999999999</v>
      </c>
      <c r="M855">
        <v>87</v>
      </c>
      <c r="N855" t="s">
        <v>49</v>
      </c>
      <c r="O855">
        <v>27</v>
      </c>
      <c r="P855">
        <v>617</v>
      </c>
      <c r="Q855" s="27" t="str">
        <f>IF(D855=Pivot!$AS$4,R854, "")</f>
        <v/>
      </c>
      <c r="R855" t="s">
        <v>42</v>
      </c>
      <c r="S855" s="5">
        <v>4.38</v>
      </c>
      <c r="T855">
        <v>86.24</v>
      </c>
      <c r="U855">
        <v>212.31</v>
      </c>
      <c r="V855" s="27">
        <f t="shared" si="52"/>
        <v>680.40000000000009</v>
      </c>
      <c r="W855">
        <f t="shared" si="53"/>
        <v>358.73</v>
      </c>
      <c r="X855" s="33" t="str">
        <f t="shared" si="54"/>
        <v>Low Quality</v>
      </c>
      <c r="Y855" s="27" t="str">
        <f t="shared" si="55"/>
        <v>18</v>
      </c>
    </row>
    <row r="856" spans="1:25" x14ac:dyDescent="0.25">
      <c r="A856" s="1">
        <v>45377</v>
      </c>
      <c r="B856" t="s">
        <v>35</v>
      </c>
      <c r="C856">
        <v>2</v>
      </c>
      <c r="D856" t="s">
        <v>85</v>
      </c>
      <c r="E856" t="s">
        <v>30</v>
      </c>
      <c r="F856" t="s">
        <v>73</v>
      </c>
      <c r="G856" t="s">
        <v>24</v>
      </c>
      <c r="H856" t="s">
        <v>25</v>
      </c>
      <c r="I856">
        <v>4</v>
      </c>
      <c r="J856">
        <v>7.88</v>
      </c>
      <c r="K856">
        <v>7</v>
      </c>
      <c r="L856">
        <v>79.02</v>
      </c>
      <c r="M856">
        <v>44</v>
      </c>
      <c r="N856" t="s">
        <v>55</v>
      </c>
      <c r="O856">
        <v>25</v>
      </c>
      <c r="P856">
        <v>359</v>
      </c>
      <c r="Q856" s="27" t="str">
        <f>IF(D856=Pivot!$AS$4,R855, "")</f>
        <v/>
      </c>
      <c r="R856" t="s">
        <v>34</v>
      </c>
      <c r="S856" s="5">
        <v>6.96</v>
      </c>
      <c r="T856">
        <v>82.08</v>
      </c>
      <c r="U856">
        <v>57.95</v>
      </c>
      <c r="V856" s="27">
        <f t="shared" si="52"/>
        <v>220.64</v>
      </c>
      <c r="W856">
        <f t="shared" si="53"/>
        <v>136.97</v>
      </c>
      <c r="X856" s="33" t="str">
        <f t="shared" si="54"/>
        <v>Mid Quality</v>
      </c>
      <c r="Y856" s="27" t="str">
        <f t="shared" si="55"/>
        <v>8</v>
      </c>
    </row>
    <row r="857" spans="1:25" x14ac:dyDescent="0.25">
      <c r="A857" s="1">
        <v>45384</v>
      </c>
      <c r="B857" t="s">
        <v>50</v>
      </c>
      <c r="C857">
        <v>3</v>
      </c>
      <c r="D857" t="s">
        <v>64</v>
      </c>
      <c r="E857" t="s">
        <v>37</v>
      </c>
      <c r="F857" t="s">
        <v>31</v>
      </c>
      <c r="G857" t="s">
        <v>32</v>
      </c>
      <c r="H857" t="s">
        <v>48</v>
      </c>
      <c r="I857">
        <v>2</v>
      </c>
      <c r="J857">
        <v>13.55</v>
      </c>
      <c r="K857">
        <v>9</v>
      </c>
      <c r="L857">
        <v>308.43</v>
      </c>
      <c r="M857">
        <v>54</v>
      </c>
      <c r="N857" t="s">
        <v>55</v>
      </c>
      <c r="O857">
        <v>5</v>
      </c>
      <c r="P857">
        <v>398</v>
      </c>
      <c r="Q857" s="27" t="str">
        <f>IF(D857=Pivot!$AS$4,R856, "")</f>
        <v/>
      </c>
      <c r="R857" t="s">
        <v>27</v>
      </c>
      <c r="S857" s="5">
        <v>1.26</v>
      </c>
      <c r="T857">
        <v>95.48</v>
      </c>
      <c r="U857">
        <v>277.58999999999997</v>
      </c>
      <c r="V857" s="27">
        <f t="shared" si="52"/>
        <v>243.9</v>
      </c>
      <c r="W857">
        <f t="shared" si="53"/>
        <v>586.02</v>
      </c>
      <c r="X857" s="33" t="str">
        <f t="shared" si="54"/>
        <v>Mid Quality</v>
      </c>
      <c r="Y857" s="27" t="str">
        <f t="shared" si="55"/>
        <v>14</v>
      </c>
    </row>
    <row r="858" spans="1:25" x14ac:dyDescent="0.25">
      <c r="A858" s="1">
        <v>45573</v>
      </c>
      <c r="B858" t="s">
        <v>20</v>
      </c>
      <c r="C858">
        <v>2</v>
      </c>
      <c r="D858" t="s">
        <v>47</v>
      </c>
      <c r="E858" t="s">
        <v>67</v>
      </c>
      <c r="F858" t="s">
        <v>31</v>
      </c>
      <c r="G858" t="s">
        <v>52</v>
      </c>
      <c r="H858" t="s">
        <v>25</v>
      </c>
      <c r="I858">
        <v>1</v>
      </c>
      <c r="J858">
        <v>9.9499999999999993</v>
      </c>
      <c r="K858">
        <v>8</v>
      </c>
      <c r="L858">
        <v>329.91</v>
      </c>
      <c r="M858">
        <v>39</v>
      </c>
      <c r="N858" t="s">
        <v>45</v>
      </c>
      <c r="O858">
        <v>6</v>
      </c>
      <c r="P858">
        <v>960</v>
      </c>
      <c r="Q858" s="27" t="str">
        <f>IF(D858=Pivot!$AS$4,R857, "")</f>
        <v/>
      </c>
      <c r="R858" t="s">
        <v>46</v>
      </c>
      <c r="S858" s="5">
        <v>0.62</v>
      </c>
      <c r="T858">
        <v>97.76</v>
      </c>
      <c r="U858">
        <v>214.44</v>
      </c>
      <c r="V858" s="27">
        <f t="shared" si="52"/>
        <v>79.599999999999994</v>
      </c>
      <c r="W858">
        <f t="shared" si="53"/>
        <v>544.35</v>
      </c>
      <c r="X858" s="33" t="str">
        <f t="shared" si="54"/>
        <v>Mid Quality</v>
      </c>
      <c r="Y858" s="27" t="str">
        <f t="shared" si="55"/>
        <v>10</v>
      </c>
    </row>
    <row r="859" spans="1:25" x14ac:dyDescent="0.25">
      <c r="A859" s="1">
        <v>45497</v>
      </c>
      <c r="B859" t="s">
        <v>75</v>
      </c>
      <c r="C859">
        <v>2</v>
      </c>
      <c r="D859" t="s">
        <v>21</v>
      </c>
      <c r="E859" t="s">
        <v>30</v>
      </c>
      <c r="F859" t="s">
        <v>70</v>
      </c>
      <c r="G859" t="s">
        <v>52</v>
      </c>
      <c r="H859" t="s">
        <v>48</v>
      </c>
      <c r="I859">
        <v>2</v>
      </c>
      <c r="J859">
        <v>4.78</v>
      </c>
      <c r="K859">
        <v>3</v>
      </c>
      <c r="L859">
        <v>277.58</v>
      </c>
      <c r="M859">
        <v>28</v>
      </c>
      <c r="N859" t="s">
        <v>45</v>
      </c>
      <c r="O859">
        <v>5</v>
      </c>
      <c r="P859">
        <v>141</v>
      </c>
      <c r="Q859" s="27" t="str">
        <f>IF(D859=Pivot!$AS$4,R858, "")</f>
        <v/>
      </c>
      <c r="R859" t="s">
        <v>34</v>
      </c>
      <c r="S859" s="5">
        <v>3.55</v>
      </c>
      <c r="T859">
        <v>90.9</v>
      </c>
      <c r="U859">
        <v>129.54</v>
      </c>
      <c r="V859" s="27">
        <f t="shared" si="52"/>
        <v>28.68</v>
      </c>
      <c r="W859">
        <f t="shared" si="53"/>
        <v>407.12</v>
      </c>
      <c r="X859" s="33" t="str">
        <f t="shared" si="54"/>
        <v>High Quality</v>
      </c>
      <c r="Y859" s="27" t="str">
        <f t="shared" si="55"/>
        <v>6</v>
      </c>
    </row>
    <row r="860" spans="1:25" x14ac:dyDescent="0.25">
      <c r="A860" s="1">
        <v>45550</v>
      </c>
      <c r="B860" t="s">
        <v>65</v>
      </c>
      <c r="C860">
        <v>3</v>
      </c>
      <c r="D860" t="s">
        <v>82</v>
      </c>
      <c r="E860" t="s">
        <v>22</v>
      </c>
      <c r="F860" t="s">
        <v>59</v>
      </c>
      <c r="G860" t="s">
        <v>24</v>
      </c>
      <c r="H860" t="s">
        <v>48</v>
      </c>
      <c r="I860">
        <v>1</v>
      </c>
      <c r="J860">
        <v>12.43</v>
      </c>
      <c r="K860">
        <v>1</v>
      </c>
      <c r="L860">
        <v>417.7</v>
      </c>
      <c r="M860">
        <v>21</v>
      </c>
      <c r="N860" t="s">
        <v>49</v>
      </c>
      <c r="O860">
        <v>27</v>
      </c>
      <c r="P860">
        <v>870</v>
      </c>
      <c r="Q860" s="27" t="str">
        <f>IF(D860=Pivot!$AS$4,R859, "")</f>
        <v/>
      </c>
      <c r="R860" t="s">
        <v>27</v>
      </c>
      <c r="S860" s="5">
        <v>3.1</v>
      </c>
      <c r="T860">
        <v>92.8</v>
      </c>
      <c r="U860">
        <v>146.19999999999999</v>
      </c>
      <c r="V860" s="27">
        <f t="shared" si="52"/>
        <v>12.43</v>
      </c>
      <c r="W860">
        <f t="shared" si="53"/>
        <v>563.9</v>
      </c>
      <c r="X860" s="33" t="str">
        <f t="shared" si="54"/>
        <v>Mid Quality</v>
      </c>
      <c r="Y860" s="27" t="str">
        <f t="shared" si="55"/>
        <v>14</v>
      </c>
    </row>
    <row r="861" spans="1:25" x14ac:dyDescent="0.25">
      <c r="A861" s="1">
        <v>45464</v>
      </c>
      <c r="B861" t="s">
        <v>75</v>
      </c>
      <c r="C861">
        <v>3</v>
      </c>
      <c r="D861" t="s">
        <v>77</v>
      </c>
      <c r="E861" t="s">
        <v>22</v>
      </c>
      <c r="F861" t="s">
        <v>87</v>
      </c>
      <c r="G861" t="s">
        <v>32</v>
      </c>
      <c r="H861" t="s">
        <v>61</v>
      </c>
      <c r="I861">
        <v>2</v>
      </c>
      <c r="J861">
        <v>2.15</v>
      </c>
      <c r="K861">
        <v>2</v>
      </c>
      <c r="L861">
        <v>437.45</v>
      </c>
      <c r="M861">
        <v>44</v>
      </c>
      <c r="N861" t="s">
        <v>41</v>
      </c>
      <c r="O861">
        <v>8</v>
      </c>
      <c r="P861">
        <v>996</v>
      </c>
      <c r="Q861" s="27" t="str">
        <f>IF(D861=Pivot!$AS$4,R860, "")</f>
        <v/>
      </c>
      <c r="R861" t="s">
        <v>42</v>
      </c>
      <c r="S861" s="5">
        <v>0.8</v>
      </c>
      <c r="T861">
        <v>96.4</v>
      </c>
      <c r="U861">
        <v>320.8</v>
      </c>
      <c r="V861" s="27">
        <f t="shared" si="52"/>
        <v>8.6</v>
      </c>
      <c r="W861">
        <f t="shared" si="53"/>
        <v>758.25</v>
      </c>
      <c r="X861" s="33" t="str">
        <f t="shared" si="54"/>
        <v>High Quality</v>
      </c>
      <c r="Y861" s="27" t="str">
        <f t="shared" si="55"/>
        <v>4</v>
      </c>
    </row>
    <row r="862" spans="1:25" x14ac:dyDescent="0.25">
      <c r="A862" s="1">
        <v>45372</v>
      </c>
      <c r="B862" t="s">
        <v>20</v>
      </c>
      <c r="C862">
        <v>3</v>
      </c>
      <c r="D862" t="s">
        <v>29</v>
      </c>
      <c r="E862" t="s">
        <v>51</v>
      </c>
      <c r="F862" t="s">
        <v>73</v>
      </c>
      <c r="G862" t="s">
        <v>32</v>
      </c>
      <c r="H862" t="s">
        <v>25</v>
      </c>
      <c r="I862">
        <v>1</v>
      </c>
      <c r="J862">
        <v>8.85</v>
      </c>
      <c r="K862">
        <v>2</v>
      </c>
      <c r="L862">
        <v>327.02999999999997</v>
      </c>
      <c r="M862">
        <v>78</v>
      </c>
      <c r="N862" t="s">
        <v>55</v>
      </c>
      <c r="O862">
        <v>9</v>
      </c>
      <c r="P862">
        <v>591</v>
      </c>
      <c r="Q862" s="27" t="str">
        <f>IF(D862=Pivot!$AS$4,R861, "")</f>
        <v/>
      </c>
      <c r="R862" t="s">
        <v>46</v>
      </c>
      <c r="S862" s="5">
        <v>1.52</v>
      </c>
      <c r="T862">
        <v>95.96</v>
      </c>
      <c r="U862">
        <v>425.14</v>
      </c>
      <c r="V862" s="27">
        <f t="shared" si="52"/>
        <v>17.7</v>
      </c>
      <c r="W862">
        <f t="shared" si="53"/>
        <v>752.17</v>
      </c>
      <c r="X862" s="33" t="str">
        <f t="shared" si="54"/>
        <v>Mid Quality</v>
      </c>
      <c r="Y862" s="27" t="str">
        <f t="shared" si="55"/>
        <v>10</v>
      </c>
    </row>
    <row r="863" spans="1:25" x14ac:dyDescent="0.25">
      <c r="A863" s="1">
        <v>45565</v>
      </c>
      <c r="B863" t="s">
        <v>65</v>
      </c>
      <c r="C863">
        <v>1</v>
      </c>
      <c r="D863" t="s">
        <v>21</v>
      </c>
      <c r="E863" t="s">
        <v>22</v>
      </c>
      <c r="F863" t="s">
        <v>54</v>
      </c>
      <c r="G863" t="s">
        <v>24</v>
      </c>
      <c r="H863" t="s">
        <v>25</v>
      </c>
      <c r="I863">
        <v>1</v>
      </c>
      <c r="J863">
        <v>11.39</v>
      </c>
      <c r="K863">
        <v>4</v>
      </c>
      <c r="L863">
        <v>55.74</v>
      </c>
      <c r="M863">
        <v>70</v>
      </c>
      <c r="N863" t="s">
        <v>26</v>
      </c>
      <c r="O863">
        <v>15</v>
      </c>
      <c r="P863">
        <v>538</v>
      </c>
      <c r="Q863" s="27" t="str">
        <f>IF(D863=Pivot!$AS$4,R862, "")</f>
        <v/>
      </c>
      <c r="R863" t="s">
        <v>57</v>
      </c>
      <c r="S863" s="5">
        <v>2.79</v>
      </c>
      <c r="T863">
        <v>93.42</v>
      </c>
      <c r="U863">
        <v>65.03</v>
      </c>
      <c r="V863" s="27">
        <f t="shared" si="52"/>
        <v>45.56</v>
      </c>
      <c r="W863">
        <f t="shared" si="53"/>
        <v>120.77000000000001</v>
      </c>
      <c r="X863" s="33" t="str">
        <f t="shared" si="54"/>
        <v>Mid Quality</v>
      </c>
      <c r="Y863" s="27" t="str">
        <f t="shared" si="55"/>
        <v>12</v>
      </c>
    </row>
    <row r="864" spans="1:25" x14ac:dyDescent="0.25">
      <c r="A864" s="1">
        <v>45518</v>
      </c>
      <c r="B864" t="s">
        <v>50</v>
      </c>
      <c r="C864">
        <v>2</v>
      </c>
      <c r="D864" t="s">
        <v>91</v>
      </c>
      <c r="E864" t="s">
        <v>30</v>
      </c>
      <c r="F864" t="s">
        <v>54</v>
      </c>
      <c r="G864" t="s">
        <v>32</v>
      </c>
      <c r="H864" t="s">
        <v>40</v>
      </c>
      <c r="I864">
        <v>3</v>
      </c>
      <c r="J864">
        <v>9.2799999999999994</v>
      </c>
      <c r="K864">
        <v>6</v>
      </c>
      <c r="L864">
        <v>362.85</v>
      </c>
      <c r="M864">
        <v>48</v>
      </c>
      <c r="N864" t="s">
        <v>49</v>
      </c>
      <c r="O864">
        <v>36</v>
      </c>
      <c r="P864">
        <v>882</v>
      </c>
      <c r="Q864" s="27" t="str">
        <f>IF(D864=Pivot!$AS$4,R863, "")</f>
        <v/>
      </c>
      <c r="R864" t="s">
        <v>27</v>
      </c>
      <c r="S864" s="5">
        <v>4.08</v>
      </c>
      <c r="T864">
        <v>88.84</v>
      </c>
      <c r="U864">
        <v>290.27999999999997</v>
      </c>
      <c r="V864" s="27">
        <f t="shared" si="52"/>
        <v>167.04</v>
      </c>
      <c r="W864">
        <f t="shared" si="53"/>
        <v>653.13</v>
      </c>
      <c r="X864" s="33" t="str">
        <f t="shared" si="54"/>
        <v>Mid Quality</v>
      </c>
      <c r="Y864" s="27" t="str">
        <f t="shared" si="55"/>
        <v>10</v>
      </c>
    </row>
    <row r="865" spans="1:25" x14ac:dyDescent="0.25">
      <c r="A865" s="1">
        <v>45472</v>
      </c>
      <c r="B865" t="s">
        <v>35</v>
      </c>
      <c r="C865">
        <v>1</v>
      </c>
      <c r="D865" t="s">
        <v>91</v>
      </c>
      <c r="E865" t="s">
        <v>22</v>
      </c>
      <c r="F865" t="s">
        <v>73</v>
      </c>
      <c r="G865" t="s">
        <v>24</v>
      </c>
      <c r="H865" t="s">
        <v>25</v>
      </c>
      <c r="I865">
        <v>1</v>
      </c>
      <c r="J865">
        <v>15.22</v>
      </c>
      <c r="K865">
        <v>4</v>
      </c>
      <c r="L865">
        <v>238.1</v>
      </c>
      <c r="M865">
        <v>27</v>
      </c>
      <c r="N865" t="s">
        <v>55</v>
      </c>
      <c r="O865">
        <v>41</v>
      </c>
      <c r="P865">
        <v>146</v>
      </c>
      <c r="Q865" s="27" t="str">
        <f>IF(D865=Pivot!$AS$4,R864, "")</f>
        <v/>
      </c>
      <c r="R865" t="s">
        <v>57</v>
      </c>
      <c r="S865" s="5">
        <v>28.08</v>
      </c>
      <c r="T865">
        <v>42.84</v>
      </c>
      <c r="U865">
        <v>107.14</v>
      </c>
      <c r="V865" s="27">
        <f t="shared" si="52"/>
        <v>60.88</v>
      </c>
      <c r="W865">
        <f t="shared" si="53"/>
        <v>345.24</v>
      </c>
      <c r="X865" s="33" t="str">
        <f t="shared" si="54"/>
        <v>Low Quality</v>
      </c>
      <c r="Y865" s="27" t="str">
        <f t="shared" si="55"/>
        <v>16</v>
      </c>
    </row>
    <row r="866" spans="1:25" x14ac:dyDescent="0.25">
      <c r="A866" s="1">
        <v>45453</v>
      </c>
      <c r="B866" t="s">
        <v>75</v>
      </c>
      <c r="C866">
        <v>1</v>
      </c>
      <c r="D866" t="s">
        <v>21</v>
      </c>
      <c r="E866" t="s">
        <v>30</v>
      </c>
      <c r="F866" t="s">
        <v>89</v>
      </c>
      <c r="G866" t="s">
        <v>39</v>
      </c>
      <c r="H866" t="s">
        <v>40</v>
      </c>
      <c r="I866">
        <v>1</v>
      </c>
      <c r="J866">
        <v>16.73</v>
      </c>
      <c r="K866">
        <v>9</v>
      </c>
      <c r="L866">
        <v>304.5</v>
      </c>
      <c r="M866">
        <v>10</v>
      </c>
      <c r="N866" t="s">
        <v>41</v>
      </c>
      <c r="O866">
        <v>7</v>
      </c>
      <c r="P866">
        <v>184</v>
      </c>
      <c r="Q866" s="27" t="str">
        <f>IF(D866=Pivot!$AS$4,R865, "")</f>
        <v/>
      </c>
      <c r="R866" t="s">
        <v>46</v>
      </c>
      <c r="S866" s="5">
        <v>3.8</v>
      </c>
      <c r="T866">
        <v>91.4</v>
      </c>
      <c r="U866">
        <v>50.75</v>
      </c>
      <c r="V866" s="27">
        <f t="shared" si="52"/>
        <v>150.57</v>
      </c>
      <c r="W866">
        <f t="shared" si="53"/>
        <v>355.25</v>
      </c>
      <c r="X866" s="33" t="str">
        <f t="shared" si="54"/>
        <v>Low Quality</v>
      </c>
      <c r="Y866" s="27" t="str">
        <f t="shared" si="55"/>
        <v>18</v>
      </c>
    </row>
    <row r="867" spans="1:25" x14ac:dyDescent="0.25">
      <c r="A867" s="1">
        <v>45573</v>
      </c>
      <c r="B867" t="s">
        <v>28</v>
      </c>
      <c r="C867">
        <v>3</v>
      </c>
      <c r="D867" t="s">
        <v>53</v>
      </c>
      <c r="E867" t="s">
        <v>67</v>
      </c>
      <c r="F867" t="s">
        <v>31</v>
      </c>
      <c r="G867" t="s">
        <v>52</v>
      </c>
      <c r="H867" t="s">
        <v>33</v>
      </c>
      <c r="I867">
        <v>3</v>
      </c>
      <c r="J867">
        <v>15.65</v>
      </c>
      <c r="K867">
        <v>4</v>
      </c>
      <c r="L867">
        <v>342.09</v>
      </c>
      <c r="M867">
        <v>70</v>
      </c>
      <c r="N867" t="s">
        <v>26</v>
      </c>
      <c r="O867">
        <v>32</v>
      </c>
      <c r="P867">
        <v>785</v>
      </c>
      <c r="Q867" s="27" t="str">
        <f>IF(D867=Pivot!$AS$4,R866, "")</f>
        <v/>
      </c>
      <c r="R867" t="s">
        <v>27</v>
      </c>
      <c r="S867" s="5">
        <v>4.08</v>
      </c>
      <c r="T867">
        <v>88.84</v>
      </c>
      <c r="U867">
        <v>399.1</v>
      </c>
      <c r="V867" s="27">
        <f t="shared" si="52"/>
        <v>187.8</v>
      </c>
      <c r="W867">
        <f t="shared" si="53"/>
        <v>741.19</v>
      </c>
      <c r="X867" s="33" t="str">
        <f t="shared" si="54"/>
        <v>Low Quality</v>
      </c>
      <c r="Y867" s="27" t="str">
        <f t="shared" si="55"/>
        <v>16</v>
      </c>
    </row>
    <row r="868" spans="1:25" x14ac:dyDescent="0.25">
      <c r="A868" s="1">
        <v>45458</v>
      </c>
      <c r="B868" t="s">
        <v>28</v>
      </c>
      <c r="C868">
        <v>1</v>
      </c>
      <c r="D868" t="s">
        <v>71</v>
      </c>
      <c r="E868" t="s">
        <v>51</v>
      </c>
      <c r="F868" t="s">
        <v>62</v>
      </c>
      <c r="G868" t="s">
        <v>39</v>
      </c>
      <c r="H868" t="s">
        <v>33</v>
      </c>
      <c r="I868">
        <v>5</v>
      </c>
      <c r="J868">
        <v>1.74</v>
      </c>
      <c r="K868">
        <v>6</v>
      </c>
      <c r="L868">
        <v>207.61</v>
      </c>
      <c r="M868">
        <v>25</v>
      </c>
      <c r="N868" t="s">
        <v>55</v>
      </c>
      <c r="O868">
        <v>8</v>
      </c>
      <c r="P868">
        <v>157</v>
      </c>
      <c r="Q868" s="27" t="str">
        <f>IF(D868=Pivot!$AS$4,R867, "")</f>
        <v/>
      </c>
      <c r="R868" t="s">
        <v>27</v>
      </c>
      <c r="S868" s="5">
        <v>5.0999999999999996</v>
      </c>
      <c r="T868">
        <v>84.8</v>
      </c>
      <c r="U868">
        <v>86.5</v>
      </c>
      <c r="V868" s="27">
        <f t="shared" si="52"/>
        <v>52.2</v>
      </c>
      <c r="W868">
        <f t="shared" si="53"/>
        <v>294.11</v>
      </c>
      <c r="X868" s="33" t="str">
        <f t="shared" si="54"/>
        <v>High Quality</v>
      </c>
      <c r="Y868" s="27" t="str">
        <f t="shared" si="55"/>
        <v>2</v>
      </c>
    </row>
    <row r="869" spans="1:25" x14ac:dyDescent="0.25">
      <c r="A869" s="1">
        <v>45482</v>
      </c>
      <c r="B869" t="s">
        <v>20</v>
      </c>
      <c r="C869">
        <v>3</v>
      </c>
      <c r="D869" t="s">
        <v>47</v>
      </c>
      <c r="E869" t="s">
        <v>22</v>
      </c>
      <c r="F869" t="s">
        <v>31</v>
      </c>
      <c r="G869" t="s">
        <v>60</v>
      </c>
      <c r="H869" t="s">
        <v>33</v>
      </c>
      <c r="I869">
        <v>5</v>
      </c>
      <c r="J869">
        <v>4.6900000000000004</v>
      </c>
      <c r="K869">
        <v>6</v>
      </c>
      <c r="L869">
        <v>462.69</v>
      </c>
      <c r="M869">
        <v>39</v>
      </c>
      <c r="N869" t="s">
        <v>63</v>
      </c>
      <c r="O869">
        <v>47</v>
      </c>
      <c r="P869">
        <v>810</v>
      </c>
      <c r="Q869" s="27" t="str">
        <f>IF(D869=Pivot!$AS$4,R868, "")</f>
        <v/>
      </c>
      <c r="R869" t="s">
        <v>46</v>
      </c>
      <c r="S869" s="5">
        <v>5.8</v>
      </c>
      <c r="T869">
        <v>83.4</v>
      </c>
      <c r="U869">
        <v>300.75</v>
      </c>
      <c r="V869" s="27">
        <f t="shared" si="52"/>
        <v>140.70000000000002</v>
      </c>
      <c r="W869">
        <f t="shared" si="53"/>
        <v>763.44</v>
      </c>
      <c r="X869" s="33" t="str">
        <f t="shared" si="54"/>
        <v>High Quality</v>
      </c>
      <c r="Y869" s="27" t="str">
        <f t="shared" si="55"/>
        <v>6</v>
      </c>
    </row>
    <row r="870" spans="1:25" x14ac:dyDescent="0.25">
      <c r="A870" s="1">
        <v>45503</v>
      </c>
      <c r="B870" t="s">
        <v>50</v>
      </c>
      <c r="C870">
        <v>2</v>
      </c>
      <c r="D870" t="s">
        <v>76</v>
      </c>
      <c r="E870" t="s">
        <v>30</v>
      </c>
      <c r="F870" t="s">
        <v>84</v>
      </c>
      <c r="G870" t="s">
        <v>60</v>
      </c>
      <c r="H870" t="s">
        <v>25</v>
      </c>
      <c r="I870">
        <v>3</v>
      </c>
      <c r="J870">
        <v>11.2</v>
      </c>
      <c r="K870">
        <v>1</v>
      </c>
      <c r="L870">
        <v>110.29</v>
      </c>
      <c r="M870">
        <v>33</v>
      </c>
      <c r="N870" t="s">
        <v>49</v>
      </c>
      <c r="O870">
        <v>15</v>
      </c>
      <c r="P870">
        <v>308</v>
      </c>
      <c r="Q870" s="27" t="str">
        <f>IF(D870=Pivot!$AS$4,R869, "")</f>
        <v/>
      </c>
      <c r="R870" t="s">
        <v>42</v>
      </c>
      <c r="S870" s="5">
        <v>4.87</v>
      </c>
      <c r="T870">
        <v>87.26</v>
      </c>
      <c r="U870">
        <v>60.66</v>
      </c>
      <c r="V870" s="27">
        <f t="shared" si="52"/>
        <v>33.599999999999994</v>
      </c>
      <c r="W870">
        <f t="shared" si="53"/>
        <v>170.95</v>
      </c>
      <c r="X870" s="33" t="str">
        <f t="shared" si="54"/>
        <v>Mid Quality</v>
      </c>
      <c r="Y870" s="27" t="str">
        <f t="shared" si="55"/>
        <v>12</v>
      </c>
    </row>
    <row r="871" spans="1:25" x14ac:dyDescent="0.25">
      <c r="A871" s="1">
        <v>45512</v>
      </c>
      <c r="B871" t="s">
        <v>75</v>
      </c>
      <c r="C871">
        <v>3</v>
      </c>
      <c r="D871" t="s">
        <v>53</v>
      </c>
      <c r="E871" t="s">
        <v>37</v>
      </c>
      <c r="F871" t="s">
        <v>68</v>
      </c>
      <c r="G871" t="s">
        <v>60</v>
      </c>
      <c r="H871" t="s">
        <v>25</v>
      </c>
      <c r="I871">
        <v>4</v>
      </c>
      <c r="J871">
        <v>18.760000000000002</v>
      </c>
      <c r="K871">
        <v>8</v>
      </c>
      <c r="L871">
        <v>352.18</v>
      </c>
      <c r="M871">
        <v>11</v>
      </c>
      <c r="N871" t="s">
        <v>45</v>
      </c>
      <c r="O871">
        <v>37</v>
      </c>
      <c r="P871">
        <v>347</v>
      </c>
      <c r="Q871" s="27" t="str">
        <f>IF(D871=Pivot!$AS$4,R870, "")</f>
        <v/>
      </c>
      <c r="R871" t="s">
        <v>27</v>
      </c>
      <c r="S871" s="5">
        <v>10.66</v>
      </c>
      <c r="T871">
        <v>74.680000000000007</v>
      </c>
      <c r="U871">
        <v>64.569999999999993</v>
      </c>
      <c r="V871" s="27">
        <f t="shared" si="52"/>
        <v>600.32000000000005</v>
      </c>
      <c r="W871">
        <f t="shared" si="53"/>
        <v>416.75</v>
      </c>
      <c r="X871" s="33" t="str">
        <f t="shared" si="54"/>
        <v>Low Quality</v>
      </c>
      <c r="Y871" s="27" t="str">
        <f t="shared" si="55"/>
        <v>20</v>
      </c>
    </row>
    <row r="872" spans="1:25" x14ac:dyDescent="0.25">
      <c r="A872" s="1">
        <v>45457</v>
      </c>
      <c r="B872" t="s">
        <v>50</v>
      </c>
      <c r="C872">
        <v>1</v>
      </c>
      <c r="D872" t="s">
        <v>64</v>
      </c>
      <c r="E872" t="s">
        <v>51</v>
      </c>
      <c r="F872" t="s">
        <v>38</v>
      </c>
      <c r="G872" t="s">
        <v>24</v>
      </c>
      <c r="H872" t="s">
        <v>40</v>
      </c>
      <c r="I872">
        <v>1</v>
      </c>
      <c r="J872">
        <v>16.86</v>
      </c>
      <c r="K872">
        <v>3</v>
      </c>
      <c r="L872">
        <v>51.96</v>
      </c>
      <c r="M872">
        <v>57</v>
      </c>
      <c r="N872" t="s">
        <v>55</v>
      </c>
      <c r="O872">
        <v>19</v>
      </c>
      <c r="P872">
        <v>310</v>
      </c>
      <c r="Q872" s="27" t="str">
        <f>IF(D872=Pivot!$AS$4,R871, "")</f>
        <v/>
      </c>
      <c r="R872" t="s">
        <v>46</v>
      </c>
      <c r="S872" s="5">
        <v>6.13</v>
      </c>
      <c r="T872">
        <v>86.74</v>
      </c>
      <c r="U872">
        <v>49.36</v>
      </c>
      <c r="V872" s="27">
        <f t="shared" si="52"/>
        <v>50.58</v>
      </c>
      <c r="W872">
        <f t="shared" si="53"/>
        <v>101.32</v>
      </c>
      <c r="X872" s="33" t="str">
        <f t="shared" si="54"/>
        <v>Low Quality</v>
      </c>
      <c r="Y872" s="27" t="str">
        <f t="shared" si="55"/>
        <v>18</v>
      </c>
    </row>
    <row r="873" spans="1:25" x14ac:dyDescent="0.25">
      <c r="A873" s="1">
        <v>45415</v>
      </c>
      <c r="B873" t="s">
        <v>75</v>
      </c>
      <c r="C873">
        <v>1</v>
      </c>
      <c r="D873" t="s">
        <v>36</v>
      </c>
      <c r="E873" t="s">
        <v>67</v>
      </c>
      <c r="F873" t="s">
        <v>69</v>
      </c>
      <c r="G873" t="s">
        <v>32</v>
      </c>
      <c r="H873" t="s">
        <v>48</v>
      </c>
      <c r="I873">
        <v>1</v>
      </c>
      <c r="J873">
        <v>17.010000000000002</v>
      </c>
      <c r="K873">
        <v>6</v>
      </c>
      <c r="L873">
        <v>466.09</v>
      </c>
      <c r="M873">
        <v>41</v>
      </c>
      <c r="N873" t="s">
        <v>26</v>
      </c>
      <c r="O873">
        <v>39</v>
      </c>
      <c r="P873">
        <v>138</v>
      </c>
      <c r="Q873" s="27" t="str">
        <f>IF(D873=Pivot!$AS$4,R872, "")</f>
        <v/>
      </c>
      <c r="R873" t="s">
        <v>34</v>
      </c>
      <c r="S873" s="5">
        <v>28.26</v>
      </c>
      <c r="T873">
        <v>42.48</v>
      </c>
      <c r="U873">
        <v>318.49</v>
      </c>
      <c r="V873" s="27">
        <f t="shared" si="52"/>
        <v>102.06</v>
      </c>
      <c r="W873">
        <f t="shared" si="53"/>
        <v>784.57999999999993</v>
      </c>
      <c r="X873" s="33" t="str">
        <f t="shared" si="54"/>
        <v>Low Quality</v>
      </c>
      <c r="Y873" s="27" t="str">
        <f t="shared" si="55"/>
        <v>18</v>
      </c>
    </row>
    <row r="874" spans="1:25" x14ac:dyDescent="0.25">
      <c r="A874" s="1">
        <v>45580</v>
      </c>
      <c r="B874" t="s">
        <v>20</v>
      </c>
      <c r="C874">
        <v>3</v>
      </c>
      <c r="D874" t="s">
        <v>85</v>
      </c>
      <c r="E874" t="s">
        <v>30</v>
      </c>
      <c r="F874" t="s">
        <v>72</v>
      </c>
      <c r="G874" t="s">
        <v>39</v>
      </c>
      <c r="H874" t="s">
        <v>40</v>
      </c>
      <c r="I874">
        <v>3</v>
      </c>
      <c r="J874">
        <v>6.76</v>
      </c>
      <c r="K874">
        <v>3</v>
      </c>
      <c r="L874">
        <v>100.63</v>
      </c>
      <c r="M874">
        <v>27</v>
      </c>
      <c r="N874" t="s">
        <v>26</v>
      </c>
      <c r="O874">
        <v>6</v>
      </c>
      <c r="P874">
        <v>351</v>
      </c>
      <c r="Q874" s="27" t="str">
        <f>IF(D874=Pivot!$AS$4,R873, "")</f>
        <v/>
      </c>
      <c r="R874" t="s">
        <v>57</v>
      </c>
      <c r="S874" s="5">
        <v>1.71</v>
      </c>
      <c r="T874">
        <v>93.58</v>
      </c>
      <c r="U874">
        <v>45.28</v>
      </c>
      <c r="V874" s="27">
        <f t="shared" si="52"/>
        <v>60.839999999999996</v>
      </c>
      <c r="W874">
        <f t="shared" si="53"/>
        <v>145.91</v>
      </c>
      <c r="X874" s="33" t="str">
        <f t="shared" si="54"/>
        <v>Mid Quality</v>
      </c>
      <c r="Y874" s="27" t="str">
        <f t="shared" si="55"/>
        <v>8</v>
      </c>
    </row>
    <row r="875" spans="1:25" x14ac:dyDescent="0.25">
      <c r="A875" s="1">
        <v>45571</v>
      </c>
      <c r="B875" t="s">
        <v>20</v>
      </c>
      <c r="C875">
        <v>3</v>
      </c>
      <c r="D875" t="s">
        <v>43</v>
      </c>
      <c r="E875" t="s">
        <v>67</v>
      </c>
      <c r="F875" t="s">
        <v>69</v>
      </c>
      <c r="G875" t="s">
        <v>39</v>
      </c>
      <c r="H875" t="s">
        <v>33</v>
      </c>
      <c r="I875">
        <v>3</v>
      </c>
      <c r="J875">
        <v>9.16</v>
      </c>
      <c r="K875">
        <v>2</v>
      </c>
      <c r="L875">
        <v>92.7</v>
      </c>
      <c r="M875">
        <v>12</v>
      </c>
      <c r="N875" t="s">
        <v>49</v>
      </c>
      <c r="O875">
        <v>19</v>
      </c>
      <c r="P875">
        <v>742</v>
      </c>
      <c r="Q875" s="27" t="str">
        <f>IF(D875=Pivot!$AS$4,R874, "")</f>
        <v/>
      </c>
      <c r="R875" t="s">
        <v>27</v>
      </c>
      <c r="S875" s="5">
        <v>2.56</v>
      </c>
      <c r="T875">
        <v>91.88</v>
      </c>
      <c r="U875">
        <v>18.54</v>
      </c>
      <c r="V875" s="27">
        <f t="shared" si="52"/>
        <v>54.96</v>
      </c>
      <c r="W875">
        <f t="shared" si="53"/>
        <v>111.24000000000001</v>
      </c>
      <c r="X875" s="33" t="str">
        <f t="shared" si="54"/>
        <v>Mid Quality</v>
      </c>
      <c r="Y875" s="27" t="str">
        <f t="shared" si="55"/>
        <v>10</v>
      </c>
    </row>
    <row r="876" spans="1:25" x14ac:dyDescent="0.25">
      <c r="A876" s="1">
        <v>45401</v>
      </c>
      <c r="B876" t="s">
        <v>28</v>
      </c>
      <c r="C876">
        <v>1</v>
      </c>
      <c r="D876" t="s">
        <v>36</v>
      </c>
      <c r="E876" t="s">
        <v>67</v>
      </c>
      <c r="F876" t="s">
        <v>78</v>
      </c>
      <c r="G876" t="s">
        <v>39</v>
      </c>
      <c r="H876" t="s">
        <v>40</v>
      </c>
      <c r="I876">
        <v>4</v>
      </c>
      <c r="J876">
        <v>9.94</v>
      </c>
      <c r="K876">
        <v>5</v>
      </c>
      <c r="L876">
        <v>199.85</v>
      </c>
      <c r="M876">
        <v>80</v>
      </c>
      <c r="N876" t="s">
        <v>49</v>
      </c>
      <c r="O876">
        <v>28</v>
      </c>
      <c r="P876">
        <v>902</v>
      </c>
      <c r="Q876" s="27" t="str">
        <f>IF(D876=Pivot!$AS$4,R875, "")</f>
        <v/>
      </c>
      <c r="R876" t="s">
        <v>34</v>
      </c>
      <c r="S876" s="5">
        <v>3.1</v>
      </c>
      <c r="T876">
        <v>89.8</v>
      </c>
      <c r="U876">
        <v>266.47000000000003</v>
      </c>
      <c r="V876" s="27">
        <f t="shared" si="52"/>
        <v>198.79999999999998</v>
      </c>
      <c r="W876">
        <f t="shared" si="53"/>
        <v>466.32000000000005</v>
      </c>
      <c r="X876" s="33" t="str">
        <f t="shared" si="54"/>
        <v>Mid Quality</v>
      </c>
      <c r="Y876" s="27" t="str">
        <f t="shared" si="55"/>
        <v>10</v>
      </c>
    </row>
    <row r="877" spans="1:25" x14ac:dyDescent="0.25">
      <c r="A877" s="1">
        <v>45484</v>
      </c>
      <c r="B877" t="s">
        <v>50</v>
      </c>
      <c r="C877">
        <v>2</v>
      </c>
      <c r="D877" t="s">
        <v>64</v>
      </c>
      <c r="E877" t="s">
        <v>22</v>
      </c>
      <c r="F877" t="s">
        <v>56</v>
      </c>
      <c r="G877" t="s">
        <v>39</v>
      </c>
      <c r="H877" t="s">
        <v>48</v>
      </c>
      <c r="I877">
        <v>5</v>
      </c>
      <c r="J877">
        <v>3.99</v>
      </c>
      <c r="K877">
        <v>1</v>
      </c>
      <c r="L877">
        <v>218.1</v>
      </c>
      <c r="M877">
        <v>52</v>
      </c>
      <c r="N877" t="s">
        <v>26</v>
      </c>
      <c r="O877">
        <v>17</v>
      </c>
      <c r="P877">
        <v>861</v>
      </c>
      <c r="Q877" s="27" t="str">
        <f>IF(D877=Pivot!$AS$4,R876, "")</f>
        <v/>
      </c>
      <c r="R877" t="s">
        <v>27</v>
      </c>
      <c r="S877" s="5">
        <v>1.97</v>
      </c>
      <c r="T877">
        <v>91.06</v>
      </c>
      <c r="U877">
        <v>189.02</v>
      </c>
      <c r="V877" s="27">
        <f t="shared" si="52"/>
        <v>19.950000000000003</v>
      </c>
      <c r="W877">
        <f t="shared" si="53"/>
        <v>407.12</v>
      </c>
      <c r="X877" s="33" t="str">
        <f t="shared" si="54"/>
        <v>High Quality</v>
      </c>
      <c r="Y877" s="27" t="str">
        <f t="shared" si="55"/>
        <v>4</v>
      </c>
    </row>
    <row r="878" spans="1:25" x14ac:dyDescent="0.25">
      <c r="A878" s="1">
        <v>45573</v>
      </c>
      <c r="B878" t="s">
        <v>65</v>
      </c>
      <c r="C878">
        <v>2</v>
      </c>
      <c r="D878" t="s">
        <v>43</v>
      </c>
      <c r="E878" t="s">
        <v>22</v>
      </c>
      <c r="F878" t="s">
        <v>70</v>
      </c>
      <c r="G878" t="s">
        <v>60</v>
      </c>
      <c r="H878" t="s">
        <v>25</v>
      </c>
      <c r="I878">
        <v>2</v>
      </c>
      <c r="J878">
        <v>1.59</v>
      </c>
      <c r="K878">
        <v>9</v>
      </c>
      <c r="L878">
        <v>146.44</v>
      </c>
      <c r="M878">
        <v>14</v>
      </c>
      <c r="N878" t="s">
        <v>26</v>
      </c>
      <c r="O878">
        <v>42</v>
      </c>
      <c r="P878">
        <v>512</v>
      </c>
      <c r="Q878" s="27" t="str">
        <f>IF(D878=Pivot!$AS$4,R877, "")</f>
        <v/>
      </c>
      <c r="R878" t="s">
        <v>42</v>
      </c>
      <c r="S878" s="5">
        <v>8.1999999999999993</v>
      </c>
      <c r="T878">
        <v>81.599999999999994</v>
      </c>
      <c r="U878">
        <v>34.17</v>
      </c>
      <c r="V878" s="27">
        <f t="shared" si="52"/>
        <v>28.62</v>
      </c>
      <c r="W878">
        <f t="shared" si="53"/>
        <v>180.61</v>
      </c>
      <c r="X878" s="33" t="str">
        <f t="shared" si="54"/>
        <v>High Quality</v>
      </c>
      <c r="Y878" s="27" t="str">
        <f t="shared" si="55"/>
        <v>2</v>
      </c>
    </row>
    <row r="879" spans="1:25" x14ac:dyDescent="0.25">
      <c r="A879" s="1">
        <v>45422</v>
      </c>
      <c r="B879" t="s">
        <v>28</v>
      </c>
      <c r="C879">
        <v>3</v>
      </c>
      <c r="D879" t="s">
        <v>80</v>
      </c>
      <c r="E879" t="s">
        <v>30</v>
      </c>
      <c r="F879" t="s">
        <v>70</v>
      </c>
      <c r="G879" t="s">
        <v>39</v>
      </c>
      <c r="H879" t="s">
        <v>40</v>
      </c>
      <c r="I879">
        <v>5</v>
      </c>
      <c r="J879">
        <v>18.989999999999998</v>
      </c>
      <c r="K879">
        <v>7</v>
      </c>
      <c r="L879">
        <v>313.3</v>
      </c>
      <c r="M879">
        <v>83</v>
      </c>
      <c r="N879" t="s">
        <v>26</v>
      </c>
      <c r="O879">
        <v>19</v>
      </c>
      <c r="P879">
        <v>545</v>
      </c>
      <c r="Q879" s="27" t="str">
        <f>IF(D879=Pivot!$AS$4,R878, "")</f>
        <v>Makine ayarı değiştirildi</v>
      </c>
      <c r="R879" t="s">
        <v>46</v>
      </c>
      <c r="S879" s="5">
        <v>3.49</v>
      </c>
      <c r="T879">
        <v>88.02</v>
      </c>
      <c r="U879">
        <v>433.4</v>
      </c>
      <c r="V879" s="27">
        <f t="shared" si="52"/>
        <v>664.65</v>
      </c>
      <c r="W879">
        <f t="shared" si="53"/>
        <v>746.7</v>
      </c>
      <c r="X879" s="33" t="str">
        <f t="shared" si="54"/>
        <v>Low Quality</v>
      </c>
      <c r="Y879" s="27" t="str">
        <f t="shared" si="55"/>
        <v>20</v>
      </c>
    </row>
    <row r="880" spans="1:25" x14ac:dyDescent="0.25">
      <c r="A880" s="1">
        <v>45476</v>
      </c>
      <c r="B880" t="s">
        <v>50</v>
      </c>
      <c r="C880">
        <v>2</v>
      </c>
      <c r="D880" t="s">
        <v>82</v>
      </c>
      <c r="E880" t="s">
        <v>37</v>
      </c>
      <c r="F880" t="s">
        <v>62</v>
      </c>
      <c r="G880" t="s">
        <v>32</v>
      </c>
      <c r="H880" t="s">
        <v>33</v>
      </c>
      <c r="I880">
        <v>1</v>
      </c>
      <c r="J880">
        <v>5.57</v>
      </c>
      <c r="K880">
        <v>3</v>
      </c>
      <c r="L880">
        <v>249.31</v>
      </c>
      <c r="M880">
        <v>28</v>
      </c>
      <c r="N880" t="s">
        <v>55</v>
      </c>
      <c r="O880">
        <v>31</v>
      </c>
      <c r="P880">
        <v>151</v>
      </c>
      <c r="Q880" s="27" t="str">
        <f>IF(D880=Pivot!$AS$4,R879, "")</f>
        <v/>
      </c>
      <c r="R880" t="s">
        <v>27</v>
      </c>
      <c r="S880" s="5">
        <v>20.53</v>
      </c>
      <c r="T880">
        <v>57.94</v>
      </c>
      <c r="U880">
        <v>116.34</v>
      </c>
      <c r="V880" s="27">
        <f t="shared" si="52"/>
        <v>16.71</v>
      </c>
      <c r="W880">
        <f t="shared" si="53"/>
        <v>365.65</v>
      </c>
      <c r="X880" s="33" t="str">
        <f t="shared" si="54"/>
        <v>High Quality</v>
      </c>
      <c r="Y880" s="27" t="str">
        <f t="shared" si="55"/>
        <v>6</v>
      </c>
    </row>
    <row r="881" spans="1:25" x14ac:dyDescent="0.25">
      <c r="A881" s="1">
        <v>45523</v>
      </c>
      <c r="B881" t="s">
        <v>28</v>
      </c>
      <c r="C881">
        <v>1</v>
      </c>
      <c r="D881" t="s">
        <v>71</v>
      </c>
      <c r="E881" t="s">
        <v>30</v>
      </c>
      <c r="F881" t="s">
        <v>86</v>
      </c>
      <c r="G881" t="s">
        <v>60</v>
      </c>
      <c r="H881" t="s">
        <v>33</v>
      </c>
      <c r="I881">
        <v>3</v>
      </c>
      <c r="J881">
        <v>5.56</v>
      </c>
      <c r="K881">
        <v>4</v>
      </c>
      <c r="L881">
        <v>65.38</v>
      </c>
      <c r="M881">
        <v>51</v>
      </c>
      <c r="N881" t="s">
        <v>26</v>
      </c>
      <c r="O881">
        <v>11</v>
      </c>
      <c r="P881">
        <v>473</v>
      </c>
      <c r="Q881" s="27" t="str">
        <f>IF(D881=Pivot!$AS$4,R880, "")</f>
        <v/>
      </c>
      <c r="R881" t="s">
        <v>46</v>
      </c>
      <c r="S881" s="5">
        <v>2.33</v>
      </c>
      <c r="T881">
        <v>92.34</v>
      </c>
      <c r="U881">
        <v>55.57</v>
      </c>
      <c r="V881" s="27">
        <f t="shared" si="52"/>
        <v>66.72</v>
      </c>
      <c r="W881">
        <f t="shared" si="53"/>
        <v>120.94999999999999</v>
      </c>
      <c r="X881" s="33" t="str">
        <f t="shared" si="54"/>
        <v>High Quality</v>
      </c>
      <c r="Y881" s="27" t="str">
        <f t="shared" si="55"/>
        <v>6</v>
      </c>
    </row>
    <row r="882" spans="1:25" x14ac:dyDescent="0.25">
      <c r="A882" s="1">
        <v>45521</v>
      </c>
      <c r="B882" t="s">
        <v>65</v>
      </c>
      <c r="C882">
        <v>3</v>
      </c>
      <c r="D882" t="s">
        <v>79</v>
      </c>
      <c r="E882" t="s">
        <v>37</v>
      </c>
      <c r="F882" t="s">
        <v>68</v>
      </c>
      <c r="G882" t="s">
        <v>39</v>
      </c>
      <c r="H882" t="s">
        <v>25</v>
      </c>
      <c r="I882">
        <v>4</v>
      </c>
      <c r="J882">
        <v>2.58</v>
      </c>
      <c r="K882">
        <v>6</v>
      </c>
      <c r="L882">
        <v>193.84</v>
      </c>
      <c r="M882">
        <v>57</v>
      </c>
      <c r="N882" t="s">
        <v>45</v>
      </c>
      <c r="O882">
        <v>15</v>
      </c>
      <c r="P882">
        <v>625</v>
      </c>
      <c r="Q882" s="27" t="str">
        <f>IF(D882=Pivot!$AS$4,R881, "")</f>
        <v/>
      </c>
      <c r="R882" t="s">
        <v>27</v>
      </c>
      <c r="S882" s="5">
        <v>2.4</v>
      </c>
      <c r="T882">
        <v>91.2</v>
      </c>
      <c r="U882">
        <v>184.15</v>
      </c>
      <c r="V882" s="27">
        <f t="shared" si="52"/>
        <v>61.92</v>
      </c>
      <c r="W882">
        <f t="shared" si="53"/>
        <v>377.99</v>
      </c>
      <c r="X882" s="33" t="str">
        <f t="shared" si="54"/>
        <v>High Quality</v>
      </c>
      <c r="Y882" s="27" t="str">
        <f t="shared" si="55"/>
        <v>4</v>
      </c>
    </row>
    <row r="883" spans="1:25" x14ac:dyDescent="0.25">
      <c r="A883" s="1">
        <v>45495</v>
      </c>
      <c r="B883" t="s">
        <v>35</v>
      </c>
      <c r="C883">
        <v>1</v>
      </c>
      <c r="D883" t="s">
        <v>43</v>
      </c>
      <c r="E883" t="s">
        <v>67</v>
      </c>
      <c r="F883" t="s">
        <v>69</v>
      </c>
      <c r="G883" t="s">
        <v>24</v>
      </c>
      <c r="H883" t="s">
        <v>40</v>
      </c>
      <c r="I883">
        <v>5</v>
      </c>
      <c r="J883">
        <v>18.64</v>
      </c>
      <c r="K883">
        <v>3</v>
      </c>
      <c r="L883">
        <v>414.69</v>
      </c>
      <c r="M883">
        <v>43</v>
      </c>
      <c r="N883" t="s">
        <v>26</v>
      </c>
      <c r="O883">
        <v>10</v>
      </c>
      <c r="P883">
        <v>255</v>
      </c>
      <c r="Q883" s="27" t="str">
        <f>IF(D883=Pivot!$AS$4,R882, "")</f>
        <v/>
      </c>
      <c r="R883" t="s">
        <v>42</v>
      </c>
      <c r="S883" s="5">
        <v>3.92</v>
      </c>
      <c r="T883">
        <v>87.16</v>
      </c>
      <c r="U883">
        <v>297.19</v>
      </c>
      <c r="V883" s="27">
        <f t="shared" si="52"/>
        <v>279.60000000000002</v>
      </c>
      <c r="W883">
        <f t="shared" si="53"/>
        <v>711.88</v>
      </c>
      <c r="X883" s="33" t="str">
        <f t="shared" si="54"/>
        <v>Low Quality</v>
      </c>
      <c r="Y883" s="27" t="str">
        <f t="shared" si="55"/>
        <v>20</v>
      </c>
    </row>
    <row r="884" spans="1:25" x14ac:dyDescent="0.25">
      <c r="A884" s="1">
        <v>45292</v>
      </c>
      <c r="B884" t="s">
        <v>35</v>
      </c>
      <c r="C884">
        <v>1</v>
      </c>
      <c r="D884" t="s">
        <v>36</v>
      </c>
      <c r="E884" t="s">
        <v>51</v>
      </c>
      <c r="F884" t="s">
        <v>69</v>
      </c>
      <c r="G884" t="s">
        <v>52</v>
      </c>
      <c r="H884" t="s">
        <v>48</v>
      </c>
      <c r="I884">
        <v>4</v>
      </c>
      <c r="J884">
        <v>12.02</v>
      </c>
      <c r="K884">
        <v>7</v>
      </c>
      <c r="L884">
        <v>360.37</v>
      </c>
      <c r="M884">
        <v>71</v>
      </c>
      <c r="N884" t="s">
        <v>45</v>
      </c>
      <c r="O884">
        <v>43</v>
      </c>
      <c r="P884">
        <v>641</v>
      </c>
      <c r="Q884" s="27" t="str">
        <f>IF(D884=Pivot!$AS$4,R883, "")</f>
        <v/>
      </c>
      <c r="R884" t="s">
        <v>42</v>
      </c>
      <c r="S884" s="5">
        <v>6.71</v>
      </c>
      <c r="T884">
        <v>82.58</v>
      </c>
      <c r="U884">
        <v>426.44</v>
      </c>
      <c r="V884" s="27">
        <f t="shared" si="52"/>
        <v>336.56</v>
      </c>
      <c r="W884">
        <f t="shared" si="53"/>
        <v>786.81</v>
      </c>
      <c r="X884" s="33" t="str">
        <f t="shared" si="54"/>
        <v>Mid Quality</v>
      </c>
      <c r="Y884" s="27" t="str">
        <f t="shared" si="55"/>
        <v>14</v>
      </c>
    </row>
    <row r="885" spans="1:25" x14ac:dyDescent="0.25">
      <c r="A885" s="1">
        <v>45309</v>
      </c>
      <c r="B885" t="s">
        <v>35</v>
      </c>
      <c r="C885">
        <v>2</v>
      </c>
      <c r="D885" t="s">
        <v>85</v>
      </c>
      <c r="E885" t="s">
        <v>30</v>
      </c>
      <c r="F885" t="s">
        <v>70</v>
      </c>
      <c r="G885" t="s">
        <v>52</v>
      </c>
      <c r="H885" t="s">
        <v>25</v>
      </c>
      <c r="I885">
        <v>5</v>
      </c>
      <c r="J885">
        <v>13.67</v>
      </c>
      <c r="K885">
        <v>6</v>
      </c>
      <c r="L885">
        <v>376.19</v>
      </c>
      <c r="M885">
        <v>70</v>
      </c>
      <c r="N885" t="s">
        <v>55</v>
      </c>
      <c r="O885">
        <v>23</v>
      </c>
      <c r="P885">
        <v>189</v>
      </c>
      <c r="Q885" s="27" t="str">
        <f>IF(D885=Pivot!$AS$4,R884, "")</f>
        <v/>
      </c>
      <c r="R885" t="s">
        <v>34</v>
      </c>
      <c r="S885" s="5">
        <v>12.17</v>
      </c>
      <c r="T885">
        <v>70.66</v>
      </c>
      <c r="U885">
        <v>438.89</v>
      </c>
      <c r="V885" s="27">
        <f t="shared" si="52"/>
        <v>410.1</v>
      </c>
      <c r="W885">
        <f t="shared" si="53"/>
        <v>815.07999999999993</v>
      </c>
      <c r="X885" s="33" t="str">
        <f t="shared" si="54"/>
        <v>Mid Quality</v>
      </c>
      <c r="Y885" s="27" t="str">
        <f t="shared" si="55"/>
        <v>14</v>
      </c>
    </row>
    <row r="886" spans="1:25" x14ac:dyDescent="0.25">
      <c r="A886" s="1">
        <v>45437</v>
      </c>
      <c r="B886" t="s">
        <v>35</v>
      </c>
      <c r="C886">
        <v>3</v>
      </c>
      <c r="D886" t="s">
        <v>79</v>
      </c>
      <c r="E886" t="s">
        <v>30</v>
      </c>
      <c r="F886" t="s">
        <v>68</v>
      </c>
      <c r="G886" t="s">
        <v>52</v>
      </c>
      <c r="H886" t="s">
        <v>40</v>
      </c>
      <c r="I886">
        <v>1</v>
      </c>
      <c r="J886">
        <v>18.32</v>
      </c>
      <c r="K886">
        <v>9</v>
      </c>
      <c r="L886">
        <v>364.15</v>
      </c>
      <c r="M886">
        <v>10</v>
      </c>
      <c r="N886" t="s">
        <v>49</v>
      </c>
      <c r="O886">
        <v>3</v>
      </c>
      <c r="P886">
        <v>778</v>
      </c>
      <c r="Q886" s="27" t="str">
        <f>IF(D886=Pivot!$AS$4,R885, "")</f>
        <v/>
      </c>
      <c r="R886" t="s">
        <v>42</v>
      </c>
      <c r="S886" s="5">
        <v>0.39</v>
      </c>
      <c r="T886">
        <v>98.22</v>
      </c>
      <c r="U886">
        <v>60.69</v>
      </c>
      <c r="V886" s="27">
        <f t="shared" si="52"/>
        <v>164.88</v>
      </c>
      <c r="W886">
        <f t="shared" si="53"/>
        <v>424.84</v>
      </c>
      <c r="X886" s="33" t="str">
        <f t="shared" si="54"/>
        <v>Low Quality</v>
      </c>
      <c r="Y886" s="27" t="str">
        <f t="shared" si="55"/>
        <v>20</v>
      </c>
    </row>
    <row r="887" spans="1:25" x14ac:dyDescent="0.25">
      <c r="A887" s="1">
        <v>45300</v>
      </c>
      <c r="B887" t="s">
        <v>75</v>
      </c>
      <c r="C887">
        <v>3</v>
      </c>
      <c r="D887" t="s">
        <v>91</v>
      </c>
      <c r="E887" t="s">
        <v>37</v>
      </c>
      <c r="F887" t="s">
        <v>56</v>
      </c>
      <c r="G887" t="s">
        <v>60</v>
      </c>
      <c r="H887" t="s">
        <v>61</v>
      </c>
      <c r="I887">
        <v>2</v>
      </c>
      <c r="J887">
        <v>7.57</v>
      </c>
      <c r="K887">
        <v>5</v>
      </c>
      <c r="L887">
        <v>189.94</v>
      </c>
      <c r="M887">
        <v>25</v>
      </c>
      <c r="N887" t="s">
        <v>45</v>
      </c>
      <c r="O887">
        <v>3</v>
      </c>
      <c r="P887">
        <v>450</v>
      </c>
      <c r="Q887" s="27" t="str">
        <f>IF(D887=Pivot!$AS$4,R886, "")</f>
        <v/>
      </c>
      <c r="R887" t="s">
        <v>46</v>
      </c>
      <c r="S887" s="5">
        <v>0.67</v>
      </c>
      <c r="T887">
        <v>96.66</v>
      </c>
      <c r="U887">
        <v>79.14</v>
      </c>
      <c r="V887" s="27">
        <f t="shared" si="52"/>
        <v>75.7</v>
      </c>
      <c r="W887">
        <f t="shared" si="53"/>
        <v>269.08</v>
      </c>
      <c r="X887" s="33" t="str">
        <f t="shared" si="54"/>
        <v>Mid Quality</v>
      </c>
      <c r="Y887" s="27" t="str">
        <f t="shared" si="55"/>
        <v>8</v>
      </c>
    </row>
    <row r="888" spans="1:25" x14ac:dyDescent="0.25">
      <c r="A888" s="1">
        <v>45557</v>
      </c>
      <c r="B888" t="s">
        <v>35</v>
      </c>
      <c r="C888">
        <v>2</v>
      </c>
      <c r="D888" t="s">
        <v>82</v>
      </c>
      <c r="E888" t="s">
        <v>67</v>
      </c>
      <c r="F888" t="s">
        <v>44</v>
      </c>
      <c r="G888" t="s">
        <v>39</v>
      </c>
      <c r="H888" t="s">
        <v>33</v>
      </c>
      <c r="I888">
        <v>4</v>
      </c>
      <c r="J888">
        <v>12.81</v>
      </c>
      <c r="K888">
        <v>4</v>
      </c>
      <c r="L888">
        <v>94.85</v>
      </c>
      <c r="M888">
        <v>77</v>
      </c>
      <c r="N888" t="s">
        <v>55</v>
      </c>
      <c r="O888">
        <v>18</v>
      </c>
      <c r="P888">
        <v>168</v>
      </c>
      <c r="Q888" s="27" t="str">
        <f>IF(D888=Pivot!$AS$4,R887, "")</f>
        <v/>
      </c>
      <c r="R888" t="s">
        <v>42</v>
      </c>
      <c r="S888" s="5">
        <v>10.71</v>
      </c>
      <c r="T888">
        <v>74.58</v>
      </c>
      <c r="U888">
        <v>121.72</v>
      </c>
      <c r="V888" s="27">
        <f t="shared" si="52"/>
        <v>204.96</v>
      </c>
      <c r="W888">
        <f t="shared" si="53"/>
        <v>216.57</v>
      </c>
      <c r="X888" s="33" t="str">
        <f t="shared" si="54"/>
        <v>Mid Quality</v>
      </c>
      <c r="Y888" s="27" t="str">
        <f t="shared" si="55"/>
        <v>14</v>
      </c>
    </row>
    <row r="889" spans="1:25" x14ac:dyDescent="0.25">
      <c r="A889" s="1">
        <v>45361</v>
      </c>
      <c r="B889" t="s">
        <v>65</v>
      </c>
      <c r="C889">
        <v>1</v>
      </c>
      <c r="D889" t="s">
        <v>21</v>
      </c>
      <c r="E889" t="s">
        <v>67</v>
      </c>
      <c r="F889" t="s">
        <v>44</v>
      </c>
      <c r="G889" t="s">
        <v>60</v>
      </c>
      <c r="H889" t="s">
        <v>48</v>
      </c>
      <c r="I889">
        <v>4</v>
      </c>
      <c r="J889">
        <v>1.74</v>
      </c>
      <c r="K889">
        <v>3</v>
      </c>
      <c r="L889">
        <v>172.61</v>
      </c>
      <c r="M889">
        <v>78</v>
      </c>
      <c r="N889" t="s">
        <v>26</v>
      </c>
      <c r="O889">
        <v>25</v>
      </c>
      <c r="P889">
        <v>262</v>
      </c>
      <c r="Q889" s="27" t="str">
        <f>IF(D889=Pivot!$AS$4,R888, "")</f>
        <v/>
      </c>
      <c r="R889" t="s">
        <v>27</v>
      </c>
      <c r="S889" s="5">
        <v>9.5399999999999991</v>
      </c>
      <c r="T889">
        <v>76.92</v>
      </c>
      <c r="U889">
        <v>224.39</v>
      </c>
      <c r="V889" s="27">
        <f t="shared" si="52"/>
        <v>20.88</v>
      </c>
      <c r="W889">
        <f t="shared" si="53"/>
        <v>397</v>
      </c>
      <c r="X889" s="33" t="str">
        <f t="shared" si="54"/>
        <v>High Quality</v>
      </c>
      <c r="Y889" s="27" t="str">
        <f t="shared" si="55"/>
        <v>2</v>
      </c>
    </row>
    <row r="890" spans="1:25" x14ac:dyDescent="0.25">
      <c r="A890" s="1">
        <v>45446</v>
      </c>
      <c r="B890" t="s">
        <v>20</v>
      </c>
      <c r="C890">
        <v>1</v>
      </c>
      <c r="D890" t="s">
        <v>47</v>
      </c>
      <c r="E890" t="s">
        <v>37</v>
      </c>
      <c r="F890" t="s">
        <v>23</v>
      </c>
      <c r="G890" t="s">
        <v>32</v>
      </c>
      <c r="H890" t="s">
        <v>48</v>
      </c>
      <c r="I890">
        <v>2</v>
      </c>
      <c r="J890">
        <v>4.55</v>
      </c>
      <c r="K890">
        <v>1</v>
      </c>
      <c r="L890">
        <v>424.3</v>
      </c>
      <c r="M890">
        <v>40</v>
      </c>
      <c r="N890" t="s">
        <v>55</v>
      </c>
      <c r="O890">
        <v>43</v>
      </c>
      <c r="P890">
        <v>341</v>
      </c>
      <c r="Q890" s="27" t="str">
        <f>IF(D890=Pivot!$AS$4,R889, "")</f>
        <v/>
      </c>
      <c r="R890" t="s">
        <v>42</v>
      </c>
      <c r="S890" s="5">
        <v>12.61</v>
      </c>
      <c r="T890">
        <v>72.78</v>
      </c>
      <c r="U890">
        <v>282.87</v>
      </c>
      <c r="V890" s="27">
        <f t="shared" si="52"/>
        <v>9.1</v>
      </c>
      <c r="W890">
        <f t="shared" si="53"/>
        <v>707.17000000000007</v>
      </c>
      <c r="X890" s="33" t="str">
        <f t="shared" si="54"/>
        <v>High Quality</v>
      </c>
      <c r="Y890" s="27" t="str">
        <f t="shared" si="55"/>
        <v>6</v>
      </c>
    </row>
    <row r="891" spans="1:25" x14ac:dyDescent="0.25">
      <c r="A891" s="1">
        <v>45295</v>
      </c>
      <c r="B891" t="s">
        <v>20</v>
      </c>
      <c r="C891">
        <v>1</v>
      </c>
      <c r="D891" t="s">
        <v>29</v>
      </c>
      <c r="E891" t="s">
        <v>67</v>
      </c>
      <c r="F891" t="s">
        <v>70</v>
      </c>
      <c r="G891" t="s">
        <v>24</v>
      </c>
      <c r="H891" t="s">
        <v>48</v>
      </c>
      <c r="I891">
        <v>4</v>
      </c>
      <c r="J891">
        <v>16.79</v>
      </c>
      <c r="K891">
        <v>3</v>
      </c>
      <c r="L891">
        <v>491.21</v>
      </c>
      <c r="M891">
        <v>7</v>
      </c>
      <c r="N891" t="s">
        <v>26</v>
      </c>
      <c r="O891">
        <v>20</v>
      </c>
      <c r="P891">
        <v>594</v>
      </c>
      <c r="Q891" s="27" t="str">
        <f>IF(D891=Pivot!$AS$4,R890, "")</f>
        <v/>
      </c>
      <c r="R891" t="s">
        <v>46</v>
      </c>
      <c r="S891" s="5">
        <v>3.37</v>
      </c>
      <c r="T891">
        <v>89.26</v>
      </c>
      <c r="U891">
        <v>57.31</v>
      </c>
      <c r="V891" s="27">
        <f t="shared" si="52"/>
        <v>201.48</v>
      </c>
      <c r="W891">
        <f t="shared" si="53"/>
        <v>548.52</v>
      </c>
      <c r="X891" s="33" t="str">
        <f t="shared" si="54"/>
        <v>Low Quality</v>
      </c>
      <c r="Y891" s="27" t="str">
        <f t="shared" si="55"/>
        <v>18</v>
      </c>
    </row>
    <row r="892" spans="1:25" x14ac:dyDescent="0.25">
      <c r="A892" s="1">
        <v>45445</v>
      </c>
      <c r="B892" t="s">
        <v>75</v>
      </c>
      <c r="C892">
        <v>1</v>
      </c>
      <c r="D892" t="s">
        <v>74</v>
      </c>
      <c r="E892" t="s">
        <v>22</v>
      </c>
      <c r="F892" t="s">
        <v>68</v>
      </c>
      <c r="G892" t="s">
        <v>24</v>
      </c>
      <c r="H892" t="s">
        <v>33</v>
      </c>
      <c r="I892">
        <v>4</v>
      </c>
      <c r="J892">
        <v>15.57</v>
      </c>
      <c r="K892">
        <v>3</v>
      </c>
      <c r="L892">
        <v>272.23</v>
      </c>
      <c r="M892">
        <v>82</v>
      </c>
      <c r="N892" t="s">
        <v>55</v>
      </c>
      <c r="O892">
        <v>29</v>
      </c>
      <c r="P892">
        <v>482</v>
      </c>
      <c r="Q892" s="27" t="str">
        <f>IF(D892=Pivot!$AS$4,R891, "")</f>
        <v/>
      </c>
      <c r="R892" t="s">
        <v>27</v>
      </c>
      <c r="S892" s="5">
        <v>6.02</v>
      </c>
      <c r="T892">
        <v>83.96</v>
      </c>
      <c r="U892">
        <v>372.05</v>
      </c>
      <c r="V892" s="27">
        <f t="shared" si="52"/>
        <v>186.84</v>
      </c>
      <c r="W892">
        <f t="shared" si="53"/>
        <v>644.28</v>
      </c>
      <c r="X892" s="33" t="str">
        <f t="shared" si="54"/>
        <v>Low Quality</v>
      </c>
      <c r="Y892" s="27" t="str">
        <f t="shared" si="55"/>
        <v>16</v>
      </c>
    </row>
    <row r="893" spans="1:25" x14ac:dyDescent="0.25">
      <c r="A893" s="1">
        <v>45405</v>
      </c>
      <c r="B893" t="s">
        <v>35</v>
      </c>
      <c r="C893">
        <v>3</v>
      </c>
      <c r="D893" t="s">
        <v>43</v>
      </c>
      <c r="E893" t="s">
        <v>51</v>
      </c>
      <c r="F893" t="s">
        <v>54</v>
      </c>
      <c r="G893" t="s">
        <v>52</v>
      </c>
      <c r="H893" t="s">
        <v>40</v>
      </c>
      <c r="I893">
        <v>5</v>
      </c>
      <c r="J893">
        <v>7.66</v>
      </c>
      <c r="K893">
        <v>7</v>
      </c>
      <c r="L893">
        <v>54.37</v>
      </c>
      <c r="M893">
        <v>46</v>
      </c>
      <c r="N893" t="s">
        <v>49</v>
      </c>
      <c r="O893">
        <v>22</v>
      </c>
      <c r="P893">
        <v>151</v>
      </c>
      <c r="Q893" s="27" t="str">
        <f>IF(D893=Pivot!$AS$4,R892, "")</f>
        <v/>
      </c>
      <c r="R893" t="s">
        <v>34</v>
      </c>
      <c r="S893" s="5">
        <v>14.57</v>
      </c>
      <c r="T893">
        <v>65.86</v>
      </c>
      <c r="U893">
        <v>41.68</v>
      </c>
      <c r="V893" s="27">
        <f t="shared" si="52"/>
        <v>268.10000000000002</v>
      </c>
      <c r="W893">
        <f t="shared" si="53"/>
        <v>96.05</v>
      </c>
      <c r="X893" s="33" t="str">
        <f t="shared" si="54"/>
        <v>Mid Quality</v>
      </c>
      <c r="Y893" s="27" t="str">
        <f t="shared" si="55"/>
        <v>8</v>
      </c>
    </row>
    <row r="894" spans="1:25" x14ac:dyDescent="0.25">
      <c r="A894" s="1">
        <v>45401</v>
      </c>
      <c r="B894" t="s">
        <v>35</v>
      </c>
      <c r="C894">
        <v>3</v>
      </c>
      <c r="D894" t="s">
        <v>74</v>
      </c>
      <c r="E894" t="s">
        <v>30</v>
      </c>
      <c r="F894" t="s">
        <v>86</v>
      </c>
      <c r="G894" t="s">
        <v>52</v>
      </c>
      <c r="H894" t="s">
        <v>25</v>
      </c>
      <c r="I894">
        <v>5</v>
      </c>
      <c r="J894">
        <v>8.16</v>
      </c>
      <c r="K894">
        <v>7</v>
      </c>
      <c r="L894">
        <v>113.02</v>
      </c>
      <c r="M894">
        <v>49</v>
      </c>
      <c r="N894" t="s">
        <v>45</v>
      </c>
      <c r="O894">
        <v>15</v>
      </c>
      <c r="P894">
        <v>753</v>
      </c>
      <c r="Q894" s="27" t="str">
        <f>IF(D894=Pivot!$AS$4,R893, "")</f>
        <v/>
      </c>
      <c r="R894" t="s">
        <v>34</v>
      </c>
      <c r="S894" s="5">
        <v>1.99</v>
      </c>
      <c r="T894">
        <v>91.02</v>
      </c>
      <c r="U894">
        <v>92.3</v>
      </c>
      <c r="V894" s="27">
        <f t="shared" si="52"/>
        <v>285.60000000000002</v>
      </c>
      <c r="W894">
        <f t="shared" si="53"/>
        <v>205.32</v>
      </c>
      <c r="X894" s="33" t="str">
        <f t="shared" si="54"/>
        <v>Mid Quality</v>
      </c>
      <c r="Y894" s="27" t="str">
        <f t="shared" si="55"/>
        <v>10</v>
      </c>
    </row>
    <row r="895" spans="1:25" x14ac:dyDescent="0.25">
      <c r="A895" s="1">
        <v>45453</v>
      </c>
      <c r="B895" t="s">
        <v>35</v>
      </c>
      <c r="C895">
        <v>2</v>
      </c>
      <c r="D895" t="s">
        <v>77</v>
      </c>
      <c r="E895" t="s">
        <v>51</v>
      </c>
      <c r="F895" t="s">
        <v>70</v>
      </c>
      <c r="G895" t="s">
        <v>52</v>
      </c>
      <c r="H895" t="s">
        <v>40</v>
      </c>
      <c r="I895">
        <v>2</v>
      </c>
      <c r="J895">
        <v>11.14</v>
      </c>
      <c r="K895">
        <v>1</v>
      </c>
      <c r="L895">
        <v>194.94</v>
      </c>
      <c r="M895">
        <v>48</v>
      </c>
      <c r="N895" t="s">
        <v>49</v>
      </c>
      <c r="O895">
        <v>39</v>
      </c>
      <c r="P895">
        <v>162</v>
      </c>
      <c r="Q895" s="27" t="str">
        <f>IF(D895=Pivot!$AS$4,R894, "")</f>
        <v/>
      </c>
      <c r="R895" t="s">
        <v>34</v>
      </c>
      <c r="S895" s="5">
        <v>24.07</v>
      </c>
      <c r="T895">
        <v>49.86</v>
      </c>
      <c r="U895">
        <v>155.94999999999999</v>
      </c>
      <c r="V895" s="27">
        <f t="shared" si="52"/>
        <v>22.28</v>
      </c>
      <c r="W895">
        <f t="shared" si="53"/>
        <v>350.89</v>
      </c>
      <c r="X895" s="33" t="str">
        <f t="shared" si="54"/>
        <v>Mid Quality</v>
      </c>
      <c r="Y895" s="27" t="str">
        <f t="shared" si="55"/>
        <v>12</v>
      </c>
    </row>
    <row r="896" spans="1:25" x14ac:dyDescent="0.25">
      <c r="A896" s="1">
        <v>45303</v>
      </c>
      <c r="B896" t="s">
        <v>28</v>
      </c>
      <c r="C896">
        <v>2</v>
      </c>
      <c r="D896" t="s">
        <v>74</v>
      </c>
      <c r="E896" t="s">
        <v>30</v>
      </c>
      <c r="F896" t="s">
        <v>89</v>
      </c>
      <c r="G896" t="s">
        <v>39</v>
      </c>
      <c r="H896" t="s">
        <v>25</v>
      </c>
      <c r="I896">
        <v>1</v>
      </c>
      <c r="J896">
        <v>1</v>
      </c>
      <c r="K896">
        <v>3</v>
      </c>
      <c r="L896">
        <v>310.36</v>
      </c>
      <c r="M896">
        <v>37</v>
      </c>
      <c r="N896" t="s">
        <v>63</v>
      </c>
      <c r="O896">
        <v>10</v>
      </c>
      <c r="P896">
        <v>608</v>
      </c>
      <c r="Q896" s="27" t="str">
        <f>IF(D896=Pivot!$AS$4,R895, "")</f>
        <v/>
      </c>
      <c r="R896" t="s">
        <v>27</v>
      </c>
      <c r="S896" s="5">
        <v>1.64</v>
      </c>
      <c r="T896">
        <v>95.72</v>
      </c>
      <c r="U896">
        <v>191.39</v>
      </c>
      <c r="V896" s="27">
        <f t="shared" si="52"/>
        <v>3</v>
      </c>
      <c r="W896">
        <f t="shared" si="53"/>
        <v>501.75</v>
      </c>
      <c r="X896" s="33" t="str">
        <f t="shared" si="54"/>
        <v>High Quality</v>
      </c>
      <c r="Y896" s="27" t="str">
        <f t="shared" si="55"/>
        <v>2</v>
      </c>
    </row>
    <row r="897" spans="1:25" x14ac:dyDescent="0.25">
      <c r="A897" s="1">
        <v>45433</v>
      </c>
      <c r="B897" t="s">
        <v>50</v>
      </c>
      <c r="C897">
        <v>3</v>
      </c>
      <c r="D897" t="s">
        <v>83</v>
      </c>
      <c r="E897" t="s">
        <v>22</v>
      </c>
      <c r="F897" t="s">
        <v>54</v>
      </c>
      <c r="G897" t="s">
        <v>32</v>
      </c>
      <c r="H897" t="s">
        <v>48</v>
      </c>
      <c r="I897">
        <v>4</v>
      </c>
      <c r="J897">
        <v>5.58</v>
      </c>
      <c r="K897">
        <v>8</v>
      </c>
      <c r="L897">
        <v>83.79</v>
      </c>
      <c r="M897">
        <v>64</v>
      </c>
      <c r="N897" t="s">
        <v>26</v>
      </c>
      <c r="O897">
        <v>21</v>
      </c>
      <c r="P897">
        <v>391</v>
      </c>
      <c r="Q897" s="27" t="str">
        <f>IF(D897=Pivot!$AS$4,R896, "")</f>
        <v/>
      </c>
      <c r="R897" t="s">
        <v>34</v>
      </c>
      <c r="S897" s="5">
        <v>5.37</v>
      </c>
      <c r="T897">
        <v>85.26</v>
      </c>
      <c r="U897">
        <v>89.38</v>
      </c>
      <c r="V897" s="27">
        <f t="shared" si="52"/>
        <v>178.56</v>
      </c>
      <c r="W897">
        <f t="shared" si="53"/>
        <v>173.17000000000002</v>
      </c>
      <c r="X897" s="33" t="str">
        <f t="shared" si="54"/>
        <v>High Quality</v>
      </c>
      <c r="Y897" s="27" t="str">
        <f t="shared" si="55"/>
        <v>6</v>
      </c>
    </row>
    <row r="898" spans="1:25" x14ac:dyDescent="0.25">
      <c r="A898" s="1">
        <v>45575</v>
      </c>
      <c r="B898" t="s">
        <v>28</v>
      </c>
      <c r="C898">
        <v>3</v>
      </c>
      <c r="D898" t="s">
        <v>58</v>
      </c>
      <c r="E898" t="s">
        <v>67</v>
      </c>
      <c r="F898" t="s">
        <v>54</v>
      </c>
      <c r="G898" t="s">
        <v>32</v>
      </c>
      <c r="H898" t="s">
        <v>40</v>
      </c>
      <c r="I898">
        <v>1</v>
      </c>
      <c r="J898">
        <v>4.96</v>
      </c>
      <c r="K898">
        <v>9</v>
      </c>
      <c r="L898">
        <v>474.51</v>
      </c>
      <c r="M898">
        <v>87</v>
      </c>
      <c r="N898" t="s">
        <v>45</v>
      </c>
      <c r="O898">
        <v>29</v>
      </c>
      <c r="P898">
        <v>190</v>
      </c>
      <c r="Q898" s="27" t="str">
        <f>IF(D898=Pivot!$AS$4,R897, "")</f>
        <v/>
      </c>
      <c r="R898" t="s">
        <v>42</v>
      </c>
      <c r="S898" s="5">
        <v>15.26</v>
      </c>
      <c r="T898">
        <v>68.48</v>
      </c>
      <c r="U898">
        <v>688.04</v>
      </c>
      <c r="V898" s="27">
        <f t="shared" ref="V898:V961" si="56">K898*I898*J898</f>
        <v>44.64</v>
      </c>
      <c r="W898">
        <f t="shared" ref="W898:W961" si="57">U898+L898</f>
        <v>1162.55</v>
      </c>
      <c r="X898" s="33" t="str">
        <f t="shared" ref="X898:X961" si="58">_xlfn.IFS(J898&lt;6,"High Quality",J898&lt;=15,"Mid Quality",J898&gt;15,"Low Quality")</f>
        <v>High Quality</v>
      </c>
      <c r="Y898" s="27" t="str">
        <f t="shared" ref="Y898:Y961" si="59">_xlfn.IFS(J898&lt;=0,"0",J898&lt;=2,"2",J898&lt;=4,"4",J898&lt;=6,"6",J898&lt;=8,"8",J898&lt;=10,"10",J898&lt;=12,"12",J898&lt;=14,"14",J898&lt;=16,"16",J898&lt;=16,"16",J898&lt;=18,"18",J898&lt;=20,"20")</f>
        <v>6</v>
      </c>
    </row>
    <row r="899" spans="1:25" x14ac:dyDescent="0.25">
      <c r="A899" s="1">
        <v>45553</v>
      </c>
      <c r="B899" t="s">
        <v>50</v>
      </c>
      <c r="C899">
        <v>1</v>
      </c>
      <c r="D899" t="s">
        <v>58</v>
      </c>
      <c r="E899" t="s">
        <v>37</v>
      </c>
      <c r="F899" t="s">
        <v>23</v>
      </c>
      <c r="G899" t="s">
        <v>32</v>
      </c>
      <c r="H899" t="s">
        <v>48</v>
      </c>
      <c r="I899">
        <v>2</v>
      </c>
      <c r="J899">
        <v>5.76</v>
      </c>
      <c r="K899">
        <v>7</v>
      </c>
      <c r="L899">
        <v>214.29</v>
      </c>
      <c r="M899">
        <v>87</v>
      </c>
      <c r="N899" t="s">
        <v>49</v>
      </c>
      <c r="O899">
        <v>32</v>
      </c>
      <c r="P899">
        <v>763</v>
      </c>
      <c r="Q899" s="27" t="str">
        <f>IF(D899=Pivot!$AS$4,R898, "")</f>
        <v/>
      </c>
      <c r="R899" t="s">
        <v>27</v>
      </c>
      <c r="S899" s="5">
        <v>4.1900000000000004</v>
      </c>
      <c r="T899">
        <v>89.62</v>
      </c>
      <c r="U899">
        <v>310.72000000000003</v>
      </c>
      <c r="V899" s="27">
        <f t="shared" si="56"/>
        <v>80.64</v>
      </c>
      <c r="W899">
        <f t="shared" si="57"/>
        <v>525.01</v>
      </c>
      <c r="X899" s="33" t="str">
        <f t="shared" si="58"/>
        <v>High Quality</v>
      </c>
      <c r="Y899" s="27" t="str">
        <f t="shared" si="59"/>
        <v>6</v>
      </c>
    </row>
    <row r="900" spans="1:25" x14ac:dyDescent="0.25">
      <c r="A900" s="1">
        <v>45576</v>
      </c>
      <c r="B900" t="s">
        <v>35</v>
      </c>
      <c r="C900">
        <v>1</v>
      </c>
      <c r="D900" t="s">
        <v>47</v>
      </c>
      <c r="E900" t="s">
        <v>22</v>
      </c>
      <c r="F900" t="s">
        <v>70</v>
      </c>
      <c r="G900" t="s">
        <v>32</v>
      </c>
      <c r="H900" t="s">
        <v>61</v>
      </c>
      <c r="I900">
        <v>2</v>
      </c>
      <c r="J900">
        <v>16.309999999999999</v>
      </c>
      <c r="K900">
        <v>7</v>
      </c>
      <c r="L900">
        <v>460.66</v>
      </c>
      <c r="M900">
        <v>74</v>
      </c>
      <c r="N900" t="s">
        <v>45</v>
      </c>
      <c r="O900">
        <v>10</v>
      </c>
      <c r="P900">
        <v>523</v>
      </c>
      <c r="Q900" s="27" t="str">
        <f>IF(D900=Pivot!$AS$4,R899, "")</f>
        <v/>
      </c>
      <c r="R900" t="s">
        <v>27</v>
      </c>
      <c r="S900" s="5">
        <v>1.91</v>
      </c>
      <c r="T900">
        <v>94.18</v>
      </c>
      <c r="U900">
        <v>568.15</v>
      </c>
      <c r="V900" s="27">
        <f t="shared" si="56"/>
        <v>228.33999999999997</v>
      </c>
      <c r="W900">
        <f t="shared" si="57"/>
        <v>1028.81</v>
      </c>
      <c r="X900" s="33" t="str">
        <f t="shared" si="58"/>
        <v>Low Quality</v>
      </c>
      <c r="Y900" s="27" t="str">
        <f t="shared" si="59"/>
        <v>18</v>
      </c>
    </row>
    <row r="901" spans="1:25" x14ac:dyDescent="0.25">
      <c r="A901" s="1">
        <v>45584</v>
      </c>
      <c r="B901" t="s">
        <v>35</v>
      </c>
      <c r="C901">
        <v>2</v>
      </c>
      <c r="D901" t="s">
        <v>76</v>
      </c>
      <c r="E901" t="s">
        <v>51</v>
      </c>
      <c r="F901" t="s">
        <v>78</v>
      </c>
      <c r="G901" t="s">
        <v>52</v>
      </c>
      <c r="H901" t="s">
        <v>48</v>
      </c>
      <c r="I901">
        <v>5</v>
      </c>
      <c r="J901">
        <v>6.31</v>
      </c>
      <c r="K901">
        <v>8</v>
      </c>
      <c r="L901">
        <v>401.23</v>
      </c>
      <c r="M901">
        <v>87</v>
      </c>
      <c r="N901" t="s">
        <v>63</v>
      </c>
      <c r="O901">
        <v>13</v>
      </c>
      <c r="P901">
        <v>768</v>
      </c>
      <c r="Q901" s="27" t="str">
        <f>IF(D901=Pivot!$AS$4,R900, "")</f>
        <v/>
      </c>
      <c r="R901" t="s">
        <v>27</v>
      </c>
      <c r="S901" s="5">
        <v>1.69</v>
      </c>
      <c r="T901">
        <v>91.62</v>
      </c>
      <c r="U901">
        <v>581.78</v>
      </c>
      <c r="V901" s="27">
        <f t="shared" si="56"/>
        <v>252.39999999999998</v>
      </c>
      <c r="W901">
        <f t="shared" si="57"/>
        <v>983.01</v>
      </c>
      <c r="X901" s="33" t="str">
        <f t="shared" si="58"/>
        <v>Mid Quality</v>
      </c>
      <c r="Y901" s="27" t="str">
        <f t="shared" si="59"/>
        <v>8</v>
      </c>
    </row>
    <row r="902" spans="1:25" x14ac:dyDescent="0.25">
      <c r="A902" s="1">
        <v>45584</v>
      </c>
      <c r="B902" t="s">
        <v>28</v>
      </c>
      <c r="C902">
        <v>3</v>
      </c>
      <c r="D902" t="s">
        <v>80</v>
      </c>
      <c r="E902" t="s">
        <v>37</v>
      </c>
      <c r="F902" t="s">
        <v>38</v>
      </c>
      <c r="G902" t="s">
        <v>24</v>
      </c>
      <c r="H902" t="s">
        <v>48</v>
      </c>
      <c r="I902">
        <v>4</v>
      </c>
      <c r="J902">
        <v>4.6399999999999997</v>
      </c>
      <c r="K902">
        <v>6</v>
      </c>
      <c r="L902">
        <v>389.95</v>
      </c>
      <c r="M902">
        <v>81</v>
      </c>
      <c r="N902" t="s">
        <v>41</v>
      </c>
      <c r="O902">
        <v>47</v>
      </c>
      <c r="P902">
        <v>920</v>
      </c>
      <c r="Q902" s="27" t="str">
        <f>IF(D902=Pivot!$AS$4,R901, "")</f>
        <v>Kontrol tekrarlandı</v>
      </c>
      <c r="R902" t="s">
        <v>57</v>
      </c>
      <c r="S902" s="5">
        <v>5.1100000000000003</v>
      </c>
      <c r="T902">
        <v>85.78</v>
      </c>
      <c r="U902">
        <v>526.42999999999995</v>
      </c>
      <c r="V902" s="27">
        <f t="shared" si="56"/>
        <v>111.35999999999999</v>
      </c>
      <c r="W902">
        <f t="shared" si="57"/>
        <v>916.37999999999988</v>
      </c>
      <c r="X902" s="33" t="str">
        <f t="shared" si="58"/>
        <v>High Quality</v>
      </c>
      <c r="Y902" s="27" t="str">
        <f t="shared" si="59"/>
        <v>6</v>
      </c>
    </row>
    <row r="903" spans="1:25" x14ac:dyDescent="0.25">
      <c r="A903" s="1">
        <v>45371</v>
      </c>
      <c r="B903" t="s">
        <v>28</v>
      </c>
      <c r="C903">
        <v>2</v>
      </c>
      <c r="D903" t="s">
        <v>43</v>
      </c>
      <c r="E903" t="s">
        <v>67</v>
      </c>
      <c r="F903" t="s">
        <v>68</v>
      </c>
      <c r="G903" t="s">
        <v>52</v>
      </c>
      <c r="H903" t="s">
        <v>25</v>
      </c>
      <c r="I903">
        <v>3</v>
      </c>
      <c r="J903">
        <v>10.58</v>
      </c>
      <c r="K903">
        <v>3</v>
      </c>
      <c r="L903">
        <v>323.02</v>
      </c>
      <c r="M903">
        <v>30</v>
      </c>
      <c r="N903" t="s">
        <v>26</v>
      </c>
      <c r="O903">
        <v>23</v>
      </c>
      <c r="P903">
        <v>464</v>
      </c>
      <c r="Q903" s="27" t="str">
        <f>IF(D903=Pivot!$AS$4,R902, "")</f>
        <v/>
      </c>
      <c r="R903" t="s">
        <v>46</v>
      </c>
      <c r="S903" s="5">
        <v>4.96</v>
      </c>
      <c r="T903">
        <v>87.08</v>
      </c>
      <c r="U903">
        <v>161.51</v>
      </c>
      <c r="V903" s="27">
        <f t="shared" si="56"/>
        <v>95.22</v>
      </c>
      <c r="W903">
        <f t="shared" si="57"/>
        <v>484.53</v>
      </c>
      <c r="X903" s="33" t="str">
        <f t="shared" si="58"/>
        <v>Mid Quality</v>
      </c>
      <c r="Y903" s="27" t="str">
        <f t="shared" si="59"/>
        <v>12</v>
      </c>
    </row>
    <row r="904" spans="1:25" x14ac:dyDescent="0.25">
      <c r="A904" s="1">
        <v>45340</v>
      </c>
      <c r="B904" t="s">
        <v>50</v>
      </c>
      <c r="C904">
        <v>3</v>
      </c>
      <c r="D904" t="s">
        <v>64</v>
      </c>
      <c r="E904" t="s">
        <v>22</v>
      </c>
      <c r="F904" t="s">
        <v>87</v>
      </c>
      <c r="G904" t="s">
        <v>32</v>
      </c>
      <c r="H904" t="s">
        <v>61</v>
      </c>
      <c r="I904">
        <v>2</v>
      </c>
      <c r="J904">
        <v>17.45</v>
      </c>
      <c r="K904">
        <v>1</v>
      </c>
      <c r="L904">
        <v>332.05</v>
      </c>
      <c r="M904">
        <v>25</v>
      </c>
      <c r="N904" t="s">
        <v>26</v>
      </c>
      <c r="O904">
        <v>23</v>
      </c>
      <c r="P904">
        <v>249</v>
      </c>
      <c r="Q904" s="27" t="str">
        <f>IF(D904=Pivot!$AS$4,R903, "")</f>
        <v/>
      </c>
      <c r="R904" t="s">
        <v>57</v>
      </c>
      <c r="S904" s="5">
        <v>9.24</v>
      </c>
      <c r="T904">
        <v>79.52</v>
      </c>
      <c r="U904">
        <v>138.35</v>
      </c>
      <c r="V904" s="27">
        <f t="shared" si="56"/>
        <v>34.9</v>
      </c>
      <c r="W904">
        <f t="shared" si="57"/>
        <v>470.4</v>
      </c>
      <c r="X904" s="33" t="str">
        <f t="shared" si="58"/>
        <v>Low Quality</v>
      </c>
      <c r="Y904" s="27" t="str">
        <f t="shared" si="59"/>
        <v>18</v>
      </c>
    </row>
    <row r="905" spans="1:25" x14ac:dyDescent="0.25">
      <c r="A905" s="1">
        <v>45311</v>
      </c>
      <c r="B905" t="s">
        <v>20</v>
      </c>
      <c r="C905">
        <v>1</v>
      </c>
      <c r="D905" t="s">
        <v>21</v>
      </c>
      <c r="E905" t="s">
        <v>37</v>
      </c>
      <c r="F905" t="s">
        <v>59</v>
      </c>
      <c r="G905" t="s">
        <v>52</v>
      </c>
      <c r="H905" t="s">
        <v>48</v>
      </c>
      <c r="I905">
        <v>4</v>
      </c>
      <c r="J905">
        <v>5.59</v>
      </c>
      <c r="K905">
        <v>7</v>
      </c>
      <c r="L905">
        <v>337.1</v>
      </c>
      <c r="M905">
        <v>6</v>
      </c>
      <c r="N905" t="s">
        <v>55</v>
      </c>
      <c r="O905">
        <v>31</v>
      </c>
      <c r="P905">
        <v>939</v>
      </c>
      <c r="Q905" s="27" t="str">
        <f>IF(D905=Pivot!$AS$4,R904, "")</f>
        <v/>
      </c>
      <c r="R905" t="s">
        <v>57</v>
      </c>
      <c r="S905" s="5">
        <v>3.3</v>
      </c>
      <c r="T905">
        <v>89.4</v>
      </c>
      <c r="U905">
        <v>33.71</v>
      </c>
      <c r="V905" s="27">
        <f t="shared" si="56"/>
        <v>156.51999999999998</v>
      </c>
      <c r="W905">
        <f t="shared" si="57"/>
        <v>370.81</v>
      </c>
      <c r="X905" s="33" t="str">
        <f t="shared" si="58"/>
        <v>High Quality</v>
      </c>
      <c r="Y905" s="27" t="str">
        <f t="shared" si="59"/>
        <v>6</v>
      </c>
    </row>
    <row r="906" spans="1:25" x14ac:dyDescent="0.25">
      <c r="A906" s="1">
        <v>45527</v>
      </c>
      <c r="B906" t="s">
        <v>50</v>
      </c>
      <c r="C906">
        <v>2</v>
      </c>
      <c r="D906" t="s">
        <v>82</v>
      </c>
      <c r="E906" t="s">
        <v>22</v>
      </c>
      <c r="F906" t="s">
        <v>86</v>
      </c>
      <c r="G906" t="s">
        <v>32</v>
      </c>
      <c r="H906" t="s">
        <v>48</v>
      </c>
      <c r="I906">
        <v>1</v>
      </c>
      <c r="J906">
        <v>2.4900000000000002</v>
      </c>
      <c r="K906">
        <v>1</v>
      </c>
      <c r="L906">
        <v>332.92</v>
      </c>
      <c r="M906">
        <v>51</v>
      </c>
      <c r="N906" t="s">
        <v>26</v>
      </c>
      <c r="O906">
        <v>4</v>
      </c>
      <c r="P906">
        <v>370</v>
      </c>
      <c r="Q906" s="27" t="str">
        <f>IF(D906=Pivot!$AS$4,R905, "")</f>
        <v/>
      </c>
      <c r="R906" t="s">
        <v>57</v>
      </c>
      <c r="S906" s="5">
        <v>1.08</v>
      </c>
      <c r="T906">
        <v>96.84</v>
      </c>
      <c r="U906">
        <v>282.98</v>
      </c>
      <c r="V906" s="27">
        <f t="shared" si="56"/>
        <v>2.4900000000000002</v>
      </c>
      <c r="W906">
        <f t="shared" si="57"/>
        <v>615.90000000000009</v>
      </c>
      <c r="X906" s="33" t="str">
        <f t="shared" si="58"/>
        <v>High Quality</v>
      </c>
      <c r="Y906" s="27" t="str">
        <f t="shared" si="59"/>
        <v>4</v>
      </c>
    </row>
    <row r="907" spans="1:25" x14ac:dyDescent="0.25">
      <c r="A907" s="1">
        <v>45474</v>
      </c>
      <c r="B907" t="s">
        <v>28</v>
      </c>
      <c r="C907">
        <v>2</v>
      </c>
      <c r="D907" t="s">
        <v>80</v>
      </c>
      <c r="E907" t="s">
        <v>22</v>
      </c>
      <c r="F907" t="s">
        <v>68</v>
      </c>
      <c r="G907" t="s">
        <v>60</v>
      </c>
      <c r="H907" t="s">
        <v>61</v>
      </c>
      <c r="I907">
        <v>5</v>
      </c>
      <c r="J907">
        <v>7.77</v>
      </c>
      <c r="K907">
        <v>1</v>
      </c>
      <c r="L907">
        <v>299.18</v>
      </c>
      <c r="M907">
        <v>34</v>
      </c>
      <c r="N907" t="s">
        <v>26</v>
      </c>
      <c r="O907">
        <v>49</v>
      </c>
      <c r="P907">
        <v>980</v>
      </c>
      <c r="Q907" s="27" t="str">
        <f>IF(D907=Pivot!$AS$4,R906, "")</f>
        <v>Rutin kontrol</v>
      </c>
      <c r="R907" t="s">
        <v>46</v>
      </c>
      <c r="S907" s="5">
        <v>5</v>
      </c>
      <c r="T907">
        <v>85</v>
      </c>
      <c r="U907">
        <v>169.54</v>
      </c>
      <c r="V907" s="27">
        <f t="shared" si="56"/>
        <v>38.849999999999994</v>
      </c>
      <c r="W907">
        <f t="shared" si="57"/>
        <v>468.72</v>
      </c>
      <c r="X907" s="33" t="str">
        <f t="shared" si="58"/>
        <v>Mid Quality</v>
      </c>
      <c r="Y907" s="27" t="str">
        <f t="shared" si="59"/>
        <v>8</v>
      </c>
    </row>
    <row r="908" spans="1:25" x14ac:dyDescent="0.25">
      <c r="A908" s="1">
        <v>45371</v>
      </c>
      <c r="B908" t="s">
        <v>65</v>
      </c>
      <c r="C908">
        <v>3</v>
      </c>
      <c r="D908" t="s">
        <v>83</v>
      </c>
      <c r="E908" t="s">
        <v>67</v>
      </c>
      <c r="F908" t="s">
        <v>78</v>
      </c>
      <c r="G908" t="s">
        <v>24</v>
      </c>
      <c r="H908" t="s">
        <v>61</v>
      </c>
      <c r="I908">
        <v>1</v>
      </c>
      <c r="J908">
        <v>15.21</v>
      </c>
      <c r="K908">
        <v>9</v>
      </c>
      <c r="L908">
        <v>493.89</v>
      </c>
      <c r="M908">
        <v>31</v>
      </c>
      <c r="N908" t="s">
        <v>49</v>
      </c>
      <c r="O908">
        <v>3</v>
      </c>
      <c r="P908">
        <v>680</v>
      </c>
      <c r="Q908" s="27" t="str">
        <f>IF(D908=Pivot!$AS$4,R907, "")</f>
        <v/>
      </c>
      <c r="R908" t="s">
        <v>57</v>
      </c>
      <c r="S908" s="5">
        <v>0.44</v>
      </c>
      <c r="T908">
        <v>98.12</v>
      </c>
      <c r="U908">
        <v>255.18</v>
      </c>
      <c r="V908" s="27">
        <f t="shared" si="56"/>
        <v>136.89000000000001</v>
      </c>
      <c r="W908">
        <f t="shared" si="57"/>
        <v>749.06999999999994</v>
      </c>
      <c r="X908" s="33" t="str">
        <f t="shared" si="58"/>
        <v>Low Quality</v>
      </c>
      <c r="Y908" s="27" t="str">
        <f t="shared" si="59"/>
        <v>16</v>
      </c>
    </row>
    <row r="909" spans="1:25" x14ac:dyDescent="0.25">
      <c r="A909" s="1">
        <v>45362</v>
      </c>
      <c r="B909" t="s">
        <v>28</v>
      </c>
      <c r="C909">
        <v>1</v>
      </c>
      <c r="D909" t="s">
        <v>88</v>
      </c>
      <c r="E909" t="s">
        <v>30</v>
      </c>
      <c r="F909" t="s">
        <v>70</v>
      </c>
      <c r="G909" t="s">
        <v>60</v>
      </c>
      <c r="H909" t="s">
        <v>40</v>
      </c>
      <c r="I909">
        <v>2</v>
      </c>
      <c r="J909">
        <v>11.46</v>
      </c>
      <c r="K909">
        <v>7</v>
      </c>
      <c r="L909">
        <v>379.53</v>
      </c>
      <c r="M909">
        <v>75</v>
      </c>
      <c r="N909" t="s">
        <v>26</v>
      </c>
      <c r="O909">
        <v>21</v>
      </c>
      <c r="P909">
        <v>215</v>
      </c>
      <c r="Q909" s="27" t="str">
        <f>IF(D909=Pivot!$AS$4,R908, "")</f>
        <v/>
      </c>
      <c r="R909" t="s">
        <v>34</v>
      </c>
      <c r="S909" s="5">
        <v>9.77</v>
      </c>
      <c r="T909">
        <v>78.459999999999994</v>
      </c>
      <c r="U909">
        <v>474.41</v>
      </c>
      <c r="V909" s="27">
        <f t="shared" si="56"/>
        <v>160.44</v>
      </c>
      <c r="W909">
        <f t="shared" si="57"/>
        <v>853.94</v>
      </c>
      <c r="X909" s="33" t="str">
        <f t="shared" si="58"/>
        <v>Mid Quality</v>
      </c>
      <c r="Y909" s="27" t="str">
        <f t="shared" si="59"/>
        <v>12</v>
      </c>
    </row>
    <row r="910" spans="1:25" x14ac:dyDescent="0.25">
      <c r="A910" s="1">
        <v>45427</v>
      </c>
      <c r="B910" t="s">
        <v>65</v>
      </c>
      <c r="C910">
        <v>2</v>
      </c>
      <c r="D910" t="s">
        <v>36</v>
      </c>
      <c r="E910" t="s">
        <v>37</v>
      </c>
      <c r="F910" t="s">
        <v>86</v>
      </c>
      <c r="G910" t="s">
        <v>39</v>
      </c>
      <c r="H910" t="s">
        <v>25</v>
      </c>
      <c r="I910">
        <v>2</v>
      </c>
      <c r="J910">
        <v>16.52</v>
      </c>
      <c r="K910">
        <v>4</v>
      </c>
      <c r="L910">
        <v>399.63</v>
      </c>
      <c r="M910">
        <v>24</v>
      </c>
      <c r="N910" t="s">
        <v>26</v>
      </c>
      <c r="O910">
        <v>2</v>
      </c>
      <c r="P910">
        <v>803</v>
      </c>
      <c r="Q910" s="27" t="str">
        <f>IF(D910=Pivot!$AS$4,R909, "")</f>
        <v/>
      </c>
      <c r="R910" t="s">
        <v>27</v>
      </c>
      <c r="S910" s="5">
        <v>0.25</v>
      </c>
      <c r="T910">
        <v>97.5</v>
      </c>
      <c r="U910">
        <v>159.85</v>
      </c>
      <c r="V910" s="27">
        <f t="shared" si="56"/>
        <v>132.16</v>
      </c>
      <c r="W910">
        <f t="shared" si="57"/>
        <v>559.48</v>
      </c>
      <c r="X910" s="33" t="str">
        <f t="shared" si="58"/>
        <v>Low Quality</v>
      </c>
      <c r="Y910" s="27" t="str">
        <f t="shared" si="59"/>
        <v>18</v>
      </c>
    </row>
    <row r="911" spans="1:25" x14ac:dyDescent="0.25">
      <c r="A911" s="1">
        <v>45479</v>
      </c>
      <c r="B911" t="s">
        <v>75</v>
      </c>
      <c r="C911">
        <v>1</v>
      </c>
      <c r="D911" t="s">
        <v>76</v>
      </c>
      <c r="E911" t="s">
        <v>67</v>
      </c>
      <c r="F911" t="s">
        <v>89</v>
      </c>
      <c r="G911" t="s">
        <v>52</v>
      </c>
      <c r="H911" t="s">
        <v>61</v>
      </c>
      <c r="I911">
        <v>1</v>
      </c>
      <c r="J911">
        <v>19.23</v>
      </c>
      <c r="K911">
        <v>6</v>
      </c>
      <c r="L911">
        <v>442.61</v>
      </c>
      <c r="M911">
        <v>54</v>
      </c>
      <c r="N911" t="s">
        <v>63</v>
      </c>
      <c r="O911">
        <v>4</v>
      </c>
      <c r="P911">
        <v>615</v>
      </c>
      <c r="Q911" s="27" t="str">
        <f>IF(D911=Pivot!$AS$4,R910, "")</f>
        <v/>
      </c>
      <c r="R911" t="s">
        <v>27</v>
      </c>
      <c r="S911" s="5">
        <v>0.65</v>
      </c>
      <c r="T911">
        <v>97.7</v>
      </c>
      <c r="U911">
        <v>398.35</v>
      </c>
      <c r="V911" s="27">
        <f t="shared" si="56"/>
        <v>115.38</v>
      </c>
      <c r="W911">
        <f t="shared" si="57"/>
        <v>840.96</v>
      </c>
      <c r="X911" s="33" t="str">
        <f t="shared" si="58"/>
        <v>Low Quality</v>
      </c>
      <c r="Y911" s="27" t="str">
        <f t="shared" si="59"/>
        <v>20</v>
      </c>
    </row>
    <row r="912" spans="1:25" x14ac:dyDescent="0.25">
      <c r="A912" s="1">
        <v>45590</v>
      </c>
      <c r="B912" t="s">
        <v>28</v>
      </c>
      <c r="C912">
        <v>2</v>
      </c>
      <c r="D912" t="s">
        <v>82</v>
      </c>
      <c r="E912" t="s">
        <v>22</v>
      </c>
      <c r="F912" t="s">
        <v>86</v>
      </c>
      <c r="G912" t="s">
        <v>39</v>
      </c>
      <c r="H912" t="s">
        <v>61</v>
      </c>
      <c r="I912">
        <v>2</v>
      </c>
      <c r="J912">
        <v>16.059999999999999</v>
      </c>
      <c r="K912">
        <v>1</v>
      </c>
      <c r="L912">
        <v>147.04</v>
      </c>
      <c r="M912">
        <v>27</v>
      </c>
      <c r="N912" t="s">
        <v>63</v>
      </c>
      <c r="O912">
        <v>1</v>
      </c>
      <c r="P912">
        <v>686</v>
      </c>
      <c r="Q912" s="27" t="str">
        <f>IF(D912=Pivot!$AS$4,R911, "")</f>
        <v/>
      </c>
      <c r="R912" t="s">
        <v>42</v>
      </c>
      <c r="S912" s="5">
        <v>0.15</v>
      </c>
      <c r="T912">
        <v>97.7</v>
      </c>
      <c r="U912">
        <v>66.17</v>
      </c>
      <c r="V912" s="27">
        <f t="shared" si="56"/>
        <v>32.119999999999997</v>
      </c>
      <c r="W912">
        <f t="shared" si="57"/>
        <v>213.20999999999998</v>
      </c>
      <c r="X912" s="33" t="str">
        <f t="shared" si="58"/>
        <v>Low Quality</v>
      </c>
      <c r="Y912" s="27" t="str">
        <f t="shared" si="59"/>
        <v>18</v>
      </c>
    </row>
    <row r="913" spans="1:25" x14ac:dyDescent="0.25">
      <c r="A913" s="1">
        <v>45419</v>
      </c>
      <c r="B913" t="s">
        <v>75</v>
      </c>
      <c r="C913">
        <v>1</v>
      </c>
      <c r="D913" t="s">
        <v>83</v>
      </c>
      <c r="E913" t="s">
        <v>67</v>
      </c>
      <c r="F913" t="s">
        <v>70</v>
      </c>
      <c r="G913" t="s">
        <v>52</v>
      </c>
      <c r="H913" t="s">
        <v>33</v>
      </c>
      <c r="I913">
        <v>4</v>
      </c>
      <c r="J913">
        <v>12.47</v>
      </c>
      <c r="K913">
        <v>7</v>
      </c>
      <c r="L913">
        <v>87.71</v>
      </c>
      <c r="M913">
        <v>17</v>
      </c>
      <c r="N913" t="s">
        <v>45</v>
      </c>
      <c r="O913">
        <v>15</v>
      </c>
      <c r="P913">
        <v>909</v>
      </c>
      <c r="Q913" s="27" t="str">
        <f>IF(D913=Pivot!$AS$4,R912, "")</f>
        <v/>
      </c>
      <c r="R913" t="s">
        <v>34</v>
      </c>
      <c r="S913" s="5">
        <v>1.65</v>
      </c>
      <c r="T913">
        <v>92.7</v>
      </c>
      <c r="U913">
        <v>24.85</v>
      </c>
      <c r="V913" s="27">
        <f t="shared" si="56"/>
        <v>349.16</v>
      </c>
      <c r="W913">
        <f t="shared" si="57"/>
        <v>112.56</v>
      </c>
      <c r="X913" s="33" t="str">
        <f t="shared" si="58"/>
        <v>Mid Quality</v>
      </c>
      <c r="Y913" s="27" t="str">
        <f t="shared" si="59"/>
        <v>14</v>
      </c>
    </row>
    <row r="914" spans="1:25" x14ac:dyDescent="0.25">
      <c r="A914" s="1">
        <v>45411</v>
      </c>
      <c r="B914" t="s">
        <v>20</v>
      </c>
      <c r="C914">
        <v>3</v>
      </c>
      <c r="D914" t="s">
        <v>83</v>
      </c>
      <c r="E914" t="s">
        <v>30</v>
      </c>
      <c r="F914" t="s">
        <v>90</v>
      </c>
      <c r="G914" t="s">
        <v>60</v>
      </c>
      <c r="H914" t="s">
        <v>61</v>
      </c>
      <c r="I914">
        <v>2</v>
      </c>
      <c r="J914">
        <v>10.37</v>
      </c>
      <c r="K914">
        <v>6</v>
      </c>
      <c r="L914">
        <v>267.3</v>
      </c>
      <c r="M914">
        <v>85</v>
      </c>
      <c r="N914" t="s">
        <v>45</v>
      </c>
      <c r="O914">
        <v>33</v>
      </c>
      <c r="P914">
        <v>340</v>
      </c>
      <c r="Q914" s="27" t="str">
        <f>IF(D914=Pivot!$AS$4,R913, "")</f>
        <v/>
      </c>
      <c r="R914" t="s">
        <v>46</v>
      </c>
      <c r="S914" s="5">
        <v>9.7100000000000009</v>
      </c>
      <c r="T914">
        <v>78.58</v>
      </c>
      <c r="U914">
        <v>378.68</v>
      </c>
      <c r="V914" s="27">
        <f t="shared" si="56"/>
        <v>124.44</v>
      </c>
      <c r="W914">
        <f t="shared" si="57"/>
        <v>645.98</v>
      </c>
      <c r="X914" s="33" t="str">
        <f t="shared" si="58"/>
        <v>Mid Quality</v>
      </c>
      <c r="Y914" s="27" t="str">
        <f t="shared" si="59"/>
        <v>12</v>
      </c>
    </row>
    <row r="915" spans="1:25" x14ac:dyDescent="0.25">
      <c r="A915" s="1">
        <v>45423</v>
      </c>
      <c r="B915" t="s">
        <v>50</v>
      </c>
      <c r="C915">
        <v>2</v>
      </c>
      <c r="D915" t="s">
        <v>88</v>
      </c>
      <c r="E915" t="s">
        <v>37</v>
      </c>
      <c r="F915" t="s">
        <v>87</v>
      </c>
      <c r="G915" t="s">
        <v>32</v>
      </c>
      <c r="H915" t="s">
        <v>25</v>
      </c>
      <c r="I915">
        <v>5</v>
      </c>
      <c r="J915">
        <v>1.76</v>
      </c>
      <c r="K915">
        <v>4</v>
      </c>
      <c r="L915">
        <v>281.33999999999997</v>
      </c>
      <c r="M915">
        <v>8</v>
      </c>
      <c r="N915" t="s">
        <v>26</v>
      </c>
      <c r="O915">
        <v>6</v>
      </c>
      <c r="P915">
        <v>129</v>
      </c>
      <c r="Q915" s="27" t="str">
        <f>IF(D915=Pivot!$AS$4,R914, "")</f>
        <v/>
      </c>
      <c r="R915" t="s">
        <v>27</v>
      </c>
      <c r="S915" s="5">
        <v>4.6500000000000004</v>
      </c>
      <c r="T915">
        <v>85.7</v>
      </c>
      <c r="U915">
        <v>37.51</v>
      </c>
      <c r="V915" s="27">
        <f t="shared" si="56"/>
        <v>35.200000000000003</v>
      </c>
      <c r="W915">
        <f t="shared" si="57"/>
        <v>318.84999999999997</v>
      </c>
      <c r="X915" s="33" t="str">
        <f t="shared" si="58"/>
        <v>High Quality</v>
      </c>
      <c r="Y915" s="27" t="str">
        <f t="shared" si="59"/>
        <v>2</v>
      </c>
    </row>
    <row r="916" spans="1:25" x14ac:dyDescent="0.25">
      <c r="A916" s="1">
        <v>45445</v>
      </c>
      <c r="B916" t="s">
        <v>65</v>
      </c>
      <c r="C916">
        <v>2</v>
      </c>
      <c r="D916" t="s">
        <v>71</v>
      </c>
      <c r="E916" t="s">
        <v>30</v>
      </c>
      <c r="F916" t="s">
        <v>68</v>
      </c>
      <c r="G916" t="s">
        <v>32</v>
      </c>
      <c r="H916" t="s">
        <v>48</v>
      </c>
      <c r="I916">
        <v>4</v>
      </c>
      <c r="J916">
        <v>19.7</v>
      </c>
      <c r="K916">
        <v>7</v>
      </c>
      <c r="L916">
        <v>423.13</v>
      </c>
      <c r="M916">
        <v>18</v>
      </c>
      <c r="N916" t="s">
        <v>26</v>
      </c>
      <c r="O916">
        <v>7</v>
      </c>
      <c r="P916">
        <v>242</v>
      </c>
      <c r="Q916" s="27" t="str">
        <f>IF(D916=Pivot!$AS$4,R915, "")</f>
        <v/>
      </c>
      <c r="R916" t="s">
        <v>57</v>
      </c>
      <c r="S916" s="5">
        <v>2.89</v>
      </c>
      <c r="T916">
        <v>90.22</v>
      </c>
      <c r="U916">
        <v>126.94</v>
      </c>
      <c r="V916" s="27">
        <f t="shared" si="56"/>
        <v>551.6</v>
      </c>
      <c r="W916">
        <f t="shared" si="57"/>
        <v>550.06999999999994</v>
      </c>
      <c r="X916" s="33" t="str">
        <f t="shared" si="58"/>
        <v>Low Quality</v>
      </c>
      <c r="Y916" s="27" t="str">
        <f t="shared" si="59"/>
        <v>20</v>
      </c>
    </row>
    <row r="917" spans="1:25" x14ac:dyDescent="0.25">
      <c r="A917" s="1">
        <v>45339</v>
      </c>
      <c r="B917" t="s">
        <v>50</v>
      </c>
      <c r="C917">
        <v>1</v>
      </c>
      <c r="D917" t="s">
        <v>29</v>
      </c>
      <c r="E917" t="s">
        <v>51</v>
      </c>
      <c r="F917" t="s">
        <v>54</v>
      </c>
      <c r="G917" t="s">
        <v>52</v>
      </c>
      <c r="H917" t="s">
        <v>48</v>
      </c>
      <c r="I917">
        <v>3</v>
      </c>
      <c r="J917">
        <v>8.2899999999999991</v>
      </c>
      <c r="K917">
        <v>3</v>
      </c>
      <c r="L917">
        <v>249.7</v>
      </c>
      <c r="M917">
        <v>24</v>
      </c>
      <c r="N917" t="s">
        <v>55</v>
      </c>
      <c r="O917">
        <v>19</v>
      </c>
      <c r="P917">
        <v>425</v>
      </c>
      <c r="Q917" s="27" t="str">
        <f>IF(D917=Pivot!$AS$4,R916, "")</f>
        <v/>
      </c>
      <c r="R917" t="s">
        <v>42</v>
      </c>
      <c r="S917" s="5">
        <v>4.47</v>
      </c>
      <c r="T917">
        <v>88.06</v>
      </c>
      <c r="U917">
        <v>99.88</v>
      </c>
      <c r="V917" s="27">
        <f t="shared" si="56"/>
        <v>74.609999999999985</v>
      </c>
      <c r="W917">
        <f t="shared" si="57"/>
        <v>349.58</v>
      </c>
      <c r="X917" s="33" t="str">
        <f t="shared" si="58"/>
        <v>Mid Quality</v>
      </c>
      <c r="Y917" s="27" t="str">
        <f t="shared" si="59"/>
        <v>10</v>
      </c>
    </row>
    <row r="918" spans="1:25" x14ac:dyDescent="0.25">
      <c r="A918" s="1">
        <v>45584</v>
      </c>
      <c r="B918" t="s">
        <v>75</v>
      </c>
      <c r="C918">
        <v>1</v>
      </c>
      <c r="D918" t="s">
        <v>71</v>
      </c>
      <c r="E918" t="s">
        <v>37</v>
      </c>
      <c r="F918" t="s">
        <v>81</v>
      </c>
      <c r="G918" t="s">
        <v>32</v>
      </c>
      <c r="H918" t="s">
        <v>48</v>
      </c>
      <c r="I918">
        <v>2</v>
      </c>
      <c r="J918">
        <v>3.89</v>
      </c>
      <c r="K918">
        <v>1</v>
      </c>
      <c r="L918">
        <v>306.88</v>
      </c>
      <c r="M918">
        <v>17</v>
      </c>
      <c r="N918" t="s">
        <v>45</v>
      </c>
      <c r="O918">
        <v>44</v>
      </c>
      <c r="P918">
        <v>794</v>
      </c>
      <c r="Q918" s="27" t="str">
        <f>IF(D918=Pivot!$AS$4,R917, "")</f>
        <v/>
      </c>
      <c r="R918" t="s">
        <v>42</v>
      </c>
      <c r="S918" s="5">
        <v>5.54</v>
      </c>
      <c r="T918">
        <v>86.92</v>
      </c>
      <c r="U918">
        <v>86.95</v>
      </c>
      <c r="V918" s="27">
        <f t="shared" si="56"/>
        <v>7.78</v>
      </c>
      <c r="W918">
        <f t="shared" si="57"/>
        <v>393.83</v>
      </c>
      <c r="X918" s="33" t="str">
        <f t="shared" si="58"/>
        <v>High Quality</v>
      </c>
      <c r="Y918" s="27" t="str">
        <f t="shared" si="59"/>
        <v>4</v>
      </c>
    </row>
    <row r="919" spans="1:25" x14ac:dyDescent="0.25">
      <c r="A919" s="1">
        <v>45496</v>
      </c>
      <c r="B919" t="s">
        <v>65</v>
      </c>
      <c r="C919">
        <v>2</v>
      </c>
      <c r="D919" t="s">
        <v>88</v>
      </c>
      <c r="E919" t="s">
        <v>30</v>
      </c>
      <c r="F919" t="s">
        <v>69</v>
      </c>
      <c r="G919" t="s">
        <v>60</v>
      </c>
      <c r="H919" t="s">
        <v>48</v>
      </c>
      <c r="I919">
        <v>2</v>
      </c>
      <c r="J919">
        <v>13.67</v>
      </c>
      <c r="K919">
        <v>4</v>
      </c>
      <c r="L919">
        <v>287.18</v>
      </c>
      <c r="M919">
        <v>7</v>
      </c>
      <c r="N919" t="s">
        <v>49</v>
      </c>
      <c r="O919">
        <v>1</v>
      </c>
      <c r="P919">
        <v>115</v>
      </c>
      <c r="Q919" s="27" t="str">
        <f>IF(D919=Pivot!$AS$4,R918, "")</f>
        <v/>
      </c>
      <c r="R919" t="s">
        <v>27</v>
      </c>
      <c r="S919" s="5">
        <v>0.87</v>
      </c>
      <c r="T919">
        <v>96.26</v>
      </c>
      <c r="U919">
        <v>33.5</v>
      </c>
      <c r="V919" s="27">
        <f t="shared" si="56"/>
        <v>109.36</v>
      </c>
      <c r="W919">
        <f t="shared" si="57"/>
        <v>320.68</v>
      </c>
      <c r="X919" s="33" t="str">
        <f t="shared" si="58"/>
        <v>Mid Quality</v>
      </c>
      <c r="Y919" s="27" t="str">
        <f t="shared" si="59"/>
        <v>14</v>
      </c>
    </row>
    <row r="920" spans="1:25" x14ac:dyDescent="0.25">
      <c r="A920" s="1">
        <v>45583</v>
      </c>
      <c r="B920" t="s">
        <v>50</v>
      </c>
      <c r="C920">
        <v>3</v>
      </c>
      <c r="D920" t="s">
        <v>80</v>
      </c>
      <c r="E920" t="s">
        <v>22</v>
      </c>
      <c r="F920" t="s">
        <v>23</v>
      </c>
      <c r="G920" t="s">
        <v>32</v>
      </c>
      <c r="H920" t="s">
        <v>33</v>
      </c>
      <c r="I920">
        <v>5</v>
      </c>
      <c r="J920">
        <v>6.4</v>
      </c>
      <c r="K920">
        <v>3</v>
      </c>
      <c r="L920">
        <v>67.19</v>
      </c>
      <c r="M920">
        <v>86</v>
      </c>
      <c r="N920" t="s">
        <v>26</v>
      </c>
      <c r="O920">
        <v>39</v>
      </c>
      <c r="P920">
        <v>210</v>
      </c>
      <c r="Q920" s="27" t="str">
        <f>IF(D920=Pivot!$AS$4,R919, "")</f>
        <v>Kontrol tekrarlandı</v>
      </c>
      <c r="R920" t="s">
        <v>34</v>
      </c>
      <c r="S920" s="5">
        <v>18.57</v>
      </c>
      <c r="T920">
        <v>57.86</v>
      </c>
      <c r="U920">
        <v>96.31</v>
      </c>
      <c r="V920" s="27">
        <f t="shared" si="56"/>
        <v>96</v>
      </c>
      <c r="W920">
        <f t="shared" si="57"/>
        <v>163.5</v>
      </c>
      <c r="X920" s="33" t="str">
        <f t="shared" si="58"/>
        <v>Mid Quality</v>
      </c>
      <c r="Y920" s="27" t="str">
        <f t="shared" si="59"/>
        <v>8</v>
      </c>
    </row>
    <row r="921" spans="1:25" x14ac:dyDescent="0.25">
      <c r="A921" s="1">
        <v>45403</v>
      </c>
      <c r="B921" t="s">
        <v>28</v>
      </c>
      <c r="C921">
        <v>1</v>
      </c>
      <c r="D921" t="s">
        <v>21</v>
      </c>
      <c r="E921" t="s">
        <v>37</v>
      </c>
      <c r="F921" t="s">
        <v>72</v>
      </c>
      <c r="G921" t="s">
        <v>60</v>
      </c>
      <c r="H921" t="s">
        <v>61</v>
      </c>
      <c r="I921">
        <v>5</v>
      </c>
      <c r="J921">
        <v>12.13</v>
      </c>
      <c r="K921">
        <v>1</v>
      </c>
      <c r="L921">
        <v>326.85000000000002</v>
      </c>
      <c r="M921">
        <v>82</v>
      </c>
      <c r="N921" t="s">
        <v>49</v>
      </c>
      <c r="O921">
        <v>19</v>
      </c>
      <c r="P921">
        <v>971</v>
      </c>
      <c r="Q921" s="27" t="str">
        <f>IF(D921=Pivot!$AS$4,R920, "")</f>
        <v/>
      </c>
      <c r="R921" t="s">
        <v>42</v>
      </c>
      <c r="S921" s="5">
        <v>1.96</v>
      </c>
      <c r="T921">
        <v>91.08</v>
      </c>
      <c r="U921">
        <v>446.7</v>
      </c>
      <c r="V921" s="27">
        <f t="shared" si="56"/>
        <v>60.650000000000006</v>
      </c>
      <c r="W921">
        <f t="shared" si="57"/>
        <v>773.55</v>
      </c>
      <c r="X921" s="33" t="str">
        <f t="shared" si="58"/>
        <v>Mid Quality</v>
      </c>
      <c r="Y921" s="27" t="str">
        <f t="shared" si="59"/>
        <v>14</v>
      </c>
    </row>
    <row r="922" spans="1:25" x14ac:dyDescent="0.25">
      <c r="A922" s="1">
        <v>45331</v>
      </c>
      <c r="B922" t="s">
        <v>35</v>
      </c>
      <c r="C922">
        <v>1</v>
      </c>
      <c r="D922" t="s">
        <v>74</v>
      </c>
      <c r="E922" t="s">
        <v>37</v>
      </c>
      <c r="F922" t="s">
        <v>69</v>
      </c>
      <c r="G922" t="s">
        <v>39</v>
      </c>
      <c r="H922" t="s">
        <v>48</v>
      </c>
      <c r="I922">
        <v>1</v>
      </c>
      <c r="J922">
        <v>12.15</v>
      </c>
      <c r="K922">
        <v>2</v>
      </c>
      <c r="L922">
        <v>422.62</v>
      </c>
      <c r="M922">
        <v>51</v>
      </c>
      <c r="N922" t="s">
        <v>26</v>
      </c>
      <c r="O922">
        <v>45</v>
      </c>
      <c r="P922">
        <v>812</v>
      </c>
      <c r="Q922" s="27" t="str">
        <f>IF(D922=Pivot!$AS$4,R921, "")</f>
        <v/>
      </c>
      <c r="R922" t="s">
        <v>27</v>
      </c>
      <c r="S922" s="5">
        <v>5.54</v>
      </c>
      <c r="T922">
        <v>87.92</v>
      </c>
      <c r="U922">
        <v>359.23</v>
      </c>
      <c r="V922" s="27">
        <f t="shared" si="56"/>
        <v>24.3</v>
      </c>
      <c r="W922">
        <f t="shared" si="57"/>
        <v>781.85</v>
      </c>
      <c r="X922" s="33" t="str">
        <f t="shared" si="58"/>
        <v>Mid Quality</v>
      </c>
      <c r="Y922" s="27" t="str">
        <f t="shared" si="59"/>
        <v>14</v>
      </c>
    </row>
    <row r="923" spans="1:25" x14ac:dyDescent="0.25">
      <c r="A923" s="1">
        <v>45458</v>
      </c>
      <c r="B923" t="s">
        <v>75</v>
      </c>
      <c r="C923">
        <v>1</v>
      </c>
      <c r="D923" t="s">
        <v>88</v>
      </c>
      <c r="E923" t="s">
        <v>67</v>
      </c>
      <c r="F923" t="s">
        <v>62</v>
      </c>
      <c r="G923" t="s">
        <v>60</v>
      </c>
      <c r="H923" t="s">
        <v>40</v>
      </c>
      <c r="I923">
        <v>1</v>
      </c>
      <c r="J923">
        <v>9.4700000000000006</v>
      </c>
      <c r="K923">
        <v>5</v>
      </c>
      <c r="L923">
        <v>120.88</v>
      </c>
      <c r="M923">
        <v>7</v>
      </c>
      <c r="N923" t="s">
        <v>49</v>
      </c>
      <c r="O923">
        <v>26</v>
      </c>
      <c r="P923">
        <v>206</v>
      </c>
      <c r="Q923" s="27" t="str">
        <f>IF(D923=Pivot!$AS$4,R922, "")</f>
        <v/>
      </c>
      <c r="R923" t="s">
        <v>34</v>
      </c>
      <c r="S923" s="5">
        <v>12.62</v>
      </c>
      <c r="T923">
        <v>73.760000000000005</v>
      </c>
      <c r="U923">
        <v>14.1</v>
      </c>
      <c r="V923" s="27">
        <f t="shared" si="56"/>
        <v>47.35</v>
      </c>
      <c r="W923">
        <f t="shared" si="57"/>
        <v>134.97999999999999</v>
      </c>
      <c r="X923" s="33" t="str">
        <f t="shared" si="58"/>
        <v>Mid Quality</v>
      </c>
      <c r="Y923" s="27" t="str">
        <f t="shared" si="59"/>
        <v>10</v>
      </c>
    </row>
    <row r="924" spans="1:25" x14ac:dyDescent="0.25">
      <c r="A924" s="1">
        <v>45539</v>
      </c>
      <c r="B924" t="s">
        <v>50</v>
      </c>
      <c r="C924">
        <v>2</v>
      </c>
      <c r="D924" t="s">
        <v>91</v>
      </c>
      <c r="E924" t="s">
        <v>22</v>
      </c>
      <c r="F924" t="s">
        <v>84</v>
      </c>
      <c r="G924" t="s">
        <v>24</v>
      </c>
      <c r="H924" t="s">
        <v>48</v>
      </c>
      <c r="I924">
        <v>1</v>
      </c>
      <c r="J924">
        <v>16.89</v>
      </c>
      <c r="K924">
        <v>8</v>
      </c>
      <c r="L924">
        <v>317.45</v>
      </c>
      <c r="M924">
        <v>5</v>
      </c>
      <c r="N924" t="s">
        <v>41</v>
      </c>
      <c r="O924">
        <v>44</v>
      </c>
      <c r="P924">
        <v>478</v>
      </c>
      <c r="Q924" s="27" t="str">
        <f>IF(D924=Pivot!$AS$4,R923, "")</f>
        <v/>
      </c>
      <c r="R924" t="s">
        <v>27</v>
      </c>
      <c r="S924" s="5">
        <v>9.2100000000000009</v>
      </c>
      <c r="T924">
        <v>80.58</v>
      </c>
      <c r="U924">
        <v>26.45</v>
      </c>
      <c r="V924" s="27">
        <f t="shared" si="56"/>
        <v>135.12</v>
      </c>
      <c r="W924">
        <f t="shared" si="57"/>
        <v>343.9</v>
      </c>
      <c r="X924" s="33" t="str">
        <f t="shared" si="58"/>
        <v>Low Quality</v>
      </c>
      <c r="Y924" s="27" t="str">
        <f t="shared" si="59"/>
        <v>18</v>
      </c>
    </row>
    <row r="925" spans="1:25" x14ac:dyDescent="0.25">
      <c r="A925" s="1">
        <v>45380</v>
      </c>
      <c r="B925" t="s">
        <v>75</v>
      </c>
      <c r="C925">
        <v>2</v>
      </c>
      <c r="D925" t="s">
        <v>88</v>
      </c>
      <c r="E925" t="s">
        <v>51</v>
      </c>
      <c r="F925" t="s">
        <v>69</v>
      </c>
      <c r="G925" t="s">
        <v>24</v>
      </c>
      <c r="H925" t="s">
        <v>61</v>
      </c>
      <c r="I925">
        <v>5</v>
      </c>
      <c r="J925">
        <v>6.03</v>
      </c>
      <c r="K925">
        <v>1</v>
      </c>
      <c r="L925">
        <v>317.12</v>
      </c>
      <c r="M925">
        <v>28</v>
      </c>
      <c r="N925" t="s">
        <v>49</v>
      </c>
      <c r="O925">
        <v>12</v>
      </c>
      <c r="P925">
        <v>261</v>
      </c>
      <c r="Q925" s="27" t="str">
        <f>IF(D925=Pivot!$AS$4,R924, "")</f>
        <v/>
      </c>
      <c r="R925" t="s">
        <v>27</v>
      </c>
      <c r="S925" s="5">
        <v>4.5999999999999996</v>
      </c>
      <c r="T925">
        <v>85.8</v>
      </c>
      <c r="U925">
        <v>147.99</v>
      </c>
      <c r="V925" s="27">
        <f t="shared" si="56"/>
        <v>30.150000000000002</v>
      </c>
      <c r="W925">
        <f t="shared" si="57"/>
        <v>465.11</v>
      </c>
      <c r="X925" s="33" t="str">
        <f t="shared" si="58"/>
        <v>Mid Quality</v>
      </c>
      <c r="Y925" s="27" t="str">
        <f t="shared" si="59"/>
        <v>8</v>
      </c>
    </row>
    <row r="926" spans="1:25" x14ac:dyDescent="0.25">
      <c r="A926" s="1">
        <v>45541</v>
      </c>
      <c r="B926" t="s">
        <v>75</v>
      </c>
      <c r="C926">
        <v>2</v>
      </c>
      <c r="D926" t="s">
        <v>21</v>
      </c>
      <c r="E926" t="s">
        <v>30</v>
      </c>
      <c r="F926" t="s">
        <v>44</v>
      </c>
      <c r="G926" t="s">
        <v>24</v>
      </c>
      <c r="H926" t="s">
        <v>48</v>
      </c>
      <c r="I926">
        <v>1</v>
      </c>
      <c r="J926">
        <v>9.52</v>
      </c>
      <c r="K926">
        <v>4</v>
      </c>
      <c r="L926">
        <v>123.88</v>
      </c>
      <c r="M926">
        <v>39</v>
      </c>
      <c r="N926" t="s">
        <v>45</v>
      </c>
      <c r="O926">
        <v>22</v>
      </c>
      <c r="P926">
        <v>382</v>
      </c>
      <c r="Q926" s="27" t="str">
        <f>IF(D926=Pivot!$AS$4,R925, "")</f>
        <v/>
      </c>
      <c r="R926" t="s">
        <v>34</v>
      </c>
      <c r="S926" s="5">
        <v>5.76</v>
      </c>
      <c r="T926">
        <v>87.48</v>
      </c>
      <c r="U926">
        <v>80.52</v>
      </c>
      <c r="V926" s="27">
        <f t="shared" si="56"/>
        <v>38.08</v>
      </c>
      <c r="W926">
        <f t="shared" si="57"/>
        <v>204.39999999999998</v>
      </c>
      <c r="X926" s="33" t="str">
        <f t="shared" si="58"/>
        <v>Mid Quality</v>
      </c>
      <c r="Y926" s="27" t="str">
        <f t="shared" si="59"/>
        <v>10</v>
      </c>
    </row>
    <row r="927" spans="1:25" x14ac:dyDescent="0.25">
      <c r="A927" s="1">
        <v>45587</v>
      </c>
      <c r="B927" t="s">
        <v>65</v>
      </c>
      <c r="C927">
        <v>2</v>
      </c>
      <c r="D927" t="s">
        <v>88</v>
      </c>
      <c r="E927" t="s">
        <v>67</v>
      </c>
      <c r="F927" t="s">
        <v>69</v>
      </c>
      <c r="G927" t="s">
        <v>52</v>
      </c>
      <c r="H927" t="s">
        <v>33</v>
      </c>
      <c r="I927">
        <v>1</v>
      </c>
      <c r="J927">
        <v>11.22</v>
      </c>
      <c r="K927">
        <v>4</v>
      </c>
      <c r="L927">
        <v>105.56</v>
      </c>
      <c r="M927">
        <v>18</v>
      </c>
      <c r="N927" t="s">
        <v>26</v>
      </c>
      <c r="O927">
        <v>13</v>
      </c>
      <c r="P927">
        <v>368</v>
      </c>
      <c r="Q927" s="27" t="str">
        <f>IF(D927=Pivot!$AS$4,R926, "")</f>
        <v/>
      </c>
      <c r="R927" t="s">
        <v>34</v>
      </c>
      <c r="S927" s="5">
        <v>3.53</v>
      </c>
      <c r="T927">
        <v>91.94</v>
      </c>
      <c r="U927">
        <v>31.67</v>
      </c>
      <c r="V927" s="27">
        <f t="shared" si="56"/>
        <v>44.88</v>
      </c>
      <c r="W927">
        <f t="shared" si="57"/>
        <v>137.23000000000002</v>
      </c>
      <c r="X927" s="33" t="str">
        <f t="shared" si="58"/>
        <v>Mid Quality</v>
      </c>
      <c r="Y927" s="27" t="str">
        <f t="shared" si="59"/>
        <v>12</v>
      </c>
    </row>
    <row r="928" spans="1:25" x14ac:dyDescent="0.25">
      <c r="A928" s="1">
        <v>45340</v>
      </c>
      <c r="B928" t="s">
        <v>65</v>
      </c>
      <c r="C928">
        <v>3</v>
      </c>
      <c r="D928" t="s">
        <v>91</v>
      </c>
      <c r="E928" t="s">
        <v>30</v>
      </c>
      <c r="F928" t="s">
        <v>72</v>
      </c>
      <c r="G928" t="s">
        <v>52</v>
      </c>
      <c r="H928" t="s">
        <v>25</v>
      </c>
      <c r="I928">
        <v>3</v>
      </c>
      <c r="J928">
        <v>13.61</v>
      </c>
      <c r="K928">
        <v>5</v>
      </c>
      <c r="L928">
        <v>491.02</v>
      </c>
      <c r="M928">
        <v>71</v>
      </c>
      <c r="N928" t="s">
        <v>45</v>
      </c>
      <c r="O928">
        <v>28</v>
      </c>
      <c r="P928">
        <v>583</v>
      </c>
      <c r="Q928" s="27" t="str">
        <f>IF(D928=Pivot!$AS$4,R927, "")</f>
        <v/>
      </c>
      <c r="R928" t="s">
        <v>34</v>
      </c>
      <c r="S928" s="5">
        <v>4.8</v>
      </c>
      <c r="T928">
        <v>87.4</v>
      </c>
      <c r="U928">
        <v>581.04</v>
      </c>
      <c r="V928" s="27">
        <f t="shared" si="56"/>
        <v>204.14999999999998</v>
      </c>
      <c r="W928">
        <f t="shared" si="57"/>
        <v>1072.06</v>
      </c>
      <c r="X928" s="33" t="str">
        <f t="shared" si="58"/>
        <v>Mid Quality</v>
      </c>
      <c r="Y928" s="27" t="str">
        <f t="shared" si="59"/>
        <v>14</v>
      </c>
    </row>
    <row r="929" spans="1:25" x14ac:dyDescent="0.25">
      <c r="A929" s="1">
        <v>45445</v>
      </c>
      <c r="B929" t="s">
        <v>35</v>
      </c>
      <c r="C929">
        <v>3</v>
      </c>
      <c r="D929" t="s">
        <v>91</v>
      </c>
      <c r="E929" t="s">
        <v>51</v>
      </c>
      <c r="F929" t="s">
        <v>23</v>
      </c>
      <c r="G929" t="s">
        <v>52</v>
      </c>
      <c r="H929" t="s">
        <v>25</v>
      </c>
      <c r="I929">
        <v>1</v>
      </c>
      <c r="J929">
        <v>15.9</v>
      </c>
      <c r="K929">
        <v>7</v>
      </c>
      <c r="L929">
        <v>227.17</v>
      </c>
      <c r="M929">
        <v>17</v>
      </c>
      <c r="N929" t="s">
        <v>49</v>
      </c>
      <c r="O929">
        <v>14</v>
      </c>
      <c r="P929">
        <v>766</v>
      </c>
      <c r="Q929" s="27" t="str">
        <f>IF(D929=Pivot!$AS$4,R928, "")</f>
        <v/>
      </c>
      <c r="R929" t="s">
        <v>27</v>
      </c>
      <c r="S929" s="5">
        <v>1.83</v>
      </c>
      <c r="T929">
        <v>95.34</v>
      </c>
      <c r="U929">
        <v>64.36</v>
      </c>
      <c r="V929" s="27">
        <f t="shared" si="56"/>
        <v>111.3</v>
      </c>
      <c r="W929">
        <f t="shared" si="57"/>
        <v>291.52999999999997</v>
      </c>
      <c r="X929" s="33" t="str">
        <f t="shared" si="58"/>
        <v>Low Quality</v>
      </c>
      <c r="Y929" s="27" t="str">
        <f t="shared" si="59"/>
        <v>16</v>
      </c>
    </row>
    <row r="930" spans="1:25" x14ac:dyDescent="0.25">
      <c r="A930" s="1">
        <v>45311</v>
      </c>
      <c r="B930" t="s">
        <v>28</v>
      </c>
      <c r="C930">
        <v>2</v>
      </c>
      <c r="D930" t="s">
        <v>58</v>
      </c>
      <c r="E930" t="s">
        <v>51</v>
      </c>
      <c r="F930" t="s">
        <v>44</v>
      </c>
      <c r="G930" t="s">
        <v>60</v>
      </c>
      <c r="H930" t="s">
        <v>61</v>
      </c>
      <c r="I930">
        <v>2</v>
      </c>
      <c r="J930">
        <v>8.5</v>
      </c>
      <c r="K930">
        <v>8</v>
      </c>
      <c r="L930">
        <v>152.34</v>
      </c>
      <c r="M930">
        <v>51</v>
      </c>
      <c r="N930" t="s">
        <v>63</v>
      </c>
      <c r="O930">
        <v>22</v>
      </c>
      <c r="P930">
        <v>172</v>
      </c>
      <c r="Q930" s="27" t="str">
        <f>IF(D930=Pivot!$AS$4,R929, "")</f>
        <v/>
      </c>
      <c r="R930" t="s">
        <v>42</v>
      </c>
      <c r="S930" s="5">
        <v>12.79</v>
      </c>
      <c r="T930">
        <v>72.42</v>
      </c>
      <c r="U930">
        <v>129.49</v>
      </c>
      <c r="V930" s="27">
        <f t="shared" si="56"/>
        <v>136</v>
      </c>
      <c r="W930">
        <f t="shared" si="57"/>
        <v>281.83000000000004</v>
      </c>
      <c r="X930" s="33" t="str">
        <f t="shared" si="58"/>
        <v>Mid Quality</v>
      </c>
      <c r="Y930" s="27" t="str">
        <f t="shared" si="59"/>
        <v>10</v>
      </c>
    </row>
    <row r="931" spans="1:25" x14ac:dyDescent="0.25">
      <c r="A931" s="1">
        <v>45587</v>
      </c>
      <c r="B931" t="s">
        <v>75</v>
      </c>
      <c r="C931">
        <v>3</v>
      </c>
      <c r="D931" t="s">
        <v>82</v>
      </c>
      <c r="E931" t="s">
        <v>37</v>
      </c>
      <c r="F931" t="s">
        <v>84</v>
      </c>
      <c r="G931" t="s">
        <v>52</v>
      </c>
      <c r="H931" t="s">
        <v>25</v>
      </c>
      <c r="I931">
        <v>5</v>
      </c>
      <c r="J931">
        <v>13.27</v>
      </c>
      <c r="K931">
        <v>6</v>
      </c>
      <c r="L931">
        <v>127.1</v>
      </c>
      <c r="M931">
        <v>54</v>
      </c>
      <c r="N931" t="s">
        <v>63</v>
      </c>
      <c r="O931">
        <v>30</v>
      </c>
      <c r="P931">
        <v>296</v>
      </c>
      <c r="Q931" s="27" t="str">
        <f>IF(D931=Pivot!$AS$4,R930, "")</f>
        <v/>
      </c>
      <c r="R931" t="s">
        <v>46</v>
      </c>
      <c r="S931" s="5">
        <v>10.14</v>
      </c>
      <c r="T931">
        <v>74.72</v>
      </c>
      <c r="U931">
        <v>114.39</v>
      </c>
      <c r="V931" s="27">
        <f t="shared" si="56"/>
        <v>398.09999999999997</v>
      </c>
      <c r="W931">
        <f t="shared" si="57"/>
        <v>241.49</v>
      </c>
      <c r="X931" s="33" t="str">
        <f t="shared" si="58"/>
        <v>Mid Quality</v>
      </c>
      <c r="Y931" s="27" t="str">
        <f t="shared" si="59"/>
        <v>14</v>
      </c>
    </row>
    <row r="932" spans="1:25" x14ac:dyDescent="0.25">
      <c r="A932" s="1">
        <v>45487</v>
      </c>
      <c r="B932" t="s">
        <v>50</v>
      </c>
      <c r="C932">
        <v>1</v>
      </c>
      <c r="D932" t="s">
        <v>47</v>
      </c>
      <c r="E932" t="s">
        <v>51</v>
      </c>
      <c r="F932" t="s">
        <v>31</v>
      </c>
      <c r="G932" t="s">
        <v>39</v>
      </c>
      <c r="H932" t="s">
        <v>25</v>
      </c>
      <c r="I932">
        <v>4</v>
      </c>
      <c r="J932">
        <v>3.86</v>
      </c>
      <c r="K932">
        <v>1</v>
      </c>
      <c r="L932">
        <v>350.42</v>
      </c>
      <c r="M932">
        <v>82</v>
      </c>
      <c r="N932" t="s">
        <v>63</v>
      </c>
      <c r="O932">
        <v>44</v>
      </c>
      <c r="P932">
        <v>342</v>
      </c>
      <c r="Q932" s="27" t="str">
        <f>IF(D932=Pivot!$AS$4,R931, "")</f>
        <v/>
      </c>
      <c r="R932" t="s">
        <v>46</v>
      </c>
      <c r="S932" s="5">
        <v>12.87</v>
      </c>
      <c r="T932">
        <v>70.260000000000005</v>
      </c>
      <c r="U932">
        <v>478.91</v>
      </c>
      <c r="V932" s="27">
        <f t="shared" si="56"/>
        <v>15.44</v>
      </c>
      <c r="W932">
        <f t="shared" si="57"/>
        <v>829.33</v>
      </c>
      <c r="X932" s="33" t="str">
        <f t="shared" si="58"/>
        <v>High Quality</v>
      </c>
      <c r="Y932" s="27" t="str">
        <f t="shared" si="59"/>
        <v>4</v>
      </c>
    </row>
    <row r="933" spans="1:25" x14ac:dyDescent="0.25">
      <c r="A933" s="1">
        <v>45332</v>
      </c>
      <c r="B933" t="s">
        <v>20</v>
      </c>
      <c r="C933">
        <v>1</v>
      </c>
      <c r="D933" t="s">
        <v>79</v>
      </c>
      <c r="E933" t="s">
        <v>30</v>
      </c>
      <c r="F933" t="s">
        <v>90</v>
      </c>
      <c r="G933" t="s">
        <v>24</v>
      </c>
      <c r="H933" t="s">
        <v>40</v>
      </c>
      <c r="I933">
        <v>3</v>
      </c>
      <c r="J933">
        <v>18.72</v>
      </c>
      <c r="K933">
        <v>7</v>
      </c>
      <c r="L933">
        <v>324.25</v>
      </c>
      <c r="M933">
        <v>89</v>
      </c>
      <c r="N933" t="s">
        <v>26</v>
      </c>
      <c r="O933">
        <v>20</v>
      </c>
      <c r="P933">
        <v>697</v>
      </c>
      <c r="Q933" s="27" t="str">
        <f>IF(D933=Pivot!$AS$4,R932, "")</f>
        <v/>
      </c>
      <c r="R933" t="s">
        <v>27</v>
      </c>
      <c r="S933" s="5">
        <v>2.87</v>
      </c>
      <c r="T933">
        <v>91.26</v>
      </c>
      <c r="U933">
        <v>480.97</v>
      </c>
      <c r="V933" s="27">
        <f t="shared" si="56"/>
        <v>393.12</v>
      </c>
      <c r="W933">
        <f t="shared" si="57"/>
        <v>805.22</v>
      </c>
      <c r="X933" s="33" t="str">
        <f t="shared" si="58"/>
        <v>Low Quality</v>
      </c>
      <c r="Y933" s="27" t="str">
        <f t="shared" si="59"/>
        <v>20</v>
      </c>
    </row>
    <row r="934" spans="1:25" x14ac:dyDescent="0.25">
      <c r="A934" s="1">
        <v>45320</v>
      </c>
      <c r="B934" t="s">
        <v>75</v>
      </c>
      <c r="C934">
        <v>1</v>
      </c>
      <c r="D934" t="s">
        <v>66</v>
      </c>
      <c r="E934" t="s">
        <v>22</v>
      </c>
      <c r="F934" t="s">
        <v>59</v>
      </c>
      <c r="G934" t="s">
        <v>60</v>
      </c>
      <c r="H934" t="s">
        <v>61</v>
      </c>
      <c r="I934">
        <v>5</v>
      </c>
      <c r="J934">
        <v>8.2799999999999994</v>
      </c>
      <c r="K934">
        <v>3</v>
      </c>
      <c r="L934">
        <v>339.6</v>
      </c>
      <c r="M934">
        <v>30</v>
      </c>
      <c r="N934" t="s">
        <v>55</v>
      </c>
      <c r="O934">
        <v>44</v>
      </c>
      <c r="P934">
        <v>898</v>
      </c>
      <c r="Q934" s="27" t="str">
        <f>IF(D934=Pivot!$AS$4,R933, "")</f>
        <v/>
      </c>
      <c r="R934" t="s">
        <v>27</v>
      </c>
      <c r="S934" s="5">
        <v>4.9000000000000004</v>
      </c>
      <c r="T934">
        <v>85.2</v>
      </c>
      <c r="U934">
        <v>169.8</v>
      </c>
      <c r="V934" s="27">
        <f t="shared" si="56"/>
        <v>124.19999999999999</v>
      </c>
      <c r="W934">
        <f t="shared" si="57"/>
        <v>509.40000000000003</v>
      </c>
      <c r="X934" s="33" t="str">
        <f t="shared" si="58"/>
        <v>Mid Quality</v>
      </c>
      <c r="Y934" s="27" t="str">
        <f t="shared" si="59"/>
        <v>10</v>
      </c>
    </row>
    <row r="935" spans="1:25" x14ac:dyDescent="0.25">
      <c r="A935" s="1">
        <v>45463</v>
      </c>
      <c r="B935" t="s">
        <v>75</v>
      </c>
      <c r="C935">
        <v>2</v>
      </c>
      <c r="D935" t="s">
        <v>71</v>
      </c>
      <c r="E935" t="s">
        <v>22</v>
      </c>
      <c r="F935" t="s">
        <v>87</v>
      </c>
      <c r="G935" t="s">
        <v>24</v>
      </c>
      <c r="H935" t="s">
        <v>61</v>
      </c>
      <c r="I935">
        <v>5</v>
      </c>
      <c r="J935">
        <v>14.86</v>
      </c>
      <c r="K935">
        <v>6</v>
      </c>
      <c r="L935">
        <v>89.6</v>
      </c>
      <c r="M935">
        <v>7</v>
      </c>
      <c r="N935" t="s">
        <v>41</v>
      </c>
      <c r="O935">
        <v>27</v>
      </c>
      <c r="P935">
        <v>358</v>
      </c>
      <c r="Q935" s="27" t="str">
        <f>IF(D935=Pivot!$AS$4,R934, "")</f>
        <v/>
      </c>
      <c r="R935" t="s">
        <v>42</v>
      </c>
      <c r="S935" s="5">
        <v>7.54</v>
      </c>
      <c r="T935">
        <v>79.92</v>
      </c>
      <c r="U935">
        <v>10.45</v>
      </c>
      <c r="V935" s="27">
        <f t="shared" si="56"/>
        <v>445.79999999999995</v>
      </c>
      <c r="W935">
        <f t="shared" si="57"/>
        <v>100.05</v>
      </c>
      <c r="X935" s="33" t="str">
        <f t="shared" si="58"/>
        <v>Mid Quality</v>
      </c>
      <c r="Y935" s="27" t="str">
        <f t="shared" si="59"/>
        <v>16</v>
      </c>
    </row>
    <row r="936" spans="1:25" x14ac:dyDescent="0.25">
      <c r="A936" s="1">
        <v>45470</v>
      </c>
      <c r="B936" t="s">
        <v>35</v>
      </c>
      <c r="C936">
        <v>1</v>
      </c>
      <c r="D936" t="s">
        <v>21</v>
      </c>
      <c r="E936" t="s">
        <v>37</v>
      </c>
      <c r="F936" t="s">
        <v>72</v>
      </c>
      <c r="G936" t="s">
        <v>52</v>
      </c>
      <c r="H936" t="s">
        <v>25</v>
      </c>
      <c r="I936">
        <v>2</v>
      </c>
      <c r="J936">
        <v>1.39</v>
      </c>
      <c r="K936">
        <v>8</v>
      </c>
      <c r="L936">
        <v>452.09</v>
      </c>
      <c r="M936">
        <v>55</v>
      </c>
      <c r="N936" t="s">
        <v>49</v>
      </c>
      <c r="O936">
        <v>38</v>
      </c>
      <c r="P936">
        <v>897</v>
      </c>
      <c r="Q936" s="27" t="str">
        <f>IF(D936=Pivot!$AS$4,R935, "")</f>
        <v/>
      </c>
      <c r="R936" t="s">
        <v>34</v>
      </c>
      <c r="S936" s="5">
        <v>4.24</v>
      </c>
      <c r="T936">
        <v>89.52</v>
      </c>
      <c r="U936">
        <v>414.42</v>
      </c>
      <c r="V936" s="27">
        <f t="shared" si="56"/>
        <v>22.24</v>
      </c>
      <c r="W936">
        <f t="shared" si="57"/>
        <v>866.51</v>
      </c>
      <c r="X936" s="33" t="str">
        <f t="shared" si="58"/>
        <v>High Quality</v>
      </c>
      <c r="Y936" s="27" t="str">
        <f t="shared" si="59"/>
        <v>2</v>
      </c>
    </row>
    <row r="937" spans="1:25" x14ac:dyDescent="0.25">
      <c r="A937" s="1">
        <v>45514</v>
      </c>
      <c r="B937" t="s">
        <v>28</v>
      </c>
      <c r="C937">
        <v>3</v>
      </c>
      <c r="D937" t="s">
        <v>77</v>
      </c>
      <c r="E937" t="s">
        <v>30</v>
      </c>
      <c r="F937" t="s">
        <v>23</v>
      </c>
      <c r="G937" t="s">
        <v>60</v>
      </c>
      <c r="H937" t="s">
        <v>25</v>
      </c>
      <c r="I937">
        <v>1</v>
      </c>
      <c r="J937">
        <v>4.9000000000000004</v>
      </c>
      <c r="K937">
        <v>7</v>
      </c>
      <c r="L937">
        <v>225.17</v>
      </c>
      <c r="M937">
        <v>44</v>
      </c>
      <c r="N937" t="s">
        <v>55</v>
      </c>
      <c r="O937">
        <v>42</v>
      </c>
      <c r="P937">
        <v>248</v>
      </c>
      <c r="Q937" s="27" t="str">
        <f>IF(D937=Pivot!$AS$4,R936, "")</f>
        <v/>
      </c>
      <c r="R937" t="s">
        <v>27</v>
      </c>
      <c r="S937" s="5">
        <v>16.940000000000001</v>
      </c>
      <c r="T937">
        <v>65.12</v>
      </c>
      <c r="U937">
        <v>165.12</v>
      </c>
      <c r="V937" s="27">
        <f t="shared" si="56"/>
        <v>34.300000000000004</v>
      </c>
      <c r="W937">
        <f t="shared" si="57"/>
        <v>390.28999999999996</v>
      </c>
      <c r="X937" s="33" t="str">
        <f t="shared" si="58"/>
        <v>High Quality</v>
      </c>
      <c r="Y937" s="27" t="str">
        <f t="shared" si="59"/>
        <v>6</v>
      </c>
    </row>
    <row r="938" spans="1:25" x14ac:dyDescent="0.25">
      <c r="A938" s="1">
        <v>45505</v>
      </c>
      <c r="B938" t="s">
        <v>20</v>
      </c>
      <c r="C938">
        <v>2</v>
      </c>
      <c r="D938" t="s">
        <v>58</v>
      </c>
      <c r="E938" t="s">
        <v>30</v>
      </c>
      <c r="F938" t="s">
        <v>84</v>
      </c>
      <c r="G938" t="s">
        <v>32</v>
      </c>
      <c r="H938" t="s">
        <v>25</v>
      </c>
      <c r="I938">
        <v>2</v>
      </c>
      <c r="J938">
        <v>10.25</v>
      </c>
      <c r="K938">
        <v>6</v>
      </c>
      <c r="L938">
        <v>191.02</v>
      </c>
      <c r="M938">
        <v>72</v>
      </c>
      <c r="N938" t="s">
        <v>63</v>
      </c>
      <c r="O938">
        <v>41</v>
      </c>
      <c r="P938">
        <v>966</v>
      </c>
      <c r="Q938" s="27" t="str">
        <f>IF(D938=Pivot!$AS$4,R937, "")</f>
        <v/>
      </c>
      <c r="R938" t="s">
        <v>57</v>
      </c>
      <c r="S938" s="5">
        <v>4.24</v>
      </c>
      <c r="T938">
        <v>89.52</v>
      </c>
      <c r="U938">
        <v>229.22</v>
      </c>
      <c r="V938" s="27">
        <f t="shared" si="56"/>
        <v>123</v>
      </c>
      <c r="W938">
        <f t="shared" si="57"/>
        <v>420.24</v>
      </c>
      <c r="X938" s="33" t="str">
        <f t="shared" si="58"/>
        <v>Mid Quality</v>
      </c>
      <c r="Y938" s="27" t="str">
        <f t="shared" si="59"/>
        <v>12</v>
      </c>
    </row>
    <row r="939" spans="1:25" x14ac:dyDescent="0.25">
      <c r="A939" s="1">
        <v>45353</v>
      </c>
      <c r="B939" t="s">
        <v>65</v>
      </c>
      <c r="C939">
        <v>3</v>
      </c>
      <c r="D939" t="s">
        <v>83</v>
      </c>
      <c r="E939" t="s">
        <v>51</v>
      </c>
      <c r="F939" t="s">
        <v>44</v>
      </c>
      <c r="G939" t="s">
        <v>39</v>
      </c>
      <c r="H939" t="s">
        <v>33</v>
      </c>
      <c r="I939">
        <v>1</v>
      </c>
      <c r="J939">
        <v>17.690000000000001</v>
      </c>
      <c r="K939">
        <v>9</v>
      </c>
      <c r="L939">
        <v>258.06</v>
      </c>
      <c r="M939">
        <v>40</v>
      </c>
      <c r="N939" t="s">
        <v>49</v>
      </c>
      <c r="O939">
        <v>34</v>
      </c>
      <c r="P939">
        <v>489</v>
      </c>
      <c r="Q939" s="27" t="str">
        <f>IF(D939=Pivot!$AS$4,R938, "")</f>
        <v/>
      </c>
      <c r="R939" t="s">
        <v>34</v>
      </c>
      <c r="S939" s="5">
        <v>6.95</v>
      </c>
      <c r="T939">
        <v>85.1</v>
      </c>
      <c r="U939">
        <v>172.04</v>
      </c>
      <c r="V939" s="27">
        <f t="shared" si="56"/>
        <v>159.21</v>
      </c>
      <c r="W939">
        <f t="shared" si="57"/>
        <v>430.1</v>
      </c>
      <c r="X939" s="33" t="str">
        <f t="shared" si="58"/>
        <v>Low Quality</v>
      </c>
      <c r="Y939" s="27" t="str">
        <f t="shared" si="59"/>
        <v>18</v>
      </c>
    </row>
    <row r="940" spans="1:25" x14ac:dyDescent="0.25">
      <c r="A940" s="1">
        <v>45408</v>
      </c>
      <c r="B940" t="s">
        <v>65</v>
      </c>
      <c r="C940">
        <v>1</v>
      </c>
      <c r="D940" t="s">
        <v>82</v>
      </c>
      <c r="E940" t="s">
        <v>30</v>
      </c>
      <c r="F940" t="s">
        <v>70</v>
      </c>
      <c r="G940" t="s">
        <v>52</v>
      </c>
      <c r="H940" t="s">
        <v>48</v>
      </c>
      <c r="I940">
        <v>1</v>
      </c>
      <c r="J940">
        <v>11.02</v>
      </c>
      <c r="K940">
        <v>9</v>
      </c>
      <c r="L940">
        <v>225.53</v>
      </c>
      <c r="M940">
        <v>55</v>
      </c>
      <c r="N940" t="s">
        <v>55</v>
      </c>
      <c r="O940">
        <v>39</v>
      </c>
      <c r="P940">
        <v>515</v>
      </c>
      <c r="Q940" s="27" t="str">
        <f>IF(D940=Pivot!$AS$4,R939, "")</f>
        <v/>
      </c>
      <c r="R940" t="s">
        <v>27</v>
      </c>
      <c r="S940" s="5">
        <v>7.57</v>
      </c>
      <c r="T940">
        <v>83.86</v>
      </c>
      <c r="U940">
        <v>206.74</v>
      </c>
      <c r="V940" s="27">
        <f t="shared" si="56"/>
        <v>99.179999999999993</v>
      </c>
      <c r="W940">
        <f t="shared" si="57"/>
        <v>432.27</v>
      </c>
      <c r="X940" s="33" t="str">
        <f t="shared" si="58"/>
        <v>Mid Quality</v>
      </c>
      <c r="Y940" s="27" t="str">
        <f t="shared" si="59"/>
        <v>12</v>
      </c>
    </row>
    <row r="941" spans="1:25" x14ac:dyDescent="0.25">
      <c r="A941" s="1">
        <v>45297</v>
      </c>
      <c r="B941" t="s">
        <v>50</v>
      </c>
      <c r="C941">
        <v>1</v>
      </c>
      <c r="D941" t="s">
        <v>85</v>
      </c>
      <c r="E941" t="s">
        <v>67</v>
      </c>
      <c r="F941" t="s">
        <v>89</v>
      </c>
      <c r="G941" t="s">
        <v>52</v>
      </c>
      <c r="H941" t="s">
        <v>33</v>
      </c>
      <c r="I941">
        <v>5</v>
      </c>
      <c r="J941">
        <v>18.670000000000002</v>
      </c>
      <c r="K941">
        <v>1</v>
      </c>
      <c r="L941">
        <v>438.61</v>
      </c>
      <c r="M941">
        <v>5</v>
      </c>
      <c r="N941" t="s">
        <v>45</v>
      </c>
      <c r="O941">
        <v>41</v>
      </c>
      <c r="P941">
        <v>525</v>
      </c>
      <c r="Q941" s="27" t="str">
        <f>IF(D941=Pivot!$AS$4,R940, "")</f>
        <v/>
      </c>
      <c r="R941" t="s">
        <v>57</v>
      </c>
      <c r="S941" s="5">
        <v>7.81</v>
      </c>
      <c r="T941">
        <v>79.38</v>
      </c>
      <c r="U941">
        <v>36.549999999999997</v>
      </c>
      <c r="V941" s="27">
        <f t="shared" si="56"/>
        <v>93.350000000000009</v>
      </c>
      <c r="W941">
        <f t="shared" si="57"/>
        <v>475.16</v>
      </c>
      <c r="X941" s="33" t="str">
        <f t="shared" si="58"/>
        <v>Low Quality</v>
      </c>
      <c r="Y941" s="27" t="str">
        <f t="shared" si="59"/>
        <v>20</v>
      </c>
    </row>
    <row r="942" spans="1:25" x14ac:dyDescent="0.25">
      <c r="A942" s="1">
        <v>45487</v>
      </c>
      <c r="B942" t="s">
        <v>20</v>
      </c>
      <c r="C942">
        <v>1</v>
      </c>
      <c r="D942" t="s">
        <v>64</v>
      </c>
      <c r="E942" t="s">
        <v>51</v>
      </c>
      <c r="F942" t="s">
        <v>54</v>
      </c>
      <c r="G942" t="s">
        <v>39</v>
      </c>
      <c r="H942" t="s">
        <v>61</v>
      </c>
      <c r="I942">
        <v>1</v>
      </c>
      <c r="J942">
        <v>10.19</v>
      </c>
      <c r="K942">
        <v>1</v>
      </c>
      <c r="L942">
        <v>468.17</v>
      </c>
      <c r="M942">
        <v>37</v>
      </c>
      <c r="N942" t="s">
        <v>63</v>
      </c>
      <c r="O942">
        <v>44</v>
      </c>
      <c r="P942">
        <v>801</v>
      </c>
      <c r="Q942" s="27" t="str">
        <f>IF(D942=Pivot!$AS$4,R941, "")</f>
        <v/>
      </c>
      <c r="R942" t="s">
        <v>42</v>
      </c>
      <c r="S942" s="5">
        <v>5.49</v>
      </c>
      <c r="T942">
        <v>88.02</v>
      </c>
      <c r="U942">
        <v>288.7</v>
      </c>
      <c r="V942" s="27">
        <f t="shared" si="56"/>
        <v>10.19</v>
      </c>
      <c r="W942">
        <f t="shared" si="57"/>
        <v>756.87</v>
      </c>
      <c r="X942" s="33" t="str">
        <f t="shared" si="58"/>
        <v>Mid Quality</v>
      </c>
      <c r="Y942" s="27" t="str">
        <f t="shared" si="59"/>
        <v>12</v>
      </c>
    </row>
    <row r="943" spans="1:25" x14ac:dyDescent="0.25">
      <c r="A943" s="1">
        <v>45319</v>
      </c>
      <c r="B943" t="s">
        <v>65</v>
      </c>
      <c r="C943">
        <v>2</v>
      </c>
      <c r="D943" t="s">
        <v>29</v>
      </c>
      <c r="E943" t="s">
        <v>67</v>
      </c>
      <c r="F943" t="s">
        <v>54</v>
      </c>
      <c r="G943" t="s">
        <v>39</v>
      </c>
      <c r="H943" t="s">
        <v>40</v>
      </c>
      <c r="I943">
        <v>3</v>
      </c>
      <c r="J943">
        <v>10.32</v>
      </c>
      <c r="K943">
        <v>1</v>
      </c>
      <c r="L943">
        <v>186.55</v>
      </c>
      <c r="M943">
        <v>11</v>
      </c>
      <c r="N943" t="s">
        <v>55</v>
      </c>
      <c r="O943">
        <v>37</v>
      </c>
      <c r="P943">
        <v>316</v>
      </c>
      <c r="Q943" s="27" t="str">
        <f>IF(D943=Pivot!$AS$4,R942, "")</f>
        <v/>
      </c>
      <c r="R943" t="s">
        <v>57</v>
      </c>
      <c r="S943" s="5">
        <v>11.71</v>
      </c>
      <c r="T943">
        <v>73.58</v>
      </c>
      <c r="U943">
        <v>34.200000000000003</v>
      </c>
      <c r="V943" s="27">
        <f t="shared" si="56"/>
        <v>30.96</v>
      </c>
      <c r="W943">
        <f t="shared" si="57"/>
        <v>220.75</v>
      </c>
      <c r="X943" s="33" t="str">
        <f t="shared" si="58"/>
        <v>Mid Quality</v>
      </c>
      <c r="Y943" s="27" t="str">
        <f t="shared" si="59"/>
        <v>12</v>
      </c>
    </row>
    <row r="944" spans="1:25" x14ac:dyDescent="0.25">
      <c r="A944" s="1">
        <v>45448</v>
      </c>
      <c r="B944" t="s">
        <v>50</v>
      </c>
      <c r="C944">
        <v>3</v>
      </c>
      <c r="D944" t="s">
        <v>85</v>
      </c>
      <c r="E944" t="s">
        <v>37</v>
      </c>
      <c r="F944" t="s">
        <v>84</v>
      </c>
      <c r="G944" t="s">
        <v>32</v>
      </c>
      <c r="H944" t="s">
        <v>48</v>
      </c>
      <c r="I944">
        <v>3</v>
      </c>
      <c r="J944">
        <v>3.28</v>
      </c>
      <c r="K944">
        <v>8</v>
      </c>
      <c r="L944">
        <v>438.77</v>
      </c>
      <c r="M944">
        <v>56</v>
      </c>
      <c r="N944" t="s">
        <v>26</v>
      </c>
      <c r="O944">
        <v>1</v>
      </c>
      <c r="P944">
        <v>966</v>
      </c>
      <c r="Q944" s="27" t="str">
        <f>IF(D944=Pivot!$AS$4,R943, "")</f>
        <v/>
      </c>
      <c r="R944" t="s">
        <v>27</v>
      </c>
      <c r="S944" s="5">
        <v>0.1</v>
      </c>
      <c r="T944">
        <v>96.8</v>
      </c>
      <c r="U944">
        <v>409.52</v>
      </c>
      <c r="V944" s="27">
        <f t="shared" si="56"/>
        <v>78.72</v>
      </c>
      <c r="W944">
        <f t="shared" si="57"/>
        <v>848.29</v>
      </c>
      <c r="X944" s="33" t="str">
        <f t="shared" si="58"/>
        <v>High Quality</v>
      </c>
      <c r="Y944" s="27" t="str">
        <f t="shared" si="59"/>
        <v>4</v>
      </c>
    </row>
    <row r="945" spans="1:25" x14ac:dyDescent="0.25">
      <c r="A945" s="1">
        <v>45560</v>
      </c>
      <c r="B945" t="s">
        <v>28</v>
      </c>
      <c r="C945">
        <v>2</v>
      </c>
      <c r="D945" t="s">
        <v>79</v>
      </c>
      <c r="E945" t="s">
        <v>22</v>
      </c>
      <c r="F945" t="s">
        <v>44</v>
      </c>
      <c r="G945" t="s">
        <v>52</v>
      </c>
      <c r="H945" t="s">
        <v>40</v>
      </c>
      <c r="I945">
        <v>3</v>
      </c>
      <c r="J945">
        <v>16.25</v>
      </c>
      <c r="K945">
        <v>7</v>
      </c>
      <c r="L945">
        <v>401.69</v>
      </c>
      <c r="M945">
        <v>15</v>
      </c>
      <c r="N945" t="s">
        <v>45</v>
      </c>
      <c r="O945">
        <v>15</v>
      </c>
      <c r="P945">
        <v>185</v>
      </c>
      <c r="Q945" s="27" t="str">
        <f>IF(D945=Pivot!$AS$4,R944, "")</f>
        <v/>
      </c>
      <c r="R945" t="s">
        <v>46</v>
      </c>
      <c r="S945" s="5">
        <v>8.11</v>
      </c>
      <c r="T945">
        <v>80.78</v>
      </c>
      <c r="U945">
        <v>100.42</v>
      </c>
      <c r="V945" s="27">
        <f t="shared" si="56"/>
        <v>341.25</v>
      </c>
      <c r="W945">
        <f t="shared" si="57"/>
        <v>502.11</v>
      </c>
      <c r="X945" s="33" t="str">
        <f t="shared" si="58"/>
        <v>Low Quality</v>
      </c>
      <c r="Y945" s="27" t="str">
        <f t="shared" si="59"/>
        <v>18</v>
      </c>
    </row>
    <row r="946" spans="1:25" x14ac:dyDescent="0.25">
      <c r="A946" s="1">
        <v>45313</v>
      </c>
      <c r="B946" t="s">
        <v>50</v>
      </c>
      <c r="C946">
        <v>2</v>
      </c>
      <c r="D946" t="s">
        <v>66</v>
      </c>
      <c r="E946" t="s">
        <v>37</v>
      </c>
      <c r="F946" t="s">
        <v>90</v>
      </c>
      <c r="G946" t="s">
        <v>52</v>
      </c>
      <c r="H946" t="s">
        <v>61</v>
      </c>
      <c r="I946">
        <v>5</v>
      </c>
      <c r="J946">
        <v>5.69</v>
      </c>
      <c r="K946">
        <v>3</v>
      </c>
      <c r="L946">
        <v>468.86</v>
      </c>
      <c r="M946">
        <v>31</v>
      </c>
      <c r="N946" t="s">
        <v>63</v>
      </c>
      <c r="O946">
        <v>32</v>
      </c>
      <c r="P946">
        <v>315</v>
      </c>
      <c r="Q946" s="27" t="str">
        <f>IF(D946=Pivot!$AS$4,R945, "")</f>
        <v/>
      </c>
      <c r="R946" t="s">
        <v>27</v>
      </c>
      <c r="S946" s="5">
        <v>10.16</v>
      </c>
      <c r="T946">
        <v>74.680000000000007</v>
      </c>
      <c r="U946">
        <v>242.24</v>
      </c>
      <c r="V946" s="27">
        <f t="shared" si="56"/>
        <v>85.350000000000009</v>
      </c>
      <c r="W946">
        <f t="shared" si="57"/>
        <v>711.1</v>
      </c>
      <c r="X946" s="33" t="str">
        <f t="shared" si="58"/>
        <v>High Quality</v>
      </c>
      <c r="Y946" s="27" t="str">
        <f t="shared" si="59"/>
        <v>6</v>
      </c>
    </row>
    <row r="947" spans="1:25" x14ac:dyDescent="0.25">
      <c r="A947" s="1">
        <v>45455</v>
      </c>
      <c r="B947" t="s">
        <v>65</v>
      </c>
      <c r="C947">
        <v>1</v>
      </c>
      <c r="D947" t="s">
        <v>79</v>
      </c>
      <c r="E947" t="s">
        <v>22</v>
      </c>
      <c r="F947" t="s">
        <v>54</v>
      </c>
      <c r="G947" t="s">
        <v>24</v>
      </c>
      <c r="H947" t="s">
        <v>61</v>
      </c>
      <c r="I947">
        <v>2</v>
      </c>
      <c r="J947">
        <v>18.09</v>
      </c>
      <c r="K947">
        <v>2</v>
      </c>
      <c r="L947">
        <v>160.59</v>
      </c>
      <c r="M947">
        <v>18</v>
      </c>
      <c r="N947" t="s">
        <v>41</v>
      </c>
      <c r="O947">
        <v>8</v>
      </c>
      <c r="P947">
        <v>522</v>
      </c>
      <c r="Q947" s="27" t="str">
        <f>IF(D947=Pivot!$AS$4,R946, "")</f>
        <v/>
      </c>
      <c r="R947" t="s">
        <v>46</v>
      </c>
      <c r="S947" s="5">
        <v>1.53</v>
      </c>
      <c r="T947">
        <v>94.94</v>
      </c>
      <c r="U947">
        <v>48.18</v>
      </c>
      <c r="V947" s="27">
        <f t="shared" si="56"/>
        <v>72.36</v>
      </c>
      <c r="W947">
        <f t="shared" si="57"/>
        <v>208.77</v>
      </c>
      <c r="X947" s="33" t="str">
        <f t="shared" si="58"/>
        <v>Low Quality</v>
      </c>
      <c r="Y947" s="27" t="str">
        <f t="shared" si="59"/>
        <v>20</v>
      </c>
    </row>
    <row r="948" spans="1:25" x14ac:dyDescent="0.25">
      <c r="A948" s="1">
        <v>45568</v>
      </c>
      <c r="B948" t="s">
        <v>35</v>
      </c>
      <c r="C948">
        <v>2</v>
      </c>
      <c r="D948" t="s">
        <v>85</v>
      </c>
      <c r="E948" t="s">
        <v>37</v>
      </c>
      <c r="F948" t="s">
        <v>62</v>
      </c>
      <c r="G948" t="s">
        <v>60</v>
      </c>
      <c r="H948" t="s">
        <v>40</v>
      </c>
      <c r="I948">
        <v>4</v>
      </c>
      <c r="J948">
        <v>18.309999999999999</v>
      </c>
      <c r="K948">
        <v>4</v>
      </c>
      <c r="L948">
        <v>309.63</v>
      </c>
      <c r="M948">
        <v>84</v>
      </c>
      <c r="N948" t="s">
        <v>63</v>
      </c>
      <c r="O948">
        <v>33</v>
      </c>
      <c r="P948">
        <v>419</v>
      </c>
      <c r="Q948" s="27" t="str">
        <f>IF(D948=Pivot!$AS$4,R947, "")</f>
        <v/>
      </c>
      <c r="R948" t="s">
        <v>42</v>
      </c>
      <c r="S948" s="5">
        <v>7.88</v>
      </c>
      <c r="T948">
        <v>80.239999999999995</v>
      </c>
      <c r="U948">
        <v>433.48</v>
      </c>
      <c r="V948" s="27">
        <f t="shared" si="56"/>
        <v>292.95999999999998</v>
      </c>
      <c r="W948">
        <f t="shared" si="57"/>
        <v>743.11</v>
      </c>
      <c r="X948" s="33" t="str">
        <f t="shared" si="58"/>
        <v>Low Quality</v>
      </c>
      <c r="Y948" s="27" t="str">
        <f t="shared" si="59"/>
        <v>20</v>
      </c>
    </row>
    <row r="949" spans="1:25" x14ac:dyDescent="0.25">
      <c r="A949" s="1">
        <v>45581</v>
      </c>
      <c r="B949" t="s">
        <v>35</v>
      </c>
      <c r="C949">
        <v>2</v>
      </c>
      <c r="D949" t="s">
        <v>29</v>
      </c>
      <c r="E949" t="s">
        <v>30</v>
      </c>
      <c r="F949" t="s">
        <v>81</v>
      </c>
      <c r="G949" t="s">
        <v>60</v>
      </c>
      <c r="H949" t="s">
        <v>40</v>
      </c>
      <c r="I949">
        <v>1</v>
      </c>
      <c r="J949">
        <v>18.920000000000002</v>
      </c>
      <c r="K949">
        <v>3</v>
      </c>
      <c r="L949">
        <v>173.55</v>
      </c>
      <c r="M949">
        <v>50</v>
      </c>
      <c r="N949" t="s">
        <v>26</v>
      </c>
      <c r="O949">
        <v>18</v>
      </c>
      <c r="P949">
        <v>217</v>
      </c>
      <c r="Q949" s="27" t="str">
        <f>IF(D949=Pivot!$AS$4,R948, "")</f>
        <v/>
      </c>
      <c r="R949" t="s">
        <v>42</v>
      </c>
      <c r="S949" s="5">
        <v>8.2899999999999991</v>
      </c>
      <c r="T949">
        <v>82.42</v>
      </c>
      <c r="U949">
        <v>144.63</v>
      </c>
      <c r="V949" s="27">
        <f t="shared" si="56"/>
        <v>56.760000000000005</v>
      </c>
      <c r="W949">
        <f t="shared" si="57"/>
        <v>318.18</v>
      </c>
      <c r="X949" s="33" t="str">
        <f t="shared" si="58"/>
        <v>Low Quality</v>
      </c>
      <c r="Y949" s="27" t="str">
        <f t="shared" si="59"/>
        <v>20</v>
      </c>
    </row>
    <row r="950" spans="1:25" x14ac:dyDescent="0.25">
      <c r="A950" s="1">
        <v>45368</v>
      </c>
      <c r="B950" t="s">
        <v>35</v>
      </c>
      <c r="C950">
        <v>1</v>
      </c>
      <c r="D950" t="s">
        <v>76</v>
      </c>
      <c r="E950" t="s">
        <v>67</v>
      </c>
      <c r="F950" t="s">
        <v>90</v>
      </c>
      <c r="G950" t="s">
        <v>24</v>
      </c>
      <c r="H950" t="s">
        <v>40</v>
      </c>
      <c r="I950">
        <v>4</v>
      </c>
      <c r="J950">
        <v>10.88</v>
      </c>
      <c r="K950">
        <v>7</v>
      </c>
      <c r="L950">
        <v>420.84</v>
      </c>
      <c r="M950">
        <v>80</v>
      </c>
      <c r="N950" t="s">
        <v>41</v>
      </c>
      <c r="O950">
        <v>45</v>
      </c>
      <c r="P950">
        <v>981</v>
      </c>
      <c r="Q950" s="27" t="str">
        <f>IF(D950=Pivot!$AS$4,R949, "")</f>
        <v/>
      </c>
      <c r="R950" t="s">
        <v>34</v>
      </c>
      <c r="S950" s="5">
        <v>4.59</v>
      </c>
      <c r="T950">
        <v>86.82</v>
      </c>
      <c r="U950">
        <v>561.12</v>
      </c>
      <c r="V950" s="27">
        <f t="shared" si="56"/>
        <v>304.64000000000004</v>
      </c>
      <c r="W950">
        <f t="shared" si="57"/>
        <v>981.96</v>
      </c>
      <c r="X950" s="33" t="str">
        <f t="shared" si="58"/>
        <v>Mid Quality</v>
      </c>
      <c r="Y950" s="27" t="str">
        <f t="shared" si="59"/>
        <v>12</v>
      </c>
    </row>
    <row r="951" spans="1:25" x14ac:dyDescent="0.25">
      <c r="A951" s="1">
        <v>45459</v>
      </c>
      <c r="B951" t="s">
        <v>65</v>
      </c>
      <c r="C951">
        <v>2</v>
      </c>
      <c r="D951" t="s">
        <v>66</v>
      </c>
      <c r="E951" t="s">
        <v>22</v>
      </c>
      <c r="F951" t="s">
        <v>78</v>
      </c>
      <c r="G951" t="s">
        <v>60</v>
      </c>
      <c r="H951" t="s">
        <v>61</v>
      </c>
      <c r="I951">
        <v>2</v>
      </c>
      <c r="J951">
        <v>13.86</v>
      </c>
      <c r="K951">
        <v>8</v>
      </c>
      <c r="L951">
        <v>52.4</v>
      </c>
      <c r="M951">
        <v>14</v>
      </c>
      <c r="N951" t="s">
        <v>41</v>
      </c>
      <c r="O951">
        <v>29</v>
      </c>
      <c r="P951">
        <v>514</v>
      </c>
      <c r="Q951" s="27" t="str">
        <f>IF(D951=Pivot!$AS$4,R950, "")</f>
        <v/>
      </c>
      <c r="R951" t="s">
        <v>34</v>
      </c>
      <c r="S951" s="5">
        <v>5.64</v>
      </c>
      <c r="T951">
        <v>86.72</v>
      </c>
      <c r="U951">
        <v>12.23</v>
      </c>
      <c r="V951" s="27">
        <f t="shared" si="56"/>
        <v>221.76</v>
      </c>
      <c r="W951">
        <f t="shared" si="57"/>
        <v>64.63</v>
      </c>
      <c r="X951" s="33" t="str">
        <f t="shared" si="58"/>
        <v>Mid Quality</v>
      </c>
      <c r="Y951" s="27" t="str">
        <f t="shared" si="59"/>
        <v>14</v>
      </c>
    </row>
    <row r="952" spans="1:25" x14ac:dyDescent="0.25">
      <c r="A952" s="1">
        <v>45549</v>
      </c>
      <c r="B952" t="s">
        <v>35</v>
      </c>
      <c r="C952">
        <v>1</v>
      </c>
      <c r="D952" t="s">
        <v>83</v>
      </c>
      <c r="E952" t="s">
        <v>51</v>
      </c>
      <c r="F952" t="s">
        <v>90</v>
      </c>
      <c r="G952" t="s">
        <v>39</v>
      </c>
      <c r="H952" t="s">
        <v>25</v>
      </c>
      <c r="I952">
        <v>2</v>
      </c>
      <c r="J952">
        <v>15.79</v>
      </c>
      <c r="K952">
        <v>6</v>
      </c>
      <c r="L952">
        <v>304.17</v>
      </c>
      <c r="M952">
        <v>28</v>
      </c>
      <c r="N952" t="s">
        <v>41</v>
      </c>
      <c r="O952">
        <v>32</v>
      </c>
      <c r="P952">
        <v>698</v>
      </c>
      <c r="Q952" s="27" t="str">
        <f>IF(D952=Pivot!$AS$4,R951, "")</f>
        <v/>
      </c>
      <c r="R952" t="s">
        <v>46</v>
      </c>
      <c r="S952" s="5">
        <v>4.58</v>
      </c>
      <c r="T952">
        <v>88.84</v>
      </c>
      <c r="U952">
        <v>141.94999999999999</v>
      </c>
      <c r="V952" s="27">
        <f t="shared" si="56"/>
        <v>189.48</v>
      </c>
      <c r="W952">
        <f t="shared" si="57"/>
        <v>446.12</v>
      </c>
      <c r="X952" s="33" t="str">
        <f t="shared" si="58"/>
        <v>Low Quality</v>
      </c>
      <c r="Y952" s="27" t="str">
        <f t="shared" si="59"/>
        <v>16</v>
      </c>
    </row>
    <row r="953" spans="1:25" x14ac:dyDescent="0.25">
      <c r="A953" s="1">
        <v>45405</v>
      </c>
      <c r="B953" t="s">
        <v>20</v>
      </c>
      <c r="C953">
        <v>1</v>
      </c>
      <c r="D953" t="s">
        <v>88</v>
      </c>
      <c r="E953" t="s">
        <v>67</v>
      </c>
      <c r="F953" t="s">
        <v>68</v>
      </c>
      <c r="G953" t="s">
        <v>60</v>
      </c>
      <c r="H953" t="s">
        <v>40</v>
      </c>
      <c r="I953">
        <v>5</v>
      </c>
      <c r="J953">
        <v>3.49</v>
      </c>
      <c r="K953">
        <v>3</v>
      </c>
      <c r="L953">
        <v>202.64</v>
      </c>
      <c r="M953">
        <v>65</v>
      </c>
      <c r="N953" t="s">
        <v>49</v>
      </c>
      <c r="O953">
        <v>33</v>
      </c>
      <c r="P953">
        <v>139</v>
      </c>
      <c r="Q953" s="27" t="str">
        <f>IF(D953=Pivot!$AS$4,R952, "")</f>
        <v/>
      </c>
      <c r="R953" t="s">
        <v>46</v>
      </c>
      <c r="S953" s="5">
        <v>23.74</v>
      </c>
      <c r="T953">
        <v>47.52</v>
      </c>
      <c r="U953">
        <v>219.53</v>
      </c>
      <c r="V953" s="27">
        <f t="shared" si="56"/>
        <v>52.35</v>
      </c>
      <c r="W953">
        <f t="shared" si="57"/>
        <v>422.16999999999996</v>
      </c>
      <c r="X953" s="33" t="str">
        <f t="shared" si="58"/>
        <v>High Quality</v>
      </c>
      <c r="Y953" s="27" t="str">
        <f t="shared" si="59"/>
        <v>4</v>
      </c>
    </row>
    <row r="954" spans="1:25" x14ac:dyDescent="0.25">
      <c r="A954" s="1">
        <v>45370</v>
      </c>
      <c r="B954" t="s">
        <v>28</v>
      </c>
      <c r="C954">
        <v>1</v>
      </c>
      <c r="D954" t="s">
        <v>77</v>
      </c>
      <c r="E954" t="s">
        <v>51</v>
      </c>
      <c r="F954" t="s">
        <v>44</v>
      </c>
      <c r="G954" t="s">
        <v>60</v>
      </c>
      <c r="H954" t="s">
        <v>48</v>
      </c>
      <c r="I954">
        <v>3</v>
      </c>
      <c r="J954">
        <v>12.42</v>
      </c>
      <c r="K954">
        <v>6</v>
      </c>
      <c r="L954">
        <v>195.21</v>
      </c>
      <c r="M954">
        <v>22</v>
      </c>
      <c r="N954" t="s">
        <v>49</v>
      </c>
      <c r="O954">
        <v>5</v>
      </c>
      <c r="P954">
        <v>260</v>
      </c>
      <c r="Q954" s="27" t="str">
        <f>IF(D954=Pivot!$AS$4,R953, "")</f>
        <v/>
      </c>
      <c r="R954" t="s">
        <v>42</v>
      </c>
      <c r="S954" s="5">
        <v>1.92</v>
      </c>
      <c r="T954">
        <v>93.16</v>
      </c>
      <c r="U954">
        <v>71.58</v>
      </c>
      <c r="V954" s="27">
        <f t="shared" si="56"/>
        <v>223.56</v>
      </c>
      <c r="W954">
        <f t="shared" si="57"/>
        <v>266.79000000000002</v>
      </c>
      <c r="X954" s="33" t="str">
        <f t="shared" si="58"/>
        <v>Mid Quality</v>
      </c>
      <c r="Y954" s="27" t="str">
        <f t="shared" si="59"/>
        <v>14</v>
      </c>
    </row>
    <row r="955" spans="1:25" x14ac:dyDescent="0.25">
      <c r="A955" s="1">
        <v>45317</v>
      </c>
      <c r="B955" t="s">
        <v>50</v>
      </c>
      <c r="C955">
        <v>1</v>
      </c>
      <c r="D955" t="s">
        <v>66</v>
      </c>
      <c r="E955" t="s">
        <v>67</v>
      </c>
      <c r="F955" t="s">
        <v>54</v>
      </c>
      <c r="G955" t="s">
        <v>24</v>
      </c>
      <c r="H955" t="s">
        <v>61</v>
      </c>
      <c r="I955">
        <v>3</v>
      </c>
      <c r="J955">
        <v>1.65</v>
      </c>
      <c r="K955">
        <v>2</v>
      </c>
      <c r="L955">
        <v>340.21</v>
      </c>
      <c r="M955">
        <v>13</v>
      </c>
      <c r="N955" t="s">
        <v>41</v>
      </c>
      <c r="O955">
        <v>18</v>
      </c>
      <c r="P955">
        <v>802</v>
      </c>
      <c r="Q955" s="27" t="str">
        <f>IF(D955=Pivot!$AS$4,R954, "")</f>
        <v/>
      </c>
      <c r="R955" t="s">
        <v>57</v>
      </c>
      <c r="S955" s="5">
        <v>2.2400000000000002</v>
      </c>
      <c r="T955">
        <v>92.52</v>
      </c>
      <c r="U955">
        <v>73.709999999999994</v>
      </c>
      <c r="V955" s="27">
        <f t="shared" si="56"/>
        <v>9.8999999999999986</v>
      </c>
      <c r="W955">
        <f t="shared" si="57"/>
        <v>413.91999999999996</v>
      </c>
      <c r="X955" s="33" t="str">
        <f t="shared" si="58"/>
        <v>High Quality</v>
      </c>
      <c r="Y955" s="27" t="str">
        <f t="shared" si="59"/>
        <v>2</v>
      </c>
    </row>
    <row r="956" spans="1:25" x14ac:dyDescent="0.25">
      <c r="A956" s="1">
        <v>45493</v>
      </c>
      <c r="B956" t="s">
        <v>50</v>
      </c>
      <c r="C956">
        <v>2</v>
      </c>
      <c r="D956" t="s">
        <v>47</v>
      </c>
      <c r="E956" t="s">
        <v>67</v>
      </c>
      <c r="F956" t="s">
        <v>73</v>
      </c>
      <c r="G956" t="s">
        <v>32</v>
      </c>
      <c r="H956" t="s">
        <v>33</v>
      </c>
      <c r="I956">
        <v>2</v>
      </c>
      <c r="J956">
        <v>10.45</v>
      </c>
      <c r="K956">
        <v>7</v>
      </c>
      <c r="L956">
        <v>433.17</v>
      </c>
      <c r="M956">
        <v>21</v>
      </c>
      <c r="N956" t="s">
        <v>45</v>
      </c>
      <c r="O956">
        <v>48</v>
      </c>
      <c r="P956">
        <v>636</v>
      </c>
      <c r="Q956" s="27" t="str">
        <f>IF(D956=Pivot!$AS$4,R955, "")</f>
        <v/>
      </c>
      <c r="R956" t="s">
        <v>46</v>
      </c>
      <c r="S956" s="5">
        <v>7.55</v>
      </c>
      <c r="T956">
        <v>82.9</v>
      </c>
      <c r="U956">
        <v>151.61000000000001</v>
      </c>
      <c r="V956" s="27">
        <f t="shared" si="56"/>
        <v>146.29999999999998</v>
      </c>
      <c r="W956">
        <f t="shared" si="57"/>
        <v>584.78</v>
      </c>
      <c r="X956" s="33" t="str">
        <f t="shared" si="58"/>
        <v>Mid Quality</v>
      </c>
      <c r="Y956" s="27" t="str">
        <f t="shared" si="59"/>
        <v>12</v>
      </c>
    </row>
    <row r="957" spans="1:25" x14ac:dyDescent="0.25">
      <c r="A957" s="1">
        <v>45520</v>
      </c>
      <c r="B957" t="s">
        <v>65</v>
      </c>
      <c r="C957">
        <v>1</v>
      </c>
      <c r="D957" t="s">
        <v>80</v>
      </c>
      <c r="E957" t="s">
        <v>37</v>
      </c>
      <c r="F957" t="s">
        <v>86</v>
      </c>
      <c r="G957" t="s">
        <v>60</v>
      </c>
      <c r="H957" t="s">
        <v>33</v>
      </c>
      <c r="I957">
        <v>5</v>
      </c>
      <c r="J957">
        <v>3.94</v>
      </c>
      <c r="K957">
        <v>7</v>
      </c>
      <c r="L957">
        <v>324.14</v>
      </c>
      <c r="M957">
        <v>62</v>
      </c>
      <c r="N957" t="s">
        <v>41</v>
      </c>
      <c r="O957">
        <v>10</v>
      </c>
      <c r="P957">
        <v>519</v>
      </c>
      <c r="Q957" s="27" t="str">
        <f>IF(D957=Pivot!$AS$4,R956, "")</f>
        <v>Eğitim önerildi</v>
      </c>
      <c r="R957" t="s">
        <v>46</v>
      </c>
      <c r="S957" s="5">
        <v>1.93</v>
      </c>
      <c r="T957">
        <v>91.14</v>
      </c>
      <c r="U957">
        <v>334.94</v>
      </c>
      <c r="V957" s="27">
        <f t="shared" si="56"/>
        <v>137.9</v>
      </c>
      <c r="W957">
        <f t="shared" si="57"/>
        <v>659.07999999999993</v>
      </c>
      <c r="X957" s="33" t="str">
        <f t="shared" si="58"/>
        <v>High Quality</v>
      </c>
      <c r="Y957" s="27" t="str">
        <f t="shared" si="59"/>
        <v>4</v>
      </c>
    </row>
    <row r="958" spans="1:25" x14ac:dyDescent="0.25">
      <c r="A958" s="1">
        <v>45586</v>
      </c>
      <c r="B958" t="s">
        <v>35</v>
      </c>
      <c r="C958">
        <v>1</v>
      </c>
      <c r="D958" t="s">
        <v>21</v>
      </c>
      <c r="E958" t="s">
        <v>22</v>
      </c>
      <c r="F958" t="s">
        <v>73</v>
      </c>
      <c r="G958" t="s">
        <v>60</v>
      </c>
      <c r="H958" t="s">
        <v>48</v>
      </c>
      <c r="I958">
        <v>5</v>
      </c>
      <c r="J958">
        <v>4.4800000000000004</v>
      </c>
      <c r="K958">
        <v>4</v>
      </c>
      <c r="L958">
        <v>433.93</v>
      </c>
      <c r="M958">
        <v>17</v>
      </c>
      <c r="N958" t="s">
        <v>55</v>
      </c>
      <c r="O958">
        <v>36</v>
      </c>
      <c r="P958">
        <v>763</v>
      </c>
      <c r="Q958" s="27" t="str">
        <f>IF(D958=Pivot!$AS$4,R957, "")</f>
        <v/>
      </c>
      <c r="R958" t="s">
        <v>57</v>
      </c>
      <c r="S958" s="5">
        <v>4.72</v>
      </c>
      <c r="T958">
        <v>85.56</v>
      </c>
      <c r="U958">
        <v>122.95</v>
      </c>
      <c r="V958" s="27">
        <f t="shared" si="56"/>
        <v>89.600000000000009</v>
      </c>
      <c r="W958">
        <f t="shared" si="57"/>
        <v>556.88</v>
      </c>
      <c r="X958" s="33" t="str">
        <f t="shared" si="58"/>
        <v>High Quality</v>
      </c>
      <c r="Y958" s="27" t="str">
        <f t="shared" si="59"/>
        <v>6</v>
      </c>
    </row>
    <row r="959" spans="1:25" x14ac:dyDescent="0.25">
      <c r="A959" s="1">
        <v>45550</v>
      </c>
      <c r="B959" t="s">
        <v>35</v>
      </c>
      <c r="C959">
        <v>2</v>
      </c>
      <c r="D959" t="s">
        <v>85</v>
      </c>
      <c r="E959" t="s">
        <v>22</v>
      </c>
      <c r="F959" t="s">
        <v>38</v>
      </c>
      <c r="G959" t="s">
        <v>32</v>
      </c>
      <c r="H959" t="s">
        <v>25</v>
      </c>
      <c r="I959">
        <v>1</v>
      </c>
      <c r="J959">
        <v>7.94</v>
      </c>
      <c r="K959">
        <v>8</v>
      </c>
      <c r="L959">
        <v>169.07</v>
      </c>
      <c r="M959">
        <v>54</v>
      </c>
      <c r="N959" t="s">
        <v>41</v>
      </c>
      <c r="O959">
        <v>33</v>
      </c>
      <c r="P959">
        <v>194</v>
      </c>
      <c r="Q959" s="27" t="str">
        <f>IF(D959=Pivot!$AS$4,R958, "")</f>
        <v/>
      </c>
      <c r="R959" t="s">
        <v>34</v>
      </c>
      <c r="S959" s="5">
        <v>17.010000000000002</v>
      </c>
      <c r="T959">
        <v>64.98</v>
      </c>
      <c r="U959">
        <v>152.16</v>
      </c>
      <c r="V959" s="27">
        <f t="shared" si="56"/>
        <v>63.52</v>
      </c>
      <c r="W959">
        <f t="shared" si="57"/>
        <v>321.23</v>
      </c>
      <c r="X959" s="33" t="str">
        <f t="shared" si="58"/>
        <v>Mid Quality</v>
      </c>
      <c r="Y959" s="27" t="str">
        <f t="shared" si="59"/>
        <v>8</v>
      </c>
    </row>
    <row r="960" spans="1:25" x14ac:dyDescent="0.25">
      <c r="A960" s="1">
        <v>45338</v>
      </c>
      <c r="B960" t="s">
        <v>75</v>
      </c>
      <c r="C960">
        <v>2</v>
      </c>
      <c r="D960" t="s">
        <v>77</v>
      </c>
      <c r="E960" t="s">
        <v>67</v>
      </c>
      <c r="F960" t="s">
        <v>70</v>
      </c>
      <c r="G960" t="s">
        <v>24</v>
      </c>
      <c r="H960" t="s">
        <v>40</v>
      </c>
      <c r="I960">
        <v>3</v>
      </c>
      <c r="J960">
        <v>9.2200000000000006</v>
      </c>
      <c r="K960">
        <v>4</v>
      </c>
      <c r="L960">
        <v>283.77999999999997</v>
      </c>
      <c r="M960">
        <v>10</v>
      </c>
      <c r="N960" t="s">
        <v>49</v>
      </c>
      <c r="O960">
        <v>23</v>
      </c>
      <c r="P960">
        <v>541</v>
      </c>
      <c r="Q960" s="27" t="str">
        <f>IF(D960=Pivot!$AS$4,R959, "")</f>
        <v/>
      </c>
      <c r="R960" t="s">
        <v>34</v>
      </c>
      <c r="S960" s="5">
        <v>4.25</v>
      </c>
      <c r="T960">
        <v>88.5</v>
      </c>
      <c r="U960">
        <v>47.3</v>
      </c>
      <c r="V960" s="27">
        <f t="shared" si="56"/>
        <v>110.64000000000001</v>
      </c>
      <c r="W960">
        <f t="shared" si="57"/>
        <v>331.08</v>
      </c>
      <c r="X960" s="33" t="str">
        <f t="shared" si="58"/>
        <v>Mid Quality</v>
      </c>
      <c r="Y960" s="27" t="str">
        <f t="shared" si="59"/>
        <v>10</v>
      </c>
    </row>
    <row r="961" spans="1:25" x14ac:dyDescent="0.25">
      <c r="A961" s="1">
        <v>45405</v>
      </c>
      <c r="B961" t="s">
        <v>28</v>
      </c>
      <c r="C961">
        <v>3</v>
      </c>
      <c r="D961" t="s">
        <v>71</v>
      </c>
      <c r="E961" t="s">
        <v>30</v>
      </c>
      <c r="F961" t="s">
        <v>81</v>
      </c>
      <c r="G961" t="s">
        <v>32</v>
      </c>
      <c r="H961" t="s">
        <v>61</v>
      </c>
      <c r="I961">
        <v>2</v>
      </c>
      <c r="J961">
        <v>12.84</v>
      </c>
      <c r="K961">
        <v>7</v>
      </c>
      <c r="L961">
        <v>252.74</v>
      </c>
      <c r="M961">
        <v>89</v>
      </c>
      <c r="N961" t="s">
        <v>49</v>
      </c>
      <c r="O961">
        <v>40</v>
      </c>
      <c r="P961">
        <v>657</v>
      </c>
      <c r="Q961" s="27" t="str">
        <f>IF(D961=Pivot!$AS$4,R960, "")</f>
        <v/>
      </c>
      <c r="R961" t="s">
        <v>46</v>
      </c>
      <c r="S961" s="5">
        <v>6.09</v>
      </c>
      <c r="T961">
        <v>85.82</v>
      </c>
      <c r="U961">
        <v>374.9</v>
      </c>
      <c r="V961" s="27">
        <f t="shared" si="56"/>
        <v>179.76</v>
      </c>
      <c r="W961">
        <f t="shared" si="57"/>
        <v>627.64</v>
      </c>
      <c r="X961" s="33" t="str">
        <f t="shared" si="58"/>
        <v>Mid Quality</v>
      </c>
      <c r="Y961" s="27" t="str">
        <f t="shared" si="59"/>
        <v>14</v>
      </c>
    </row>
    <row r="962" spans="1:25" x14ac:dyDescent="0.25">
      <c r="A962" s="1">
        <v>45513</v>
      </c>
      <c r="B962" t="s">
        <v>20</v>
      </c>
      <c r="C962">
        <v>2</v>
      </c>
      <c r="D962" t="s">
        <v>82</v>
      </c>
      <c r="E962" t="s">
        <v>30</v>
      </c>
      <c r="F962" t="s">
        <v>54</v>
      </c>
      <c r="G962" t="s">
        <v>24</v>
      </c>
      <c r="H962" t="s">
        <v>40</v>
      </c>
      <c r="I962">
        <v>4</v>
      </c>
      <c r="J962">
        <v>2.41</v>
      </c>
      <c r="K962">
        <v>4</v>
      </c>
      <c r="L962">
        <v>55.24</v>
      </c>
      <c r="M962">
        <v>55</v>
      </c>
      <c r="N962" t="s">
        <v>55</v>
      </c>
      <c r="O962">
        <v>5</v>
      </c>
      <c r="P962">
        <v>749</v>
      </c>
      <c r="Q962" s="27" t="str">
        <f>IF(D962=Pivot!$AS$4,R961, "")</f>
        <v/>
      </c>
      <c r="R962" t="s">
        <v>34</v>
      </c>
      <c r="S962" s="5">
        <v>0.67</v>
      </c>
      <c r="T962">
        <v>94.66</v>
      </c>
      <c r="U962">
        <v>50.64</v>
      </c>
      <c r="V962" s="27">
        <f t="shared" ref="V962:V1001" si="60">K962*I962*J962</f>
        <v>38.56</v>
      </c>
      <c r="W962">
        <f t="shared" ref="W962:W1001" si="61">U962+L962</f>
        <v>105.88</v>
      </c>
      <c r="X962" s="33" t="str">
        <f t="shared" ref="X962:X1001" si="62">_xlfn.IFS(J962&lt;6,"High Quality",J962&lt;=15,"Mid Quality",J962&gt;15,"Low Quality")</f>
        <v>High Quality</v>
      </c>
      <c r="Y962" s="27" t="str">
        <f t="shared" ref="Y962:Y1001" si="63">_xlfn.IFS(J962&lt;=0,"0",J962&lt;=2,"2",J962&lt;=4,"4",J962&lt;=6,"6",J962&lt;=8,"8",J962&lt;=10,"10",J962&lt;=12,"12",J962&lt;=14,"14",J962&lt;=16,"16",J962&lt;=16,"16",J962&lt;=18,"18",J962&lt;=20,"20")</f>
        <v>4</v>
      </c>
    </row>
    <row r="963" spans="1:25" x14ac:dyDescent="0.25">
      <c r="A963" s="1">
        <v>45440</v>
      </c>
      <c r="B963" t="s">
        <v>50</v>
      </c>
      <c r="C963">
        <v>2</v>
      </c>
      <c r="D963" t="s">
        <v>85</v>
      </c>
      <c r="E963" t="s">
        <v>51</v>
      </c>
      <c r="F963" t="s">
        <v>72</v>
      </c>
      <c r="G963" t="s">
        <v>39</v>
      </c>
      <c r="H963" t="s">
        <v>61</v>
      </c>
      <c r="I963">
        <v>3</v>
      </c>
      <c r="J963">
        <v>10.57</v>
      </c>
      <c r="K963">
        <v>5</v>
      </c>
      <c r="L963">
        <v>300.57</v>
      </c>
      <c r="M963">
        <v>40</v>
      </c>
      <c r="N963" t="s">
        <v>55</v>
      </c>
      <c r="O963">
        <v>34</v>
      </c>
      <c r="P963">
        <v>565</v>
      </c>
      <c r="Q963" s="27" t="str">
        <f>IF(D963=Pivot!$AS$4,R962, "")</f>
        <v/>
      </c>
      <c r="R963" t="s">
        <v>34</v>
      </c>
      <c r="S963" s="5">
        <v>6.02</v>
      </c>
      <c r="T963">
        <v>84.96</v>
      </c>
      <c r="U963">
        <v>200.38</v>
      </c>
      <c r="V963" s="27">
        <f t="shared" si="60"/>
        <v>158.55000000000001</v>
      </c>
      <c r="W963">
        <f t="shared" si="61"/>
        <v>500.95</v>
      </c>
      <c r="X963" s="33" t="str">
        <f t="shared" si="62"/>
        <v>Mid Quality</v>
      </c>
      <c r="Y963" s="27" t="str">
        <f t="shared" si="63"/>
        <v>12</v>
      </c>
    </row>
    <row r="964" spans="1:25" x14ac:dyDescent="0.25">
      <c r="A964" s="1">
        <v>45493</v>
      </c>
      <c r="B964" t="s">
        <v>75</v>
      </c>
      <c r="C964">
        <v>3</v>
      </c>
      <c r="D964" t="s">
        <v>43</v>
      </c>
      <c r="E964" t="s">
        <v>51</v>
      </c>
      <c r="F964" t="s">
        <v>68</v>
      </c>
      <c r="G964" t="s">
        <v>24</v>
      </c>
      <c r="H964" t="s">
        <v>33</v>
      </c>
      <c r="I964">
        <v>1</v>
      </c>
      <c r="J964">
        <v>4.47</v>
      </c>
      <c r="K964">
        <v>7</v>
      </c>
      <c r="L964">
        <v>347.69</v>
      </c>
      <c r="M964">
        <v>75</v>
      </c>
      <c r="N964" t="s">
        <v>63</v>
      </c>
      <c r="O964">
        <v>24</v>
      </c>
      <c r="P964">
        <v>387</v>
      </c>
      <c r="Q964" s="27" t="str">
        <f>IF(D964=Pivot!$AS$4,R963, "")</f>
        <v/>
      </c>
      <c r="R964" t="s">
        <v>34</v>
      </c>
      <c r="S964" s="5">
        <v>6.2</v>
      </c>
      <c r="T964">
        <v>86.6</v>
      </c>
      <c r="U964">
        <v>434.61</v>
      </c>
      <c r="V964" s="27">
        <f t="shared" si="60"/>
        <v>31.29</v>
      </c>
      <c r="W964">
        <f t="shared" si="61"/>
        <v>782.3</v>
      </c>
      <c r="X964" s="33" t="str">
        <f t="shared" si="62"/>
        <v>High Quality</v>
      </c>
      <c r="Y964" s="27" t="str">
        <f t="shared" si="63"/>
        <v>6</v>
      </c>
    </row>
    <row r="965" spans="1:25" x14ac:dyDescent="0.25">
      <c r="A965" s="1">
        <v>45367</v>
      </c>
      <c r="B965" t="s">
        <v>75</v>
      </c>
      <c r="C965">
        <v>2</v>
      </c>
      <c r="D965" t="s">
        <v>36</v>
      </c>
      <c r="E965" t="s">
        <v>37</v>
      </c>
      <c r="F965" t="s">
        <v>31</v>
      </c>
      <c r="G965" t="s">
        <v>39</v>
      </c>
      <c r="H965" t="s">
        <v>40</v>
      </c>
      <c r="I965">
        <v>5</v>
      </c>
      <c r="J965">
        <v>11.91</v>
      </c>
      <c r="K965">
        <v>3</v>
      </c>
      <c r="L965">
        <v>316.36</v>
      </c>
      <c r="M965">
        <v>29</v>
      </c>
      <c r="N965" t="s">
        <v>45</v>
      </c>
      <c r="O965">
        <v>17</v>
      </c>
      <c r="P965">
        <v>964</v>
      </c>
      <c r="Q965" s="27" t="str">
        <f>IF(D965=Pivot!$AS$4,R964, "")</f>
        <v/>
      </c>
      <c r="R965" t="s">
        <v>42</v>
      </c>
      <c r="S965" s="5">
        <v>1.76</v>
      </c>
      <c r="T965">
        <v>91.48</v>
      </c>
      <c r="U965">
        <v>152.91</v>
      </c>
      <c r="V965" s="27">
        <f t="shared" si="60"/>
        <v>178.65</v>
      </c>
      <c r="W965">
        <f t="shared" si="61"/>
        <v>469.27</v>
      </c>
      <c r="X965" s="33" t="str">
        <f t="shared" si="62"/>
        <v>Mid Quality</v>
      </c>
      <c r="Y965" s="27" t="str">
        <f t="shared" si="63"/>
        <v>12</v>
      </c>
    </row>
    <row r="966" spans="1:25" x14ac:dyDescent="0.25">
      <c r="A966" s="1">
        <v>45359</v>
      </c>
      <c r="B966" t="s">
        <v>65</v>
      </c>
      <c r="C966">
        <v>2</v>
      </c>
      <c r="D966" t="s">
        <v>58</v>
      </c>
      <c r="E966" t="s">
        <v>67</v>
      </c>
      <c r="F966" t="s">
        <v>81</v>
      </c>
      <c r="G966" t="s">
        <v>39</v>
      </c>
      <c r="H966" t="s">
        <v>48</v>
      </c>
      <c r="I966">
        <v>2</v>
      </c>
      <c r="J966">
        <v>13.11</v>
      </c>
      <c r="K966">
        <v>5</v>
      </c>
      <c r="L966">
        <v>381.33</v>
      </c>
      <c r="M966">
        <v>15</v>
      </c>
      <c r="N966" t="s">
        <v>45</v>
      </c>
      <c r="O966">
        <v>31</v>
      </c>
      <c r="P966">
        <v>775</v>
      </c>
      <c r="Q966" s="27" t="str">
        <f>IF(D966=Pivot!$AS$4,R965, "")</f>
        <v/>
      </c>
      <c r="R966" t="s">
        <v>27</v>
      </c>
      <c r="S966" s="5">
        <v>4</v>
      </c>
      <c r="T966">
        <v>90</v>
      </c>
      <c r="U966">
        <v>95.33</v>
      </c>
      <c r="V966" s="27">
        <f t="shared" si="60"/>
        <v>131.1</v>
      </c>
      <c r="W966">
        <f t="shared" si="61"/>
        <v>476.65999999999997</v>
      </c>
      <c r="X966" s="33" t="str">
        <f t="shared" si="62"/>
        <v>Mid Quality</v>
      </c>
      <c r="Y966" s="27" t="str">
        <f t="shared" si="63"/>
        <v>14</v>
      </c>
    </row>
    <row r="967" spans="1:25" x14ac:dyDescent="0.25">
      <c r="A967" s="1">
        <v>45464</v>
      </c>
      <c r="B967" t="s">
        <v>50</v>
      </c>
      <c r="C967">
        <v>2</v>
      </c>
      <c r="D967" t="s">
        <v>74</v>
      </c>
      <c r="E967" t="s">
        <v>51</v>
      </c>
      <c r="F967" t="s">
        <v>90</v>
      </c>
      <c r="G967" t="s">
        <v>24</v>
      </c>
      <c r="H967" t="s">
        <v>25</v>
      </c>
      <c r="I967">
        <v>3</v>
      </c>
      <c r="J967">
        <v>11.58</v>
      </c>
      <c r="K967">
        <v>3</v>
      </c>
      <c r="L967">
        <v>307.10000000000002</v>
      </c>
      <c r="M967">
        <v>48</v>
      </c>
      <c r="N967" t="s">
        <v>45</v>
      </c>
      <c r="O967">
        <v>7</v>
      </c>
      <c r="P967">
        <v>511</v>
      </c>
      <c r="Q967" s="27" t="str">
        <f>IF(D967=Pivot!$AS$4,R966, "")</f>
        <v/>
      </c>
      <c r="R967" t="s">
        <v>46</v>
      </c>
      <c r="S967" s="5">
        <v>1.37</v>
      </c>
      <c r="T967">
        <v>94.26</v>
      </c>
      <c r="U967">
        <v>245.68</v>
      </c>
      <c r="V967" s="27">
        <f t="shared" si="60"/>
        <v>104.22</v>
      </c>
      <c r="W967">
        <f t="shared" si="61"/>
        <v>552.78</v>
      </c>
      <c r="X967" s="33" t="str">
        <f t="shared" si="62"/>
        <v>Mid Quality</v>
      </c>
      <c r="Y967" s="27" t="str">
        <f t="shared" si="63"/>
        <v>12</v>
      </c>
    </row>
    <row r="968" spans="1:25" x14ac:dyDescent="0.25">
      <c r="A968" s="1">
        <v>45334</v>
      </c>
      <c r="B968" t="s">
        <v>65</v>
      </c>
      <c r="C968">
        <v>2</v>
      </c>
      <c r="D968" t="s">
        <v>58</v>
      </c>
      <c r="E968" t="s">
        <v>51</v>
      </c>
      <c r="F968" t="s">
        <v>68</v>
      </c>
      <c r="G968" t="s">
        <v>52</v>
      </c>
      <c r="H968" t="s">
        <v>48</v>
      </c>
      <c r="I968">
        <v>4</v>
      </c>
      <c r="J968">
        <v>15.03</v>
      </c>
      <c r="K968">
        <v>5</v>
      </c>
      <c r="L968">
        <v>80.040000000000006</v>
      </c>
      <c r="M968">
        <v>18</v>
      </c>
      <c r="N968" t="s">
        <v>26</v>
      </c>
      <c r="O968">
        <v>17</v>
      </c>
      <c r="P968">
        <v>499</v>
      </c>
      <c r="Q968" s="27" t="str">
        <f>IF(D968=Pivot!$AS$4,R967, "")</f>
        <v/>
      </c>
      <c r="R968" t="s">
        <v>46</v>
      </c>
      <c r="S968" s="5">
        <v>3.41</v>
      </c>
      <c r="T968">
        <v>89.18</v>
      </c>
      <c r="U968">
        <v>24.01</v>
      </c>
      <c r="V968" s="27">
        <f t="shared" si="60"/>
        <v>300.59999999999997</v>
      </c>
      <c r="W968">
        <f t="shared" si="61"/>
        <v>104.05000000000001</v>
      </c>
      <c r="X968" s="33" t="str">
        <f t="shared" si="62"/>
        <v>Low Quality</v>
      </c>
      <c r="Y968" s="27" t="str">
        <f t="shared" si="63"/>
        <v>16</v>
      </c>
    </row>
    <row r="969" spans="1:25" x14ac:dyDescent="0.25">
      <c r="A969" s="1">
        <v>45535</v>
      </c>
      <c r="B969" t="s">
        <v>20</v>
      </c>
      <c r="C969">
        <v>3</v>
      </c>
      <c r="D969" t="s">
        <v>36</v>
      </c>
      <c r="E969" t="s">
        <v>67</v>
      </c>
      <c r="F969" t="s">
        <v>81</v>
      </c>
      <c r="G969" t="s">
        <v>24</v>
      </c>
      <c r="H969" t="s">
        <v>25</v>
      </c>
      <c r="I969">
        <v>1</v>
      </c>
      <c r="J969">
        <v>7.38</v>
      </c>
      <c r="K969">
        <v>3</v>
      </c>
      <c r="L969">
        <v>102.4</v>
      </c>
      <c r="M969">
        <v>33</v>
      </c>
      <c r="N969" t="s">
        <v>49</v>
      </c>
      <c r="O969">
        <v>28</v>
      </c>
      <c r="P969">
        <v>627</v>
      </c>
      <c r="Q969" s="27" t="str">
        <f>IF(D969=Pivot!$AS$4,R968, "")</f>
        <v/>
      </c>
      <c r="R969" t="s">
        <v>42</v>
      </c>
      <c r="S969" s="5">
        <v>4.47</v>
      </c>
      <c r="T969">
        <v>90.06</v>
      </c>
      <c r="U969">
        <v>56.32</v>
      </c>
      <c r="V969" s="27">
        <f t="shared" si="60"/>
        <v>22.14</v>
      </c>
      <c r="W969">
        <f t="shared" si="61"/>
        <v>158.72</v>
      </c>
      <c r="X969" s="33" t="str">
        <f t="shared" si="62"/>
        <v>Mid Quality</v>
      </c>
      <c r="Y969" s="27" t="str">
        <f t="shared" si="63"/>
        <v>8</v>
      </c>
    </row>
    <row r="970" spans="1:25" x14ac:dyDescent="0.25">
      <c r="A970" s="1">
        <v>45584</v>
      </c>
      <c r="B970" t="s">
        <v>75</v>
      </c>
      <c r="C970">
        <v>2</v>
      </c>
      <c r="D970" t="s">
        <v>47</v>
      </c>
      <c r="E970" t="s">
        <v>37</v>
      </c>
      <c r="F970" t="s">
        <v>59</v>
      </c>
      <c r="G970" t="s">
        <v>60</v>
      </c>
      <c r="H970" t="s">
        <v>40</v>
      </c>
      <c r="I970">
        <v>1</v>
      </c>
      <c r="J970">
        <v>15.54</v>
      </c>
      <c r="K970">
        <v>7</v>
      </c>
      <c r="L970">
        <v>318.41000000000003</v>
      </c>
      <c r="M970">
        <v>78</v>
      </c>
      <c r="N970" t="s">
        <v>45</v>
      </c>
      <c r="O970">
        <v>38</v>
      </c>
      <c r="P970">
        <v>117</v>
      </c>
      <c r="Q970" s="27" t="str">
        <f>IF(D970=Pivot!$AS$4,R969, "")</f>
        <v/>
      </c>
      <c r="R970" t="s">
        <v>27</v>
      </c>
      <c r="S970" s="5">
        <v>32.479999999999997</v>
      </c>
      <c r="T970">
        <v>34.04</v>
      </c>
      <c r="U970">
        <v>413.93</v>
      </c>
      <c r="V970" s="27">
        <f t="shared" si="60"/>
        <v>108.78</v>
      </c>
      <c r="W970">
        <f t="shared" si="61"/>
        <v>732.34</v>
      </c>
      <c r="X970" s="33" t="str">
        <f t="shared" si="62"/>
        <v>Low Quality</v>
      </c>
      <c r="Y970" s="27" t="str">
        <f t="shared" si="63"/>
        <v>16</v>
      </c>
    </row>
    <row r="971" spans="1:25" x14ac:dyDescent="0.25">
      <c r="A971" s="1">
        <v>45317</v>
      </c>
      <c r="B971" t="s">
        <v>75</v>
      </c>
      <c r="C971">
        <v>2</v>
      </c>
      <c r="D971" t="s">
        <v>21</v>
      </c>
      <c r="E971" t="s">
        <v>51</v>
      </c>
      <c r="F971" t="s">
        <v>54</v>
      </c>
      <c r="G971" t="s">
        <v>60</v>
      </c>
      <c r="H971" t="s">
        <v>40</v>
      </c>
      <c r="I971">
        <v>3</v>
      </c>
      <c r="J971">
        <v>9.2200000000000006</v>
      </c>
      <c r="K971">
        <v>1</v>
      </c>
      <c r="L971">
        <v>173.74</v>
      </c>
      <c r="M971">
        <v>54</v>
      </c>
      <c r="N971" t="s">
        <v>63</v>
      </c>
      <c r="O971">
        <v>22</v>
      </c>
      <c r="P971">
        <v>235</v>
      </c>
      <c r="Q971" s="27" t="str">
        <f>IF(D971=Pivot!$AS$4,R970, "")</f>
        <v/>
      </c>
      <c r="R971" t="s">
        <v>27</v>
      </c>
      <c r="S971" s="5">
        <v>9.36</v>
      </c>
      <c r="T971">
        <v>78.28</v>
      </c>
      <c r="U971">
        <v>156.37</v>
      </c>
      <c r="V971" s="27">
        <f t="shared" si="60"/>
        <v>27.660000000000004</v>
      </c>
      <c r="W971">
        <f t="shared" si="61"/>
        <v>330.11</v>
      </c>
      <c r="X971" s="33" t="str">
        <f t="shared" si="62"/>
        <v>Mid Quality</v>
      </c>
      <c r="Y971" s="27" t="str">
        <f t="shared" si="63"/>
        <v>10</v>
      </c>
    </row>
    <row r="972" spans="1:25" x14ac:dyDescent="0.25">
      <c r="A972" s="1">
        <v>45572</v>
      </c>
      <c r="B972" t="s">
        <v>28</v>
      </c>
      <c r="C972">
        <v>3</v>
      </c>
      <c r="D972" t="s">
        <v>66</v>
      </c>
      <c r="E972" t="s">
        <v>37</v>
      </c>
      <c r="F972" t="s">
        <v>81</v>
      </c>
      <c r="G972" t="s">
        <v>52</v>
      </c>
      <c r="H972" t="s">
        <v>25</v>
      </c>
      <c r="I972">
        <v>4</v>
      </c>
      <c r="J972">
        <v>10.199999999999999</v>
      </c>
      <c r="K972">
        <v>9</v>
      </c>
      <c r="L972">
        <v>85.84</v>
      </c>
      <c r="M972">
        <v>9</v>
      </c>
      <c r="N972" t="s">
        <v>63</v>
      </c>
      <c r="O972">
        <v>15</v>
      </c>
      <c r="P972">
        <v>563</v>
      </c>
      <c r="Q972" s="27" t="str">
        <f>IF(D972=Pivot!$AS$4,R971, "")</f>
        <v/>
      </c>
      <c r="R972" t="s">
        <v>42</v>
      </c>
      <c r="S972" s="5">
        <v>2.66</v>
      </c>
      <c r="T972">
        <v>90.68</v>
      </c>
      <c r="U972">
        <v>12.88</v>
      </c>
      <c r="V972" s="27">
        <f t="shared" si="60"/>
        <v>367.2</v>
      </c>
      <c r="W972">
        <f t="shared" si="61"/>
        <v>98.72</v>
      </c>
      <c r="X972" s="33" t="str">
        <f t="shared" si="62"/>
        <v>Mid Quality</v>
      </c>
      <c r="Y972" s="27" t="str">
        <f t="shared" si="63"/>
        <v>12</v>
      </c>
    </row>
    <row r="973" spans="1:25" x14ac:dyDescent="0.25">
      <c r="A973" s="1">
        <v>45496</v>
      </c>
      <c r="B973" t="s">
        <v>20</v>
      </c>
      <c r="C973">
        <v>1</v>
      </c>
      <c r="D973" t="s">
        <v>76</v>
      </c>
      <c r="E973" t="s">
        <v>22</v>
      </c>
      <c r="F973" t="s">
        <v>78</v>
      </c>
      <c r="G973" t="s">
        <v>39</v>
      </c>
      <c r="H973" t="s">
        <v>33</v>
      </c>
      <c r="I973">
        <v>1</v>
      </c>
      <c r="J973">
        <v>13.31</v>
      </c>
      <c r="K973">
        <v>9</v>
      </c>
      <c r="L973">
        <v>243.32</v>
      </c>
      <c r="M973">
        <v>76</v>
      </c>
      <c r="N973" t="s">
        <v>45</v>
      </c>
      <c r="O973">
        <v>37</v>
      </c>
      <c r="P973">
        <v>858</v>
      </c>
      <c r="Q973" s="27" t="str">
        <f>IF(D973=Pivot!$AS$4,R972, "")</f>
        <v/>
      </c>
      <c r="R973" t="s">
        <v>57</v>
      </c>
      <c r="S973" s="5">
        <v>4.3099999999999996</v>
      </c>
      <c r="T973">
        <v>90.38</v>
      </c>
      <c r="U973">
        <v>308.20999999999998</v>
      </c>
      <c r="V973" s="27">
        <f t="shared" si="60"/>
        <v>119.79</v>
      </c>
      <c r="W973">
        <f t="shared" si="61"/>
        <v>551.53</v>
      </c>
      <c r="X973" s="33" t="str">
        <f t="shared" si="62"/>
        <v>Mid Quality</v>
      </c>
      <c r="Y973" s="27" t="str">
        <f t="shared" si="63"/>
        <v>14</v>
      </c>
    </row>
    <row r="974" spans="1:25" x14ac:dyDescent="0.25">
      <c r="A974" s="1">
        <v>45426</v>
      </c>
      <c r="B974" t="s">
        <v>75</v>
      </c>
      <c r="C974">
        <v>3</v>
      </c>
      <c r="D974" t="s">
        <v>64</v>
      </c>
      <c r="E974" t="s">
        <v>37</v>
      </c>
      <c r="F974" t="s">
        <v>68</v>
      </c>
      <c r="G974" t="s">
        <v>52</v>
      </c>
      <c r="H974" t="s">
        <v>61</v>
      </c>
      <c r="I974">
        <v>2</v>
      </c>
      <c r="J974">
        <v>1.35</v>
      </c>
      <c r="K974">
        <v>5</v>
      </c>
      <c r="L974">
        <v>299.45</v>
      </c>
      <c r="M974">
        <v>73</v>
      </c>
      <c r="N974" t="s">
        <v>55</v>
      </c>
      <c r="O974">
        <v>15</v>
      </c>
      <c r="P974">
        <v>347</v>
      </c>
      <c r="Q974" s="27" t="str">
        <f>IF(D974=Pivot!$AS$4,R973, "")</f>
        <v/>
      </c>
      <c r="R974" t="s">
        <v>57</v>
      </c>
      <c r="S974" s="5">
        <v>4.32</v>
      </c>
      <c r="T974">
        <v>89.36</v>
      </c>
      <c r="U974">
        <v>364.33</v>
      </c>
      <c r="V974" s="27">
        <f t="shared" si="60"/>
        <v>13.5</v>
      </c>
      <c r="W974">
        <f t="shared" si="61"/>
        <v>663.78</v>
      </c>
      <c r="X974" s="33" t="str">
        <f t="shared" si="62"/>
        <v>High Quality</v>
      </c>
      <c r="Y974" s="27" t="str">
        <f t="shared" si="63"/>
        <v>2</v>
      </c>
    </row>
    <row r="975" spans="1:25" x14ac:dyDescent="0.25">
      <c r="A975" s="1">
        <v>45335</v>
      </c>
      <c r="B975" t="s">
        <v>20</v>
      </c>
      <c r="C975">
        <v>1</v>
      </c>
      <c r="D975" t="s">
        <v>74</v>
      </c>
      <c r="E975" t="s">
        <v>30</v>
      </c>
      <c r="F975" t="s">
        <v>73</v>
      </c>
      <c r="G975" t="s">
        <v>60</v>
      </c>
      <c r="H975" t="s">
        <v>48</v>
      </c>
      <c r="I975">
        <v>1</v>
      </c>
      <c r="J975">
        <v>13.43</v>
      </c>
      <c r="K975">
        <v>9</v>
      </c>
      <c r="L975">
        <v>197.94</v>
      </c>
      <c r="M975">
        <v>61</v>
      </c>
      <c r="N975" t="s">
        <v>63</v>
      </c>
      <c r="O975">
        <v>25</v>
      </c>
      <c r="P975">
        <v>942</v>
      </c>
      <c r="Q975" s="27" t="str">
        <f>IF(D975=Pivot!$AS$4,R974, "")</f>
        <v/>
      </c>
      <c r="R975" t="s">
        <v>27</v>
      </c>
      <c r="S975" s="5">
        <v>2.65</v>
      </c>
      <c r="T975">
        <v>93.7</v>
      </c>
      <c r="U975">
        <v>201.24</v>
      </c>
      <c r="V975" s="27">
        <f t="shared" si="60"/>
        <v>120.87</v>
      </c>
      <c r="W975">
        <f t="shared" si="61"/>
        <v>399.18</v>
      </c>
      <c r="X975" s="33" t="str">
        <f t="shared" si="62"/>
        <v>Mid Quality</v>
      </c>
      <c r="Y975" s="27" t="str">
        <f t="shared" si="63"/>
        <v>14</v>
      </c>
    </row>
    <row r="976" spans="1:25" x14ac:dyDescent="0.25">
      <c r="A976" s="1">
        <v>45496</v>
      </c>
      <c r="B976" t="s">
        <v>50</v>
      </c>
      <c r="C976">
        <v>3</v>
      </c>
      <c r="D976" t="s">
        <v>66</v>
      </c>
      <c r="E976" t="s">
        <v>30</v>
      </c>
      <c r="F976" t="s">
        <v>81</v>
      </c>
      <c r="G976" t="s">
        <v>52</v>
      </c>
      <c r="H976" t="s">
        <v>48</v>
      </c>
      <c r="I976">
        <v>4</v>
      </c>
      <c r="J976">
        <v>12.75</v>
      </c>
      <c r="K976">
        <v>6</v>
      </c>
      <c r="L976">
        <v>374.2</v>
      </c>
      <c r="M976">
        <v>30</v>
      </c>
      <c r="N976" t="s">
        <v>55</v>
      </c>
      <c r="O976">
        <v>21</v>
      </c>
      <c r="P976">
        <v>809</v>
      </c>
      <c r="Q976" s="27" t="str">
        <f>IF(D976=Pivot!$AS$4,R975, "")</f>
        <v/>
      </c>
      <c r="R976" t="s">
        <v>57</v>
      </c>
      <c r="S976" s="5">
        <v>2.6</v>
      </c>
      <c r="T976">
        <v>90.8</v>
      </c>
      <c r="U976">
        <v>187.1</v>
      </c>
      <c r="V976" s="27">
        <f t="shared" si="60"/>
        <v>306</v>
      </c>
      <c r="W976">
        <f t="shared" si="61"/>
        <v>561.29999999999995</v>
      </c>
      <c r="X976" s="33" t="str">
        <f t="shared" si="62"/>
        <v>Mid Quality</v>
      </c>
      <c r="Y976" s="27" t="str">
        <f t="shared" si="63"/>
        <v>14</v>
      </c>
    </row>
    <row r="977" spans="1:25" x14ac:dyDescent="0.25">
      <c r="A977" s="1">
        <v>45548</v>
      </c>
      <c r="B977" t="s">
        <v>35</v>
      </c>
      <c r="C977">
        <v>3</v>
      </c>
      <c r="D977" t="s">
        <v>76</v>
      </c>
      <c r="E977" t="s">
        <v>37</v>
      </c>
      <c r="F977" t="s">
        <v>73</v>
      </c>
      <c r="G977" t="s">
        <v>24</v>
      </c>
      <c r="H977" t="s">
        <v>48</v>
      </c>
      <c r="I977">
        <v>5</v>
      </c>
      <c r="J977">
        <v>6.89</v>
      </c>
      <c r="K977">
        <v>5</v>
      </c>
      <c r="L977">
        <v>339.7</v>
      </c>
      <c r="M977">
        <v>10</v>
      </c>
      <c r="N977" t="s">
        <v>49</v>
      </c>
      <c r="O977">
        <v>38</v>
      </c>
      <c r="P977">
        <v>100</v>
      </c>
      <c r="Q977" s="27" t="str">
        <f>IF(D977=Pivot!$AS$4,R976, "")</f>
        <v/>
      </c>
      <c r="R977" t="s">
        <v>57</v>
      </c>
      <c r="S977" s="5">
        <v>38</v>
      </c>
      <c r="T977">
        <v>19</v>
      </c>
      <c r="U977">
        <v>56.62</v>
      </c>
      <c r="V977" s="27">
        <f t="shared" si="60"/>
        <v>172.25</v>
      </c>
      <c r="W977">
        <f t="shared" si="61"/>
        <v>396.32</v>
      </c>
      <c r="X977" s="33" t="str">
        <f t="shared" si="62"/>
        <v>Mid Quality</v>
      </c>
      <c r="Y977" s="27" t="str">
        <f t="shared" si="63"/>
        <v>8</v>
      </c>
    </row>
    <row r="978" spans="1:25" x14ac:dyDescent="0.25">
      <c r="A978" s="1">
        <v>45514</v>
      </c>
      <c r="B978" t="s">
        <v>75</v>
      </c>
      <c r="C978">
        <v>2</v>
      </c>
      <c r="D978" t="s">
        <v>79</v>
      </c>
      <c r="E978" t="s">
        <v>30</v>
      </c>
      <c r="F978" t="s">
        <v>59</v>
      </c>
      <c r="G978" t="s">
        <v>52</v>
      </c>
      <c r="H978" t="s">
        <v>40</v>
      </c>
      <c r="I978">
        <v>5</v>
      </c>
      <c r="J978">
        <v>2.63</v>
      </c>
      <c r="K978">
        <v>3</v>
      </c>
      <c r="L978">
        <v>199.77</v>
      </c>
      <c r="M978">
        <v>20</v>
      </c>
      <c r="N978" t="s">
        <v>26</v>
      </c>
      <c r="O978">
        <v>2</v>
      </c>
      <c r="P978">
        <v>801</v>
      </c>
      <c r="Q978" s="27" t="str">
        <f>IF(D978=Pivot!$AS$4,R977, "")</f>
        <v/>
      </c>
      <c r="R978" t="s">
        <v>57</v>
      </c>
      <c r="S978" s="5">
        <v>0.25</v>
      </c>
      <c r="T978">
        <v>94.5</v>
      </c>
      <c r="U978">
        <v>66.59</v>
      </c>
      <c r="V978" s="27">
        <f t="shared" si="60"/>
        <v>39.449999999999996</v>
      </c>
      <c r="W978">
        <f t="shared" si="61"/>
        <v>266.36</v>
      </c>
      <c r="X978" s="33" t="str">
        <f t="shared" si="62"/>
        <v>High Quality</v>
      </c>
      <c r="Y978" s="27" t="str">
        <f t="shared" si="63"/>
        <v>4</v>
      </c>
    </row>
    <row r="979" spans="1:25" x14ac:dyDescent="0.25">
      <c r="A979" s="1">
        <v>45358</v>
      </c>
      <c r="B979" t="s">
        <v>28</v>
      </c>
      <c r="C979">
        <v>1</v>
      </c>
      <c r="D979" t="s">
        <v>79</v>
      </c>
      <c r="E979" t="s">
        <v>22</v>
      </c>
      <c r="F979" t="s">
        <v>73</v>
      </c>
      <c r="G979" t="s">
        <v>39</v>
      </c>
      <c r="H979" t="s">
        <v>48</v>
      </c>
      <c r="I979">
        <v>3</v>
      </c>
      <c r="J979">
        <v>2.73</v>
      </c>
      <c r="K979">
        <v>8</v>
      </c>
      <c r="L979">
        <v>389.69</v>
      </c>
      <c r="M979">
        <v>64</v>
      </c>
      <c r="N979" t="s">
        <v>63</v>
      </c>
      <c r="O979">
        <v>27</v>
      </c>
      <c r="P979">
        <v>480</v>
      </c>
      <c r="Q979" s="27" t="str">
        <f>IF(D979=Pivot!$AS$4,R978, "")</f>
        <v/>
      </c>
      <c r="R979" t="s">
        <v>27</v>
      </c>
      <c r="S979" s="5">
        <v>5.62</v>
      </c>
      <c r="T979">
        <v>85.76</v>
      </c>
      <c r="U979">
        <v>415.67</v>
      </c>
      <c r="V979" s="27">
        <f t="shared" si="60"/>
        <v>65.52</v>
      </c>
      <c r="W979">
        <f t="shared" si="61"/>
        <v>805.36</v>
      </c>
      <c r="X979" s="33" t="str">
        <f t="shared" si="62"/>
        <v>High Quality</v>
      </c>
      <c r="Y979" s="27" t="str">
        <f t="shared" si="63"/>
        <v>4</v>
      </c>
    </row>
    <row r="980" spans="1:25" x14ac:dyDescent="0.25">
      <c r="A980" s="1">
        <v>45361</v>
      </c>
      <c r="B980" t="s">
        <v>50</v>
      </c>
      <c r="C980">
        <v>2</v>
      </c>
      <c r="D980" t="s">
        <v>91</v>
      </c>
      <c r="E980" t="s">
        <v>67</v>
      </c>
      <c r="F980" t="s">
        <v>38</v>
      </c>
      <c r="G980" t="s">
        <v>24</v>
      </c>
      <c r="H980" t="s">
        <v>61</v>
      </c>
      <c r="I980">
        <v>4</v>
      </c>
      <c r="J980">
        <v>18.54</v>
      </c>
      <c r="K980">
        <v>4</v>
      </c>
      <c r="L980">
        <v>341.91</v>
      </c>
      <c r="M980">
        <v>16</v>
      </c>
      <c r="N980" t="s">
        <v>55</v>
      </c>
      <c r="O980">
        <v>49</v>
      </c>
      <c r="P980">
        <v>608</v>
      </c>
      <c r="Q980" s="27" t="str">
        <f>IF(D980=Pivot!$AS$4,R979, "")</f>
        <v/>
      </c>
      <c r="R980" t="s">
        <v>57</v>
      </c>
      <c r="S980" s="5">
        <v>8.06</v>
      </c>
      <c r="T980">
        <v>79.88</v>
      </c>
      <c r="U980">
        <v>91.18</v>
      </c>
      <c r="V980" s="27">
        <f t="shared" si="60"/>
        <v>296.64</v>
      </c>
      <c r="W980">
        <f t="shared" si="61"/>
        <v>433.09000000000003</v>
      </c>
      <c r="X980" s="33" t="str">
        <f t="shared" si="62"/>
        <v>Low Quality</v>
      </c>
      <c r="Y980" s="27" t="str">
        <f t="shared" si="63"/>
        <v>20</v>
      </c>
    </row>
    <row r="981" spans="1:25" x14ac:dyDescent="0.25">
      <c r="A981" s="1">
        <v>45538</v>
      </c>
      <c r="B981" t="s">
        <v>20</v>
      </c>
      <c r="C981">
        <v>1</v>
      </c>
      <c r="D981" t="s">
        <v>29</v>
      </c>
      <c r="E981" t="s">
        <v>30</v>
      </c>
      <c r="F981" t="s">
        <v>81</v>
      </c>
      <c r="G981" t="s">
        <v>32</v>
      </c>
      <c r="H981" t="s">
        <v>61</v>
      </c>
      <c r="I981">
        <v>1</v>
      </c>
      <c r="J981">
        <v>14.1</v>
      </c>
      <c r="K981">
        <v>3</v>
      </c>
      <c r="L981">
        <v>336.85</v>
      </c>
      <c r="M981">
        <v>79</v>
      </c>
      <c r="N981" t="s">
        <v>45</v>
      </c>
      <c r="O981">
        <v>32</v>
      </c>
      <c r="P981">
        <v>559</v>
      </c>
      <c r="Q981" s="27" t="str">
        <f>IF(D981=Pivot!$AS$4,R980, "")</f>
        <v/>
      </c>
      <c r="R981" t="s">
        <v>46</v>
      </c>
      <c r="S981" s="5">
        <v>5.72</v>
      </c>
      <c r="T981">
        <v>87.56</v>
      </c>
      <c r="U981">
        <v>443.52</v>
      </c>
      <c r="V981" s="27">
        <f t="shared" si="60"/>
        <v>42.3</v>
      </c>
      <c r="W981">
        <f t="shared" si="61"/>
        <v>780.37</v>
      </c>
      <c r="X981" s="33" t="str">
        <f t="shared" si="62"/>
        <v>Mid Quality</v>
      </c>
      <c r="Y981" s="27" t="str">
        <f t="shared" si="63"/>
        <v>16</v>
      </c>
    </row>
    <row r="982" spans="1:25" x14ac:dyDescent="0.25">
      <c r="A982" s="1">
        <v>45578</v>
      </c>
      <c r="B982" t="s">
        <v>65</v>
      </c>
      <c r="C982">
        <v>3</v>
      </c>
      <c r="D982" t="s">
        <v>66</v>
      </c>
      <c r="E982" t="s">
        <v>30</v>
      </c>
      <c r="F982" t="s">
        <v>69</v>
      </c>
      <c r="G982" t="s">
        <v>60</v>
      </c>
      <c r="H982" t="s">
        <v>25</v>
      </c>
      <c r="I982">
        <v>1</v>
      </c>
      <c r="J982">
        <v>3.41</v>
      </c>
      <c r="K982">
        <v>6</v>
      </c>
      <c r="L982">
        <v>299.04000000000002</v>
      </c>
      <c r="M982">
        <v>7</v>
      </c>
      <c r="N982" t="s">
        <v>49</v>
      </c>
      <c r="O982">
        <v>21</v>
      </c>
      <c r="P982">
        <v>604</v>
      </c>
      <c r="Q982" s="27" t="str">
        <f>IF(D982=Pivot!$AS$4,R981, "")</f>
        <v/>
      </c>
      <c r="R982" t="s">
        <v>27</v>
      </c>
      <c r="S982" s="5">
        <v>3.48</v>
      </c>
      <c r="T982">
        <v>92.04</v>
      </c>
      <c r="U982">
        <v>34.89</v>
      </c>
      <c r="V982" s="27">
        <f t="shared" si="60"/>
        <v>20.46</v>
      </c>
      <c r="W982">
        <f t="shared" si="61"/>
        <v>333.93</v>
      </c>
      <c r="X982" s="33" t="str">
        <f t="shared" si="62"/>
        <v>High Quality</v>
      </c>
      <c r="Y982" s="27" t="str">
        <f t="shared" si="63"/>
        <v>4</v>
      </c>
    </row>
    <row r="983" spans="1:25" x14ac:dyDescent="0.25">
      <c r="A983" s="1">
        <v>45393</v>
      </c>
      <c r="B983" t="s">
        <v>50</v>
      </c>
      <c r="C983">
        <v>3</v>
      </c>
      <c r="D983" t="s">
        <v>43</v>
      </c>
      <c r="E983" t="s">
        <v>37</v>
      </c>
      <c r="F983" t="s">
        <v>56</v>
      </c>
      <c r="G983" t="s">
        <v>60</v>
      </c>
      <c r="H983" t="s">
        <v>40</v>
      </c>
      <c r="I983">
        <v>5</v>
      </c>
      <c r="J983">
        <v>7.78</v>
      </c>
      <c r="K983">
        <v>8</v>
      </c>
      <c r="L983">
        <v>55.13</v>
      </c>
      <c r="M983">
        <v>67</v>
      </c>
      <c r="N983" t="s">
        <v>41</v>
      </c>
      <c r="O983">
        <v>4</v>
      </c>
      <c r="P983">
        <v>905</v>
      </c>
      <c r="Q983" s="27" t="str">
        <f>IF(D983=Pivot!$AS$4,R982, "")</f>
        <v/>
      </c>
      <c r="R983" t="s">
        <v>42</v>
      </c>
      <c r="S983" s="5">
        <v>0.44</v>
      </c>
      <c r="T983">
        <v>94.12</v>
      </c>
      <c r="U983">
        <v>61.56</v>
      </c>
      <c r="V983" s="27">
        <f t="shared" si="60"/>
        <v>311.2</v>
      </c>
      <c r="W983">
        <f t="shared" si="61"/>
        <v>116.69</v>
      </c>
      <c r="X983" s="33" t="str">
        <f t="shared" si="62"/>
        <v>Mid Quality</v>
      </c>
      <c r="Y983" s="27" t="str">
        <f t="shared" si="63"/>
        <v>8</v>
      </c>
    </row>
    <row r="984" spans="1:25" x14ac:dyDescent="0.25">
      <c r="A984" s="1">
        <v>45541</v>
      </c>
      <c r="B984" t="s">
        <v>75</v>
      </c>
      <c r="C984">
        <v>1</v>
      </c>
      <c r="D984" t="s">
        <v>21</v>
      </c>
      <c r="E984" t="s">
        <v>22</v>
      </c>
      <c r="F984" t="s">
        <v>68</v>
      </c>
      <c r="G984" t="s">
        <v>52</v>
      </c>
      <c r="H984" t="s">
        <v>61</v>
      </c>
      <c r="I984">
        <v>5</v>
      </c>
      <c r="J984">
        <v>12.26</v>
      </c>
      <c r="K984">
        <v>9</v>
      </c>
      <c r="L984">
        <v>363.43</v>
      </c>
      <c r="M984">
        <v>68</v>
      </c>
      <c r="N984" t="s">
        <v>41</v>
      </c>
      <c r="O984">
        <v>44</v>
      </c>
      <c r="P984">
        <v>575</v>
      </c>
      <c r="Q984" s="27" t="str">
        <f>IF(D984=Pivot!$AS$4,R983, "")</f>
        <v/>
      </c>
      <c r="R984" t="s">
        <v>57</v>
      </c>
      <c r="S984" s="5">
        <v>7.65</v>
      </c>
      <c r="T984">
        <v>79.7</v>
      </c>
      <c r="U984">
        <v>411.89</v>
      </c>
      <c r="V984" s="27">
        <f t="shared" si="60"/>
        <v>551.70000000000005</v>
      </c>
      <c r="W984">
        <f t="shared" si="61"/>
        <v>775.31999999999994</v>
      </c>
      <c r="X984" s="33" t="str">
        <f t="shared" si="62"/>
        <v>Mid Quality</v>
      </c>
      <c r="Y984" s="27" t="str">
        <f t="shared" si="63"/>
        <v>14</v>
      </c>
    </row>
    <row r="985" spans="1:25" x14ac:dyDescent="0.25">
      <c r="A985" s="1">
        <v>45494</v>
      </c>
      <c r="B985" t="s">
        <v>20</v>
      </c>
      <c r="C985">
        <v>2</v>
      </c>
      <c r="D985" t="s">
        <v>85</v>
      </c>
      <c r="E985" t="s">
        <v>67</v>
      </c>
      <c r="F985" t="s">
        <v>90</v>
      </c>
      <c r="G985" t="s">
        <v>24</v>
      </c>
      <c r="H985" t="s">
        <v>33</v>
      </c>
      <c r="I985">
        <v>2</v>
      </c>
      <c r="J985">
        <v>16.88</v>
      </c>
      <c r="K985">
        <v>6</v>
      </c>
      <c r="L985">
        <v>219.22</v>
      </c>
      <c r="M985">
        <v>66</v>
      </c>
      <c r="N985" t="s">
        <v>45</v>
      </c>
      <c r="O985">
        <v>19</v>
      </c>
      <c r="P985">
        <v>656</v>
      </c>
      <c r="Q985" s="27" t="str">
        <f>IF(D985=Pivot!$AS$4,R984, "")</f>
        <v/>
      </c>
      <c r="R985" t="s">
        <v>34</v>
      </c>
      <c r="S985" s="5">
        <v>2.9</v>
      </c>
      <c r="T985">
        <v>92.2</v>
      </c>
      <c r="U985">
        <v>241.14</v>
      </c>
      <c r="V985" s="27">
        <f t="shared" si="60"/>
        <v>202.56</v>
      </c>
      <c r="W985">
        <f t="shared" si="61"/>
        <v>460.36</v>
      </c>
      <c r="X985" s="33" t="str">
        <f t="shared" si="62"/>
        <v>Low Quality</v>
      </c>
      <c r="Y985" s="27" t="str">
        <f t="shared" si="63"/>
        <v>18</v>
      </c>
    </row>
    <row r="986" spans="1:25" x14ac:dyDescent="0.25">
      <c r="A986" s="1">
        <v>45584</v>
      </c>
      <c r="B986" t="s">
        <v>35</v>
      </c>
      <c r="C986">
        <v>2</v>
      </c>
      <c r="D986" t="s">
        <v>71</v>
      </c>
      <c r="E986" t="s">
        <v>37</v>
      </c>
      <c r="F986" t="s">
        <v>56</v>
      </c>
      <c r="G986" t="s">
        <v>32</v>
      </c>
      <c r="H986" t="s">
        <v>40</v>
      </c>
      <c r="I986">
        <v>5</v>
      </c>
      <c r="J986">
        <v>1.83</v>
      </c>
      <c r="K986">
        <v>5</v>
      </c>
      <c r="L986">
        <v>474.17</v>
      </c>
      <c r="M986">
        <v>10</v>
      </c>
      <c r="N986" t="s">
        <v>49</v>
      </c>
      <c r="O986">
        <v>2</v>
      </c>
      <c r="P986">
        <v>948</v>
      </c>
      <c r="Q986" s="27" t="str">
        <f>IF(D986=Pivot!$AS$4,R985, "")</f>
        <v/>
      </c>
      <c r="R986" t="s">
        <v>27</v>
      </c>
      <c r="S986" s="5">
        <v>0.21</v>
      </c>
      <c r="T986">
        <v>94.58</v>
      </c>
      <c r="U986">
        <v>79.03</v>
      </c>
      <c r="V986" s="27">
        <f t="shared" si="60"/>
        <v>45.75</v>
      </c>
      <c r="W986">
        <f t="shared" si="61"/>
        <v>553.20000000000005</v>
      </c>
      <c r="X986" s="33" t="str">
        <f t="shared" si="62"/>
        <v>High Quality</v>
      </c>
      <c r="Y986" s="27" t="str">
        <f t="shared" si="63"/>
        <v>2</v>
      </c>
    </row>
    <row r="987" spans="1:25" x14ac:dyDescent="0.25">
      <c r="A987" s="1">
        <v>45392</v>
      </c>
      <c r="B987" t="s">
        <v>50</v>
      </c>
      <c r="C987">
        <v>2</v>
      </c>
      <c r="D987" t="s">
        <v>47</v>
      </c>
      <c r="E987" t="s">
        <v>37</v>
      </c>
      <c r="F987" t="s">
        <v>70</v>
      </c>
      <c r="G987" t="s">
        <v>24</v>
      </c>
      <c r="H987" t="s">
        <v>40</v>
      </c>
      <c r="I987">
        <v>2</v>
      </c>
      <c r="J987">
        <v>5.5</v>
      </c>
      <c r="K987">
        <v>2</v>
      </c>
      <c r="L987">
        <v>418.09</v>
      </c>
      <c r="M987">
        <v>23</v>
      </c>
      <c r="N987" t="s">
        <v>49</v>
      </c>
      <c r="O987">
        <v>26</v>
      </c>
      <c r="P987">
        <v>996</v>
      </c>
      <c r="Q987" s="27" t="str">
        <f>IF(D987=Pivot!$AS$4,R986, "")</f>
        <v/>
      </c>
      <c r="R987" t="s">
        <v>42</v>
      </c>
      <c r="S987" s="5">
        <v>2.61</v>
      </c>
      <c r="T987">
        <v>92.78</v>
      </c>
      <c r="U987">
        <v>160.27000000000001</v>
      </c>
      <c r="V987" s="27">
        <f t="shared" si="60"/>
        <v>22</v>
      </c>
      <c r="W987">
        <f t="shared" si="61"/>
        <v>578.36</v>
      </c>
      <c r="X987" s="33" t="str">
        <f t="shared" si="62"/>
        <v>High Quality</v>
      </c>
      <c r="Y987" s="27" t="str">
        <f t="shared" si="63"/>
        <v>6</v>
      </c>
    </row>
    <row r="988" spans="1:25" x14ac:dyDescent="0.25">
      <c r="A988" s="1">
        <v>45579</v>
      </c>
      <c r="B988" t="s">
        <v>75</v>
      </c>
      <c r="C988">
        <v>2</v>
      </c>
      <c r="D988" t="s">
        <v>88</v>
      </c>
      <c r="E988" t="s">
        <v>22</v>
      </c>
      <c r="F988" t="s">
        <v>69</v>
      </c>
      <c r="G988" t="s">
        <v>60</v>
      </c>
      <c r="H988" t="s">
        <v>61</v>
      </c>
      <c r="I988">
        <v>1</v>
      </c>
      <c r="J988">
        <v>17.91</v>
      </c>
      <c r="K988">
        <v>2</v>
      </c>
      <c r="L988">
        <v>314.45999999999998</v>
      </c>
      <c r="M988">
        <v>22</v>
      </c>
      <c r="N988" t="s">
        <v>49</v>
      </c>
      <c r="O988">
        <v>34</v>
      </c>
      <c r="P988">
        <v>131</v>
      </c>
      <c r="Q988" s="27" t="str">
        <f>IF(D988=Pivot!$AS$4,R987, "")</f>
        <v/>
      </c>
      <c r="R988" t="s">
        <v>46</v>
      </c>
      <c r="S988" s="5">
        <v>25.95</v>
      </c>
      <c r="T988">
        <v>47.1</v>
      </c>
      <c r="U988">
        <v>115.3</v>
      </c>
      <c r="V988" s="27">
        <f t="shared" si="60"/>
        <v>35.82</v>
      </c>
      <c r="W988">
        <f t="shared" si="61"/>
        <v>429.76</v>
      </c>
      <c r="X988" s="33" t="str">
        <f t="shared" si="62"/>
        <v>Low Quality</v>
      </c>
      <c r="Y988" s="27" t="str">
        <f t="shared" si="63"/>
        <v>18</v>
      </c>
    </row>
    <row r="989" spans="1:25" x14ac:dyDescent="0.25">
      <c r="A989" s="1">
        <v>45560</v>
      </c>
      <c r="B989" t="s">
        <v>28</v>
      </c>
      <c r="C989">
        <v>3</v>
      </c>
      <c r="D989" t="s">
        <v>82</v>
      </c>
      <c r="E989" t="s">
        <v>67</v>
      </c>
      <c r="F989" t="s">
        <v>68</v>
      </c>
      <c r="G989" t="s">
        <v>24</v>
      </c>
      <c r="H989" t="s">
        <v>33</v>
      </c>
      <c r="I989">
        <v>2</v>
      </c>
      <c r="J989">
        <v>1.17</v>
      </c>
      <c r="K989">
        <v>9</v>
      </c>
      <c r="L989">
        <v>163.47999999999999</v>
      </c>
      <c r="M989">
        <v>84</v>
      </c>
      <c r="N989" t="s">
        <v>49</v>
      </c>
      <c r="O989">
        <v>14</v>
      </c>
      <c r="P989">
        <v>217</v>
      </c>
      <c r="Q989" s="27" t="str">
        <f>IF(D989=Pivot!$AS$4,R988, "")</f>
        <v/>
      </c>
      <c r="R989" t="s">
        <v>42</v>
      </c>
      <c r="S989" s="5">
        <v>6.45</v>
      </c>
      <c r="T989">
        <v>85.1</v>
      </c>
      <c r="U989">
        <v>228.87</v>
      </c>
      <c r="V989" s="27">
        <f t="shared" si="60"/>
        <v>21.06</v>
      </c>
      <c r="W989">
        <f t="shared" si="61"/>
        <v>392.35</v>
      </c>
      <c r="X989" s="33" t="str">
        <f t="shared" si="62"/>
        <v>High Quality</v>
      </c>
      <c r="Y989" s="27" t="str">
        <f t="shared" si="63"/>
        <v>2</v>
      </c>
    </row>
    <row r="990" spans="1:25" x14ac:dyDescent="0.25">
      <c r="A990" s="1">
        <v>45418</v>
      </c>
      <c r="B990" t="s">
        <v>65</v>
      </c>
      <c r="C990">
        <v>3</v>
      </c>
      <c r="D990" t="s">
        <v>91</v>
      </c>
      <c r="E990" t="s">
        <v>22</v>
      </c>
      <c r="F990" t="s">
        <v>72</v>
      </c>
      <c r="G990" t="s">
        <v>32</v>
      </c>
      <c r="H990" t="s">
        <v>25</v>
      </c>
      <c r="I990">
        <v>2</v>
      </c>
      <c r="J990">
        <v>4.83</v>
      </c>
      <c r="K990">
        <v>2</v>
      </c>
      <c r="L990">
        <v>141.66999999999999</v>
      </c>
      <c r="M990">
        <v>47</v>
      </c>
      <c r="N990" t="s">
        <v>41</v>
      </c>
      <c r="O990">
        <v>15</v>
      </c>
      <c r="P990">
        <v>907</v>
      </c>
      <c r="Q990" s="27" t="str">
        <f>IF(D990=Pivot!$AS$4,R989, "")</f>
        <v/>
      </c>
      <c r="R990" t="s">
        <v>57</v>
      </c>
      <c r="S990" s="5">
        <v>1.65</v>
      </c>
      <c r="T990">
        <v>94.7</v>
      </c>
      <c r="U990">
        <v>110.97</v>
      </c>
      <c r="V990" s="27">
        <f t="shared" si="60"/>
        <v>19.32</v>
      </c>
      <c r="W990">
        <f t="shared" si="61"/>
        <v>252.64</v>
      </c>
      <c r="X990" s="33" t="str">
        <f t="shared" si="62"/>
        <v>High Quality</v>
      </c>
      <c r="Y990" s="27" t="str">
        <f t="shared" si="63"/>
        <v>6</v>
      </c>
    </row>
    <row r="991" spans="1:25" x14ac:dyDescent="0.25">
      <c r="A991" s="1">
        <v>45416</v>
      </c>
      <c r="B991" t="s">
        <v>20</v>
      </c>
      <c r="C991">
        <v>3</v>
      </c>
      <c r="D991" t="s">
        <v>77</v>
      </c>
      <c r="E991" t="s">
        <v>67</v>
      </c>
      <c r="F991" t="s">
        <v>56</v>
      </c>
      <c r="G991" t="s">
        <v>52</v>
      </c>
      <c r="H991" t="s">
        <v>61</v>
      </c>
      <c r="I991">
        <v>3</v>
      </c>
      <c r="J991">
        <v>19.22</v>
      </c>
      <c r="K991">
        <v>2</v>
      </c>
      <c r="L991">
        <v>203.17</v>
      </c>
      <c r="M991">
        <v>77</v>
      </c>
      <c r="N991" t="s">
        <v>55</v>
      </c>
      <c r="O991">
        <v>20</v>
      </c>
      <c r="P991">
        <v>283</v>
      </c>
      <c r="Q991" s="27" t="str">
        <f>IF(D991=Pivot!$AS$4,R990, "")</f>
        <v/>
      </c>
      <c r="R991" t="s">
        <v>34</v>
      </c>
      <c r="S991" s="5">
        <v>7.07</v>
      </c>
      <c r="T991">
        <v>82.86</v>
      </c>
      <c r="U991">
        <v>260.73</v>
      </c>
      <c r="V991" s="27">
        <f t="shared" si="60"/>
        <v>115.32</v>
      </c>
      <c r="W991">
        <f t="shared" si="61"/>
        <v>463.9</v>
      </c>
      <c r="X991" s="33" t="str">
        <f t="shared" si="62"/>
        <v>Low Quality</v>
      </c>
      <c r="Y991" s="27" t="str">
        <f t="shared" si="63"/>
        <v>20</v>
      </c>
    </row>
    <row r="992" spans="1:25" x14ac:dyDescent="0.25">
      <c r="A992" s="1">
        <v>45328</v>
      </c>
      <c r="B992" t="s">
        <v>50</v>
      </c>
      <c r="C992">
        <v>3</v>
      </c>
      <c r="D992" t="s">
        <v>53</v>
      </c>
      <c r="E992" t="s">
        <v>22</v>
      </c>
      <c r="F992" t="s">
        <v>89</v>
      </c>
      <c r="G992" t="s">
        <v>39</v>
      </c>
      <c r="H992" t="s">
        <v>33</v>
      </c>
      <c r="I992">
        <v>5</v>
      </c>
      <c r="J992">
        <v>12.65</v>
      </c>
      <c r="K992">
        <v>3</v>
      </c>
      <c r="L992">
        <v>264.45999999999998</v>
      </c>
      <c r="M992">
        <v>7</v>
      </c>
      <c r="N992" t="s">
        <v>49</v>
      </c>
      <c r="O992">
        <v>34</v>
      </c>
      <c r="P992">
        <v>290</v>
      </c>
      <c r="Q992" s="27" t="str">
        <f>IF(D992=Pivot!$AS$4,R991, "")</f>
        <v/>
      </c>
      <c r="R992" t="s">
        <v>57</v>
      </c>
      <c r="S992" s="5">
        <v>11.72</v>
      </c>
      <c r="T992">
        <v>71.56</v>
      </c>
      <c r="U992">
        <v>30.85</v>
      </c>
      <c r="V992" s="27">
        <f t="shared" si="60"/>
        <v>189.75</v>
      </c>
      <c r="W992">
        <f t="shared" si="61"/>
        <v>295.31</v>
      </c>
      <c r="X992" s="33" t="str">
        <f t="shared" si="62"/>
        <v>Mid Quality</v>
      </c>
      <c r="Y992" s="27" t="str">
        <f t="shared" si="63"/>
        <v>14</v>
      </c>
    </row>
    <row r="993" spans="1:25" x14ac:dyDescent="0.25">
      <c r="A993" s="1">
        <v>45428</v>
      </c>
      <c r="B993" t="s">
        <v>50</v>
      </c>
      <c r="C993">
        <v>3</v>
      </c>
      <c r="D993" t="s">
        <v>77</v>
      </c>
      <c r="E993" t="s">
        <v>37</v>
      </c>
      <c r="F993" t="s">
        <v>81</v>
      </c>
      <c r="G993" t="s">
        <v>24</v>
      </c>
      <c r="H993" t="s">
        <v>40</v>
      </c>
      <c r="I993">
        <v>2</v>
      </c>
      <c r="J993">
        <v>5.97</v>
      </c>
      <c r="K993">
        <v>3</v>
      </c>
      <c r="L993">
        <v>183.23</v>
      </c>
      <c r="M993">
        <v>76</v>
      </c>
      <c r="N993" t="s">
        <v>55</v>
      </c>
      <c r="O993">
        <v>36</v>
      </c>
      <c r="P993">
        <v>846</v>
      </c>
      <c r="Q993" s="27" t="str">
        <f>IF(D993=Pivot!$AS$4,R992, "")</f>
        <v/>
      </c>
      <c r="R993" t="s">
        <v>42</v>
      </c>
      <c r="S993" s="5">
        <v>4.26</v>
      </c>
      <c r="T993">
        <v>89.48</v>
      </c>
      <c r="U993">
        <v>232.09</v>
      </c>
      <c r="V993" s="27">
        <f t="shared" si="60"/>
        <v>35.82</v>
      </c>
      <c r="W993">
        <f t="shared" si="61"/>
        <v>415.32</v>
      </c>
      <c r="X993" s="33" t="str">
        <f t="shared" si="62"/>
        <v>High Quality</v>
      </c>
      <c r="Y993" s="27" t="str">
        <f t="shared" si="63"/>
        <v>6</v>
      </c>
    </row>
    <row r="994" spans="1:25" x14ac:dyDescent="0.25">
      <c r="A994" s="1">
        <v>45512</v>
      </c>
      <c r="B994" t="s">
        <v>35</v>
      </c>
      <c r="C994">
        <v>2</v>
      </c>
      <c r="D994" t="s">
        <v>43</v>
      </c>
      <c r="E994" t="s">
        <v>37</v>
      </c>
      <c r="F994" t="s">
        <v>31</v>
      </c>
      <c r="G994" t="s">
        <v>39</v>
      </c>
      <c r="H994" t="s">
        <v>33</v>
      </c>
      <c r="I994">
        <v>1</v>
      </c>
      <c r="J994">
        <v>2.27</v>
      </c>
      <c r="K994">
        <v>4</v>
      </c>
      <c r="L994">
        <v>281.72000000000003</v>
      </c>
      <c r="M994">
        <v>42</v>
      </c>
      <c r="N994" t="s">
        <v>49</v>
      </c>
      <c r="O994">
        <v>19</v>
      </c>
      <c r="P994">
        <v>849</v>
      </c>
      <c r="Q994" s="27" t="str">
        <f>IF(D994=Pivot!$AS$4,R993, "")</f>
        <v/>
      </c>
      <c r="R994" t="s">
        <v>27</v>
      </c>
      <c r="S994" s="5">
        <v>2.2400000000000002</v>
      </c>
      <c r="T994">
        <v>94.52</v>
      </c>
      <c r="U994">
        <v>197.2</v>
      </c>
      <c r="V994" s="27">
        <f t="shared" si="60"/>
        <v>9.08</v>
      </c>
      <c r="W994">
        <f t="shared" si="61"/>
        <v>478.92</v>
      </c>
      <c r="X994" s="33" t="str">
        <f t="shared" si="62"/>
        <v>High Quality</v>
      </c>
      <c r="Y994" s="27" t="str">
        <f t="shared" si="63"/>
        <v>4</v>
      </c>
    </row>
    <row r="995" spans="1:25" x14ac:dyDescent="0.25">
      <c r="A995" s="1">
        <v>45457</v>
      </c>
      <c r="B995" t="s">
        <v>35</v>
      </c>
      <c r="C995">
        <v>2</v>
      </c>
      <c r="D995" t="s">
        <v>36</v>
      </c>
      <c r="E995" t="s">
        <v>51</v>
      </c>
      <c r="F995" t="s">
        <v>89</v>
      </c>
      <c r="G995" t="s">
        <v>60</v>
      </c>
      <c r="H995" t="s">
        <v>40</v>
      </c>
      <c r="I995">
        <v>4</v>
      </c>
      <c r="J995">
        <v>1.54</v>
      </c>
      <c r="K995">
        <v>7</v>
      </c>
      <c r="L995">
        <v>124.42</v>
      </c>
      <c r="M995">
        <v>72</v>
      </c>
      <c r="N995" t="s">
        <v>63</v>
      </c>
      <c r="O995">
        <v>9</v>
      </c>
      <c r="P995">
        <v>827</v>
      </c>
      <c r="Q995" s="27" t="str">
        <f>IF(D995=Pivot!$AS$4,R994, "")</f>
        <v/>
      </c>
      <c r="R995" t="s">
        <v>34</v>
      </c>
      <c r="S995" s="5">
        <v>1.0900000000000001</v>
      </c>
      <c r="T995">
        <v>93.82</v>
      </c>
      <c r="U995">
        <v>149.30000000000001</v>
      </c>
      <c r="V995" s="27">
        <f t="shared" si="60"/>
        <v>43.120000000000005</v>
      </c>
      <c r="W995">
        <f t="shared" si="61"/>
        <v>273.72000000000003</v>
      </c>
      <c r="X995" s="33" t="str">
        <f t="shared" si="62"/>
        <v>High Quality</v>
      </c>
      <c r="Y995" s="27" t="str">
        <f t="shared" si="63"/>
        <v>2</v>
      </c>
    </row>
    <row r="996" spans="1:25" x14ac:dyDescent="0.25">
      <c r="A996" s="1">
        <v>45586</v>
      </c>
      <c r="B996" t="s">
        <v>28</v>
      </c>
      <c r="C996">
        <v>2</v>
      </c>
      <c r="D996" t="s">
        <v>66</v>
      </c>
      <c r="E996" t="s">
        <v>30</v>
      </c>
      <c r="F996" t="s">
        <v>54</v>
      </c>
      <c r="G996" t="s">
        <v>52</v>
      </c>
      <c r="H996" t="s">
        <v>61</v>
      </c>
      <c r="I996">
        <v>2</v>
      </c>
      <c r="J996">
        <v>5.65</v>
      </c>
      <c r="K996">
        <v>9</v>
      </c>
      <c r="L996">
        <v>489.97</v>
      </c>
      <c r="M996">
        <v>80</v>
      </c>
      <c r="N996" t="s">
        <v>26</v>
      </c>
      <c r="O996">
        <v>7</v>
      </c>
      <c r="P996">
        <v>173</v>
      </c>
      <c r="Q996" s="27" t="str">
        <f>IF(D996=Pivot!$AS$4,R995, "")</f>
        <v/>
      </c>
      <c r="R996" t="s">
        <v>34</v>
      </c>
      <c r="S996" s="5">
        <v>4.05</v>
      </c>
      <c r="T996">
        <v>89.9</v>
      </c>
      <c r="U996">
        <v>653.29</v>
      </c>
      <c r="V996" s="27">
        <f t="shared" si="60"/>
        <v>101.7</v>
      </c>
      <c r="W996">
        <f t="shared" si="61"/>
        <v>1143.26</v>
      </c>
      <c r="X996" s="33" t="str">
        <f t="shared" si="62"/>
        <v>High Quality</v>
      </c>
      <c r="Y996" s="27" t="str">
        <f t="shared" si="63"/>
        <v>6</v>
      </c>
    </row>
    <row r="997" spans="1:25" x14ac:dyDescent="0.25">
      <c r="A997" s="1">
        <v>45337</v>
      </c>
      <c r="B997" t="s">
        <v>65</v>
      </c>
      <c r="C997">
        <v>2</v>
      </c>
      <c r="D997" t="s">
        <v>71</v>
      </c>
      <c r="E997" t="s">
        <v>22</v>
      </c>
      <c r="F997" t="s">
        <v>44</v>
      </c>
      <c r="G997" t="s">
        <v>52</v>
      </c>
      <c r="H997" t="s">
        <v>61</v>
      </c>
      <c r="I997">
        <v>5</v>
      </c>
      <c r="J997">
        <v>17.75</v>
      </c>
      <c r="K997">
        <v>2</v>
      </c>
      <c r="L997">
        <v>98.57</v>
      </c>
      <c r="M997">
        <v>48</v>
      </c>
      <c r="N997" t="s">
        <v>63</v>
      </c>
      <c r="O997">
        <v>30</v>
      </c>
      <c r="P997">
        <v>722</v>
      </c>
      <c r="Q997" s="27" t="str">
        <f>IF(D997=Pivot!$AS$4,R996, "")</f>
        <v/>
      </c>
      <c r="R997" t="s">
        <v>42</v>
      </c>
      <c r="S997" s="5">
        <v>4.16</v>
      </c>
      <c r="T997">
        <v>86.68</v>
      </c>
      <c r="U997">
        <v>78.86</v>
      </c>
      <c r="V997" s="27">
        <f t="shared" si="60"/>
        <v>177.5</v>
      </c>
      <c r="W997">
        <f t="shared" si="61"/>
        <v>177.43</v>
      </c>
      <c r="X997" s="33" t="str">
        <f t="shared" si="62"/>
        <v>Low Quality</v>
      </c>
      <c r="Y997" s="27" t="str">
        <f t="shared" si="63"/>
        <v>18</v>
      </c>
    </row>
    <row r="998" spans="1:25" x14ac:dyDescent="0.25">
      <c r="A998" s="1">
        <v>45349</v>
      </c>
      <c r="B998" t="s">
        <v>28</v>
      </c>
      <c r="C998">
        <v>3</v>
      </c>
      <c r="D998" t="s">
        <v>80</v>
      </c>
      <c r="E998" t="s">
        <v>51</v>
      </c>
      <c r="F998" t="s">
        <v>62</v>
      </c>
      <c r="G998" t="s">
        <v>24</v>
      </c>
      <c r="H998" t="s">
        <v>48</v>
      </c>
      <c r="I998">
        <v>3</v>
      </c>
      <c r="J998">
        <v>8.9</v>
      </c>
      <c r="K998">
        <v>4</v>
      </c>
      <c r="L998">
        <v>469.37</v>
      </c>
      <c r="M998">
        <v>84</v>
      </c>
      <c r="N998" t="s">
        <v>26</v>
      </c>
      <c r="O998">
        <v>13</v>
      </c>
      <c r="P998">
        <v>202</v>
      </c>
      <c r="Q998" s="27" t="str">
        <f>IF(D998=Pivot!$AS$4,R997, "")</f>
        <v>Makine ayarı değiştirildi</v>
      </c>
      <c r="R998" t="s">
        <v>57</v>
      </c>
      <c r="S998" s="5">
        <v>6.44</v>
      </c>
      <c r="T998">
        <v>84.12</v>
      </c>
      <c r="U998">
        <v>657.12</v>
      </c>
      <c r="V998" s="27">
        <f t="shared" si="60"/>
        <v>106.80000000000001</v>
      </c>
      <c r="W998">
        <f t="shared" si="61"/>
        <v>1126.49</v>
      </c>
      <c r="X998" s="33" t="str">
        <f t="shared" si="62"/>
        <v>Mid Quality</v>
      </c>
      <c r="Y998" s="27" t="str">
        <f t="shared" si="63"/>
        <v>10</v>
      </c>
    </row>
    <row r="999" spans="1:25" x14ac:dyDescent="0.25">
      <c r="A999" s="1">
        <v>45503</v>
      </c>
      <c r="B999" t="s">
        <v>75</v>
      </c>
      <c r="C999">
        <v>3</v>
      </c>
      <c r="D999" t="s">
        <v>80</v>
      </c>
      <c r="E999" t="s">
        <v>30</v>
      </c>
      <c r="F999" t="s">
        <v>86</v>
      </c>
      <c r="G999" t="s">
        <v>52</v>
      </c>
      <c r="H999" t="s">
        <v>48</v>
      </c>
      <c r="I999">
        <v>1</v>
      </c>
      <c r="J999">
        <v>14.69</v>
      </c>
      <c r="K999">
        <v>9</v>
      </c>
      <c r="L999">
        <v>461.11</v>
      </c>
      <c r="M999">
        <v>67</v>
      </c>
      <c r="N999" t="s">
        <v>63</v>
      </c>
      <c r="O999">
        <v>27</v>
      </c>
      <c r="P999">
        <v>970</v>
      </c>
      <c r="Q999" s="27" t="str">
        <f>IF(D999=Pivot!$AS$4,R998, "")</f>
        <v>Rutin kontrol</v>
      </c>
      <c r="R999" t="s">
        <v>42</v>
      </c>
      <c r="S999" s="5">
        <v>2.78</v>
      </c>
      <c r="T999">
        <v>93.44</v>
      </c>
      <c r="U999">
        <v>514.91</v>
      </c>
      <c r="V999" s="27">
        <f t="shared" si="60"/>
        <v>132.21</v>
      </c>
      <c r="W999">
        <f t="shared" si="61"/>
        <v>976.02</v>
      </c>
      <c r="X999" s="33" t="str">
        <f t="shared" si="62"/>
        <v>Mid Quality</v>
      </c>
      <c r="Y999" s="27" t="str">
        <f t="shared" si="63"/>
        <v>16</v>
      </c>
    </row>
    <row r="1000" spans="1:25" x14ac:dyDescent="0.25">
      <c r="A1000" s="1">
        <v>45508</v>
      </c>
      <c r="B1000" t="s">
        <v>75</v>
      </c>
      <c r="C1000">
        <v>3</v>
      </c>
      <c r="D1000" t="s">
        <v>66</v>
      </c>
      <c r="E1000" t="s">
        <v>22</v>
      </c>
      <c r="F1000" t="s">
        <v>87</v>
      </c>
      <c r="G1000" t="s">
        <v>24</v>
      </c>
      <c r="H1000" t="s">
        <v>48</v>
      </c>
      <c r="I1000">
        <v>3</v>
      </c>
      <c r="J1000">
        <v>18.45</v>
      </c>
      <c r="K1000">
        <v>2</v>
      </c>
      <c r="L1000">
        <v>286.41000000000003</v>
      </c>
      <c r="M1000">
        <v>46</v>
      </c>
      <c r="N1000" t="s">
        <v>49</v>
      </c>
      <c r="O1000">
        <v>44</v>
      </c>
      <c r="P1000">
        <v>685</v>
      </c>
      <c r="Q1000" s="27" t="str">
        <f>IF(D1000=Pivot!$AS$4,R999, "")</f>
        <v/>
      </c>
      <c r="R1000" t="s">
        <v>34</v>
      </c>
      <c r="S1000" s="5">
        <v>6.42</v>
      </c>
      <c r="T1000">
        <v>84.16</v>
      </c>
      <c r="U1000">
        <v>219.58</v>
      </c>
      <c r="V1000" s="27">
        <f t="shared" si="60"/>
        <v>110.69999999999999</v>
      </c>
      <c r="W1000">
        <f t="shared" si="61"/>
        <v>505.99</v>
      </c>
      <c r="X1000" s="33" t="str">
        <f t="shared" si="62"/>
        <v>Low Quality</v>
      </c>
      <c r="Y1000" s="27" t="str">
        <f t="shared" si="63"/>
        <v>20</v>
      </c>
    </row>
    <row r="1001" spans="1:25" x14ac:dyDescent="0.25">
      <c r="A1001" s="1">
        <v>45479</v>
      </c>
      <c r="B1001" t="s">
        <v>28</v>
      </c>
      <c r="C1001">
        <v>1</v>
      </c>
      <c r="D1001" t="s">
        <v>74</v>
      </c>
      <c r="E1001" t="s">
        <v>67</v>
      </c>
      <c r="F1001" t="s">
        <v>54</v>
      </c>
      <c r="G1001" t="s">
        <v>24</v>
      </c>
      <c r="H1001" t="s">
        <v>61</v>
      </c>
      <c r="I1001">
        <v>4</v>
      </c>
      <c r="J1001">
        <v>8.75</v>
      </c>
      <c r="K1001">
        <v>1</v>
      </c>
      <c r="L1001">
        <v>376.21</v>
      </c>
      <c r="M1001">
        <v>68</v>
      </c>
      <c r="N1001" t="s">
        <v>55</v>
      </c>
      <c r="O1001">
        <v>35</v>
      </c>
      <c r="P1001">
        <v>519</v>
      </c>
      <c r="Q1001" s="27" t="str">
        <f>IF(D1001=Pivot!$AS$4,R1000, "")</f>
        <v/>
      </c>
      <c r="R1001" t="s">
        <v>42</v>
      </c>
      <c r="S1001" s="5">
        <v>6.74</v>
      </c>
      <c r="T1001">
        <v>82.52</v>
      </c>
      <c r="U1001">
        <v>426.37</v>
      </c>
      <c r="V1001" s="27">
        <f t="shared" si="60"/>
        <v>35</v>
      </c>
      <c r="W1001">
        <f t="shared" si="61"/>
        <v>802.57999999999993</v>
      </c>
      <c r="X1001" s="33" t="str">
        <f t="shared" si="62"/>
        <v>Mid Quality</v>
      </c>
      <c r="Y1001" s="27" t="str">
        <f t="shared" si="63"/>
        <v>10</v>
      </c>
    </row>
  </sheetData>
  <conditionalFormatting sqref="A1:XFD1048576">
    <cfRule type="notContainsBlanks" dxfId="0" priority="2">
      <formula>LEN(TRIM(A1))&gt;0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ACFE-4F33-4DBD-B5B9-0CBCDE44AC91}">
  <dimension ref="A2:DS294"/>
  <sheetViews>
    <sheetView topLeftCell="CW1" zoomScale="80" zoomScaleNormal="80" workbookViewId="0">
      <selection activeCell="DH4" sqref="DH4"/>
    </sheetView>
  </sheetViews>
  <sheetFormatPr defaultColWidth="8.85546875" defaultRowHeight="15" x14ac:dyDescent="0.25"/>
  <cols>
    <col min="1" max="1" width="38" bestFit="1" customWidth="1"/>
    <col min="2" max="2" width="22.140625" bestFit="1" customWidth="1"/>
    <col min="3" max="4" width="5.5703125" bestFit="1" customWidth="1"/>
    <col min="6" max="6" width="23.85546875" bestFit="1" customWidth="1"/>
    <col min="7" max="7" width="21.5703125" bestFit="1" customWidth="1"/>
    <col min="8" max="9" width="4.5703125" bestFit="1" customWidth="1"/>
    <col min="11" max="11" width="16.7109375" bestFit="1" customWidth="1"/>
    <col min="12" max="12" width="23.85546875" bestFit="1" customWidth="1"/>
    <col min="15" max="15" width="16.7109375" bestFit="1" customWidth="1"/>
    <col min="16" max="16" width="21.5703125" bestFit="1" customWidth="1"/>
    <col min="18" max="18" width="24.7109375" bestFit="1" customWidth="1"/>
    <col min="19" max="19" width="32.7109375" bestFit="1" customWidth="1"/>
    <col min="20" max="20" width="28.85546875" bestFit="1" customWidth="1"/>
    <col min="21" max="21" width="24.85546875" bestFit="1" customWidth="1"/>
    <col min="22" max="22" width="29.42578125" bestFit="1" customWidth="1"/>
    <col min="23" max="23" width="34.85546875" bestFit="1" customWidth="1"/>
    <col min="24" max="24" width="16.5703125" bestFit="1" customWidth="1"/>
    <col min="26" max="26" width="19.85546875" bestFit="1" customWidth="1"/>
    <col min="27" max="27" width="10" bestFit="1" customWidth="1"/>
    <col min="28" max="28" width="9.5703125" customWidth="1"/>
    <col min="30" max="30" width="19.85546875" bestFit="1" customWidth="1"/>
    <col min="31" max="31" width="14.42578125" bestFit="1" customWidth="1"/>
    <col min="32" max="32" width="13.85546875" customWidth="1"/>
    <col min="33" max="33" width="11.28515625" bestFit="1" customWidth="1"/>
    <col min="34" max="34" width="19.85546875" bestFit="1" customWidth="1"/>
    <col min="35" max="35" width="34.85546875" bestFit="1" customWidth="1"/>
    <col min="36" max="36" width="15.28515625" customWidth="1"/>
    <col min="38" max="38" width="19.85546875" bestFit="1" customWidth="1"/>
    <col min="39" max="39" width="16.5703125" bestFit="1" customWidth="1"/>
    <col min="40" max="40" width="15.5703125" customWidth="1"/>
    <col min="42" max="42" width="13.5703125" bestFit="1" customWidth="1"/>
    <col min="43" max="43" width="31.5703125" bestFit="1" customWidth="1"/>
    <col min="45" max="45" width="16.28515625" bestFit="1" customWidth="1"/>
    <col min="48" max="48" width="19.5703125" bestFit="1" customWidth="1"/>
    <col min="49" max="49" width="32.28515625" bestFit="1" customWidth="1"/>
    <col min="50" max="50" width="34.85546875" bestFit="1" customWidth="1"/>
    <col min="52" max="52" width="19.85546875" bestFit="1" customWidth="1"/>
    <col min="53" max="53" width="28.85546875" bestFit="1" customWidth="1"/>
    <col min="55" max="55" width="16.140625" bestFit="1" customWidth="1"/>
    <col min="56" max="57" width="16.140625" customWidth="1"/>
    <col min="58" max="58" width="5.42578125" bestFit="1" customWidth="1"/>
    <col min="59" max="59" width="5.42578125" customWidth="1"/>
    <col min="60" max="60" width="6.5703125" bestFit="1" customWidth="1"/>
    <col min="61" max="61" width="9.42578125" bestFit="1" customWidth="1"/>
    <col min="64" max="64" width="23" bestFit="1" customWidth="1"/>
    <col min="65" max="65" width="18.85546875" bestFit="1" customWidth="1"/>
    <col min="66" max="66" width="25.5703125" bestFit="1" customWidth="1"/>
    <col min="67" max="67" width="21.5703125" bestFit="1" customWidth="1"/>
    <col min="68" max="70" width="22" bestFit="1" customWidth="1"/>
    <col min="71" max="71" width="11.140625" bestFit="1" customWidth="1"/>
    <col min="75" max="76" width="17" bestFit="1" customWidth="1"/>
    <col min="80" max="80" width="10" bestFit="1" customWidth="1"/>
    <col min="81" max="81" width="12.85546875" bestFit="1" customWidth="1"/>
    <col min="84" max="84" width="22.28515625" bestFit="1" customWidth="1"/>
    <col min="85" max="85" width="17.85546875" bestFit="1" customWidth="1"/>
    <col min="86" max="86" width="11.7109375" bestFit="1" customWidth="1"/>
    <col min="87" max="87" width="11.5703125" bestFit="1" customWidth="1"/>
    <col min="88" max="88" width="13.5703125" bestFit="1" customWidth="1"/>
    <col min="95" max="95" width="23.85546875" bestFit="1" customWidth="1"/>
    <col min="96" max="96" width="17.85546875" bestFit="1" customWidth="1"/>
    <col min="97" max="97" width="10.140625" bestFit="1" customWidth="1"/>
    <col min="98" max="98" width="18.42578125" bestFit="1" customWidth="1"/>
    <col min="99" max="99" width="20" bestFit="1" customWidth="1"/>
    <col min="100" max="100" width="16.28515625" bestFit="1" customWidth="1"/>
    <col min="101" max="101" width="13.5703125" bestFit="1" customWidth="1"/>
    <col min="103" max="103" width="16.7109375" bestFit="1" customWidth="1"/>
    <col min="104" max="104" width="16" bestFit="1" customWidth="1"/>
    <col min="105" max="106" width="15.140625" bestFit="1" customWidth="1"/>
    <col min="112" max="112" width="19.85546875" bestFit="1" customWidth="1"/>
    <col min="113" max="113" width="17.85546875" bestFit="1" customWidth="1"/>
    <col min="114" max="114" width="18" bestFit="1" customWidth="1"/>
    <col min="115" max="115" width="10.5703125" bestFit="1" customWidth="1"/>
    <col min="116" max="116" width="23.140625" bestFit="1" customWidth="1"/>
    <col min="117" max="117" width="12.7109375" bestFit="1" customWidth="1"/>
    <col min="118" max="118" width="13.5703125" bestFit="1" customWidth="1"/>
    <col min="120" max="120" width="16.7109375" bestFit="1" customWidth="1"/>
    <col min="121" max="121" width="17.28515625" bestFit="1" customWidth="1"/>
    <col min="125" max="125" width="17.5703125" bestFit="1" customWidth="1"/>
    <col min="126" max="126" width="16.42578125" bestFit="1" customWidth="1"/>
    <col min="127" max="127" width="17.42578125" bestFit="1" customWidth="1"/>
    <col min="128" max="128" width="9.5703125" bestFit="1" customWidth="1"/>
    <col min="129" max="129" width="22.140625" bestFit="1" customWidth="1"/>
    <col min="130" max="130" width="12.140625" bestFit="1" customWidth="1"/>
    <col min="131" max="131" width="11" bestFit="1" customWidth="1"/>
  </cols>
  <sheetData>
    <row r="2" spans="1:123" x14ac:dyDescent="0.25">
      <c r="BD2" t="s">
        <v>153</v>
      </c>
      <c r="BE2" s="17">
        <f>BA4</f>
        <v>3</v>
      </c>
    </row>
    <row r="3" spans="1:123" x14ac:dyDescent="0.25">
      <c r="A3" t="s">
        <v>92</v>
      </c>
      <c r="B3" t="s">
        <v>92</v>
      </c>
      <c r="C3" t="s">
        <v>93</v>
      </c>
      <c r="D3" t="s">
        <v>94</v>
      </c>
      <c r="F3" t="s">
        <v>95</v>
      </c>
      <c r="G3" t="s">
        <v>95</v>
      </c>
      <c r="K3" s="3" t="s">
        <v>160</v>
      </c>
      <c r="L3" t="s">
        <v>96</v>
      </c>
      <c r="O3" s="3" t="s">
        <v>160</v>
      </c>
      <c r="P3" t="s">
        <v>95</v>
      </c>
      <c r="R3" s="3" t="s">
        <v>160</v>
      </c>
      <c r="S3" t="s">
        <v>101</v>
      </c>
      <c r="T3" t="s">
        <v>102</v>
      </c>
      <c r="U3" t="s">
        <v>97</v>
      </c>
      <c r="V3" t="s">
        <v>103</v>
      </c>
      <c r="W3" t="s">
        <v>104</v>
      </c>
      <c r="X3" t="s">
        <v>106</v>
      </c>
      <c r="Z3" s="3" t="s">
        <v>160</v>
      </c>
      <c r="AA3" t="s">
        <v>107</v>
      </c>
      <c r="AB3" s="27" t="s">
        <v>156</v>
      </c>
      <c r="AC3" s="27" t="s">
        <v>107</v>
      </c>
      <c r="AD3" s="3" t="s">
        <v>160</v>
      </c>
      <c r="AE3" t="s">
        <v>108</v>
      </c>
      <c r="AF3" s="27" t="s">
        <v>156</v>
      </c>
      <c r="AG3" s="27" t="s">
        <v>157</v>
      </c>
      <c r="AH3" s="3" t="s">
        <v>160</v>
      </c>
      <c r="AI3" t="s">
        <v>104</v>
      </c>
      <c r="AJ3" s="27" t="s">
        <v>156</v>
      </c>
      <c r="AK3" s="27" t="s">
        <v>158</v>
      </c>
      <c r="AL3" s="3" t="s">
        <v>160</v>
      </c>
      <c r="AM3" t="s">
        <v>106</v>
      </c>
      <c r="AN3" s="27" t="s">
        <v>156</v>
      </c>
      <c r="AO3" s="27" t="s">
        <v>159</v>
      </c>
      <c r="AP3" s="3" t="s">
        <v>109</v>
      </c>
      <c r="AQ3" t="s">
        <v>110</v>
      </c>
      <c r="AS3" s="3" t="s">
        <v>111</v>
      </c>
      <c r="AV3" s="19" t="s">
        <v>113</v>
      </c>
      <c r="AW3" s="11" t="s">
        <v>99</v>
      </c>
      <c r="AX3" s="20" t="s">
        <v>101</v>
      </c>
      <c r="AZ3" s="3" t="s">
        <v>160</v>
      </c>
      <c r="BA3" t="s">
        <v>102</v>
      </c>
      <c r="BC3" s="37" t="s">
        <v>152</v>
      </c>
      <c r="BD3" s="37" t="s">
        <v>154</v>
      </c>
      <c r="BE3" s="14">
        <v>0.1</v>
      </c>
      <c r="BF3" s="14"/>
      <c r="BG3" s="14"/>
      <c r="BH3" s="9"/>
      <c r="BL3" s="3" t="s">
        <v>6</v>
      </c>
      <c r="BM3" s="3" t="s">
        <v>7</v>
      </c>
      <c r="BN3" s="3" t="s">
        <v>16</v>
      </c>
      <c r="BO3" t="s">
        <v>95</v>
      </c>
      <c r="BQ3" t="s">
        <v>6</v>
      </c>
      <c r="BR3" t="s">
        <v>7</v>
      </c>
      <c r="BS3" t="s">
        <v>16</v>
      </c>
      <c r="BT3" t="s">
        <v>95</v>
      </c>
      <c r="BW3" t="s">
        <v>115</v>
      </c>
      <c r="BX3" t="s">
        <v>115</v>
      </c>
      <c r="CB3" s="25" t="s">
        <v>118</v>
      </c>
      <c r="CC3" s="25" t="s">
        <v>119</v>
      </c>
      <c r="CF3" s="3" t="s">
        <v>130</v>
      </c>
      <c r="CG3" s="3" t="s">
        <v>452</v>
      </c>
      <c r="CQ3" s="3" t="s">
        <v>132</v>
      </c>
      <c r="CR3" s="3" t="s">
        <v>452</v>
      </c>
      <c r="CY3" s="3" t="s">
        <v>160</v>
      </c>
      <c r="CZ3" t="s">
        <v>140</v>
      </c>
      <c r="DA3" t="s">
        <v>141</v>
      </c>
      <c r="DB3" t="s">
        <v>142</v>
      </c>
      <c r="DC3" s="27" t="s">
        <v>133</v>
      </c>
      <c r="DD3" s="27" t="s">
        <v>135</v>
      </c>
      <c r="DE3" s="27" t="s">
        <v>136</v>
      </c>
      <c r="DF3" s="27" t="s">
        <v>134</v>
      </c>
      <c r="DH3" s="3" t="s">
        <v>143</v>
      </c>
      <c r="DI3" s="3" t="s">
        <v>452</v>
      </c>
      <c r="DP3" s="3" t="s">
        <v>160</v>
      </c>
      <c r="DQ3" t="s">
        <v>146</v>
      </c>
      <c r="DR3" s="27" t="s">
        <v>147</v>
      </c>
      <c r="DS3" s="27" t="s">
        <v>148</v>
      </c>
    </row>
    <row r="4" spans="1:123" ht="16.5" x14ac:dyDescent="0.3">
      <c r="A4" s="6">
        <v>535557</v>
      </c>
      <c r="B4" s="6">
        <v>535557</v>
      </c>
      <c r="C4" s="4">
        <f>A4/B4</f>
        <v>1</v>
      </c>
      <c r="D4" s="4">
        <f>1-C4</f>
        <v>0</v>
      </c>
      <c r="F4" s="6">
        <v>24850</v>
      </c>
      <c r="G4" s="6">
        <v>24850</v>
      </c>
      <c r="H4" s="4">
        <f>F4/G4</f>
        <v>1</v>
      </c>
      <c r="I4" s="4">
        <f>1-H4</f>
        <v>0</v>
      </c>
      <c r="K4" s="7" t="s">
        <v>161</v>
      </c>
      <c r="L4" s="5">
        <v>5.0860000000000003</v>
      </c>
      <c r="O4" s="7">
        <v>1</v>
      </c>
      <c r="P4" s="42">
        <v>8387</v>
      </c>
      <c r="R4" s="7" t="s">
        <v>60</v>
      </c>
      <c r="S4" s="42">
        <v>1004</v>
      </c>
      <c r="T4" s="42">
        <v>3</v>
      </c>
      <c r="U4" s="42">
        <v>52751.76</v>
      </c>
      <c r="V4" s="42">
        <v>10.086584158415842</v>
      </c>
      <c r="W4" s="42">
        <v>45.341584158415841</v>
      </c>
      <c r="X4" s="42">
        <v>31246.929999999982</v>
      </c>
      <c r="Z4" s="7" t="s">
        <v>60</v>
      </c>
      <c r="AA4" s="42">
        <v>202</v>
      </c>
      <c r="AB4" t="str">
        <f>IF(OR(Z4="",Z4="Grand Total",Z4="(blank)"),"",Z4)</f>
        <v>Eksik Parça</v>
      </c>
      <c r="AC4">
        <f>IFERROR(VLOOKUP(AB4,$Z$3:$AA$9,2,FALSE),"")</f>
        <v>202</v>
      </c>
      <c r="AD4" s="7" t="s">
        <v>60</v>
      </c>
      <c r="AE4" s="5">
        <v>52751.759999999995</v>
      </c>
      <c r="AF4" t="str">
        <f>IF(OR(AD4="",AD4="Grand Total",AD4="(blank)"),"",AD4)</f>
        <v>Eksik Parça</v>
      </c>
      <c r="AG4">
        <f>IFERROR(VLOOKUP(AF4,$AD$3:$AE$9,2,FALSE),"")</f>
        <v>52751.759999999995</v>
      </c>
      <c r="AH4" s="7" t="s">
        <v>60</v>
      </c>
      <c r="AI4" s="5">
        <v>45.341584158415841</v>
      </c>
      <c r="AJ4" s="5" t="str">
        <f>IF(OR(AH4="",AH4="Grand Total",AH4="(blank)"),"",AH4)</f>
        <v>Eksik Parça</v>
      </c>
      <c r="AK4" s="5">
        <f>IFERROR(VLOOKUP(AJ4,$AH$3:$AI$9,2,FALSE),"")</f>
        <v>45.341584158415841</v>
      </c>
      <c r="AL4" s="7" t="s">
        <v>60</v>
      </c>
      <c r="AM4" s="9">
        <v>0.20173583463861175</v>
      </c>
      <c r="AN4" s="9" t="str">
        <f>IF(OR(AL4="",AL4="Grand Total",AL4="(blank)"),"",AL4)</f>
        <v>Eksik Parça</v>
      </c>
      <c r="AO4" s="9">
        <f>IFERROR(VLOOKUP(AN4,$AL$3:$AM$9,2,FALSE),"")</f>
        <v>0.20173583463861175</v>
      </c>
      <c r="AP4" s="7" t="s">
        <v>49</v>
      </c>
      <c r="AQ4" s="42">
        <v>189</v>
      </c>
      <c r="AS4" s="7" t="s">
        <v>80</v>
      </c>
      <c r="AV4" s="21" t="s">
        <v>45</v>
      </c>
      <c r="AW4" s="40">
        <v>82.740677966101686</v>
      </c>
      <c r="AX4" s="43">
        <v>896</v>
      </c>
      <c r="AZ4" s="7" t="s">
        <v>60</v>
      </c>
      <c r="BA4" s="5">
        <v>3</v>
      </c>
      <c r="BC4" s="39">
        <v>1</v>
      </c>
      <c r="BD4" s="15" t="s">
        <v>155</v>
      </c>
      <c r="BE4" s="38">
        <f>SUM(BC4:BC9)-SUM(BE2:BE3)</f>
        <v>6.9</v>
      </c>
      <c r="BF4" s="10"/>
      <c r="BG4" s="10"/>
      <c r="BH4" s="16"/>
      <c r="BL4" t="s">
        <v>60</v>
      </c>
      <c r="BM4" t="s">
        <v>61</v>
      </c>
      <c r="BN4" t="s">
        <v>46</v>
      </c>
      <c r="BO4" s="42">
        <v>293</v>
      </c>
      <c r="BQ4" t="s">
        <v>60</v>
      </c>
      <c r="BR4" t="s">
        <v>61</v>
      </c>
      <c r="BS4" t="s">
        <v>46</v>
      </c>
      <c r="BT4">
        <v>111</v>
      </c>
      <c r="BW4" s="6">
        <v>479811.49999999994</v>
      </c>
      <c r="BX4" s="18">
        <v>479811.49999999994</v>
      </c>
      <c r="BY4" s="4">
        <f>BW4/BX4</f>
        <v>1</v>
      </c>
      <c r="BZ4" s="4">
        <f>1-BW4/BX4</f>
        <v>0</v>
      </c>
      <c r="CB4" s="26" t="s">
        <v>120</v>
      </c>
      <c r="CC4" s="26" t="s">
        <v>121</v>
      </c>
      <c r="CF4" s="3" t="s">
        <v>160</v>
      </c>
      <c r="CG4" t="s">
        <v>127</v>
      </c>
      <c r="CH4" t="s">
        <v>128</v>
      </c>
      <c r="CI4" t="s">
        <v>129</v>
      </c>
      <c r="CJ4" t="s">
        <v>451</v>
      </c>
      <c r="CK4" s="27" t="s">
        <v>131</v>
      </c>
      <c r="CL4" s="27" t="s">
        <v>127</v>
      </c>
      <c r="CM4" s="27" t="s">
        <v>129</v>
      </c>
      <c r="CN4" s="27" t="s">
        <v>128</v>
      </c>
      <c r="CQ4" s="3" t="s">
        <v>160</v>
      </c>
      <c r="CR4" t="s">
        <v>25</v>
      </c>
      <c r="CS4" t="s">
        <v>61</v>
      </c>
      <c r="CT4" t="s">
        <v>40</v>
      </c>
      <c r="CU4" t="s">
        <v>48</v>
      </c>
      <c r="CV4" t="s">
        <v>33</v>
      </c>
      <c r="CW4" t="s">
        <v>451</v>
      </c>
      <c r="CY4" s="7">
        <v>0</v>
      </c>
      <c r="CZ4" s="28">
        <v>1.2441598592351144E-2</v>
      </c>
      <c r="DA4" s="42">
        <v>0.05</v>
      </c>
      <c r="DB4" s="42">
        <v>0</v>
      </c>
      <c r="DC4">
        <f>IF(OR(CY4="",CY4="Grand Total",CY4="(blank)"),"",CY4)</f>
        <v>0</v>
      </c>
      <c r="DD4" s="28">
        <f t="shared" ref="DD4:DD16" si="0">IFERROR(VLOOKUP(DC4,$CY$3:$DA$16,2,FALSE),"")</f>
        <v>1.2441598592351144E-2</v>
      </c>
      <c r="DE4">
        <f t="shared" ref="DE4:DE14" si="1">IFERROR(VLOOKUP(DC4,$CY$3:$DA$16,3,FALSE),"")</f>
        <v>0.05</v>
      </c>
      <c r="DF4">
        <f>IFERROR(VLOOKUP(DC4,$CY$3:$DB$16,4,FALSE),"")</f>
        <v>0</v>
      </c>
      <c r="DH4" s="3" t="s">
        <v>160</v>
      </c>
      <c r="DI4" t="s">
        <v>46</v>
      </c>
      <c r="DJ4" t="s">
        <v>27</v>
      </c>
      <c r="DK4" t="s">
        <v>34</v>
      </c>
      <c r="DL4" t="s">
        <v>42</v>
      </c>
      <c r="DM4" t="s">
        <v>57</v>
      </c>
      <c r="DN4" t="s">
        <v>451</v>
      </c>
      <c r="DP4" s="7" t="s">
        <v>464</v>
      </c>
      <c r="DQ4" s="6">
        <v>44707.28</v>
      </c>
      <c r="DR4" t="str">
        <f>IF(OR(DP4="",DP4="Grand Total",DP4="(blank)"),"",DP4)</f>
        <v>Oca</v>
      </c>
      <c r="DS4">
        <f>IFERROR(VLOOKUP(DR4,$DP$3:$DQ$14,2,FALSE),"")</f>
        <v>44707.28</v>
      </c>
    </row>
    <row r="5" spans="1:123" ht="16.5" x14ac:dyDescent="0.3">
      <c r="K5" s="7" t="s">
        <v>162</v>
      </c>
      <c r="L5" s="5">
        <v>6.3233333333333333</v>
      </c>
      <c r="O5" s="7">
        <v>2</v>
      </c>
      <c r="P5" s="42">
        <v>8498</v>
      </c>
      <c r="R5" s="8" t="s">
        <v>25</v>
      </c>
      <c r="S5" s="42">
        <v>246</v>
      </c>
      <c r="T5" s="42">
        <v>2.9375</v>
      </c>
      <c r="U5" s="42">
        <v>12816.370000000004</v>
      </c>
      <c r="V5" s="42">
        <v>10.369375</v>
      </c>
      <c r="W5" s="42">
        <v>42.833333333333336</v>
      </c>
      <c r="X5" s="42">
        <v>8419.44</v>
      </c>
      <c r="Z5" s="7" t="s">
        <v>52</v>
      </c>
      <c r="AA5" s="42">
        <v>207</v>
      </c>
      <c r="AB5" t="str">
        <f t="shared" ref="AB5:AB10" si="2">IF(OR(Z5="",Z5="Grand Total",Z5="(blank)"),"",Z5)</f>
        <v>Kaynak Hatası</v>
      </c>
      <c r="AC5">
        <f t="shared" ref="AC5:AC10" si="3">IFERROR(VLOOKUP(AB5,$Z$3:$AA$9,2,FALSE),"")</f>
        <v>207</v>
      </c>
      <c r="AD5" s="7" t="s">
        <v>52</v>
      </c>
      <c r="AE5" s="5">
        <v>58295.889999999978</v>
      </c>
      <c r="AF5" t="str">
        <f t="shared" ref="AF5:AF9" si="4">IF(OR(AD5="",AD5="Grand Total",AD5="(blank)"),"",AD5)</f>
        <v>Kaynak Hatası</v>
      </c>
      <c r="AG5">
        <f t="shared" ref="AG5:AG9" si="5">IFERROR(VLOOKUP(AF5,$AD$3:$AE$9,2,FALSE),"")</f>
        <v>58295.889999999978</v>
      </c>
      <c r="AH5" s="7" t="s">
        <v>52</v>
      </c>
      <c r="AI5" s="5">
        <v>44.391304347826086</v>
      </c>
      <c r="AJ5" s="5" t="str">
        <f t="shared" ref="AJ5:AJ10" si="6">IF(OR(AH5="",AH5="Grand Total",AH5="(blank)"),"",AH5)</f>
        <v>Kaynak Hatası</v>
      </c>
      <c r="AK5" s="5">
        <f t="shared" ref="AK5:AK10" si="7">IFERROR(VLOOKUP(AJ5,$AH$3:$AI$9,2,FALSE),"")</f>
        <v>44.391304347826086</v>
      </c>
      <c r="AL5" s="7" t="s">
        <v>52</v>
      </c>
      <c r="AM5" s="9">
        <v>0.21796221881637151</v>
      </c>
      <c r="AN5" s="9" t="str">
        <f t="shared" ref="AN5:AN10" si="8">IF(OR(AL5="",AL5="Grand Total",AL5="(blank)"),"",AL5)</f>
        <v>Kaynak Hatası</v>
      </c>
      <c r="AO5" s="9">
        <f t="shared" ref="AO5:AO10" si="9">IFERROR(VLOOKUP(AN5,$AL$3:$AM$9,2,FALSE),"")</f>
        <v>0.21796221881637151</v>
      </c>
      <c r="AP5" s="7" t="s">
        <v>45</v>
      </c>
      <c r="AQ5" s="42">
        <v>177</v>
      </c>
      <c r="AS5" s="7" t="s">
        <v>88</v>
      </c>
      <c r="AV5" s="22" t="s">
        <v>55</v>
      </c>
      <c r="AW5" s="41">
        <v>83.380595238095225</v>
      </c>
      <c r="AX5" s="44">
        <v>815</v>
      </c>
      <c r="AZ5" s="7" t="s">
        <v>52</v>
      </c>
      <c r="BA5" s="5">
        <v>3.0772946859903381</v>
      </c>
      <c r="BC5" s="39">
        <v>1</v>
      </c>
      <c r="BD5" s="7"/>
      <c r="BE5" s="15"/>
      <c r="BF5" s="10"/>
      <c r="BG5" s="10"/>
      <c r="BH5" s="5"/>
      <c r="BI5" s="9"/>
      <c r="BL5" t="s">
        <v>60</v>
      </c>
      <c r="BM5" t="s">
        <v>61</v>
      </c>
      <c r="BN5" t="s">
        <v>27</v>
      </c>
      <c r="BO5" s="42">
        <v>210</v>
      </c>
      <c r="BQ5" t="s">
        <v>60</v>
      </c>
      <c r="BR5" t="s">
        <v>61</v>
      </c>
      <c r="BS5" t="s">
        <v>27</v>
      </c>
      <c r="BT5">
        <v>67</v>
      </c>
      <c r="CB5" s="26" t="s">
        <v>122</v>
      </c>
      <c r="CC5" s="26" t="s">
        <v>123</v>
      </c>
      <c r="CD5" s="31"/>
      <c r="CF5" s="7" t="s">
        <v>50</v>
      </c>
      <c r="CG5" s="42">
        <v>43</v>
      </c>
      <c r="CH5" s="42">
        <v>50</v>
      </c>
      <c r="CI5" s="42">
        <v>71</v>
      </c>
      <c r="CJ5" s="42">
        <v>164</v>
      </c>
      <c r="CK5" t="str">
        <f>IF(OR(CF5="",CF5="Grand Total"),"",CF5)</f>
        <v>Boya</v>
      </c>
      <c r="CL5">
        <f>IFERROR(VLOOKUP(CK5,$CF$3:$CJ$11,2,FALSE),"")</f>
        <v>43</v>
      </c>
      <c r="CM5">
        <f>IFERROR(VLOOKUP(CK5,$CF$3:$CJ$11,3,FALSE),"")</f>
        <v>50</v>
      </c>
      <c r="CN5">
        <f>IFERROR(VLOOKUP(CK5,$CF$3:$CJ$11,4,FALSE),"")</f>
        <v>71</v>
      </c>
      <c r="CQ5" s="7" t="s">
        <v>60</v>
      </c>
      <c r="CR5" s="42">
        <v>48</v>
      </c>
      <c r="CS5" s="42">
        <v>39</v>
      </c>
      <c r="CT5" s="42">
        <v>38</v>
      </c>
      <c r="CU5" s="42">
        <v>38</v>
      </c>
      <c r="CV5" s="42">
        <v>39</v>
      </c>
      <c r="CW5" s="42">
        <v>202</v>
      </c>
      <c r="CY5" s="7">
        <v>2</v>
      </c>
      <c r="CZ5" s="28">
        <v>2.3031727912103513E-2</v>
      </c>
      <c r="DA5" s="42">
        <v>0.05</v>
      </c>
      <c r="DB5" s="42">
        <v>55</v>
      </c>
      <c r="DC5">
        <f t="shared" ref="DC5:DC16" si="10">IF(OR(CY5="",CY5="Grand Total",CY5="(blank)"),"",CY5)</f>
        <v>2</v>
      </c>
      <c r="DD5" s="28">
        <f t="shared" si="0"/>
        <v>2.3031727912103513E-2</v>
      </c>
      <c r="DE5">
        <f t="shared" si="1"/>
        <v>0.05</v>
      </c>
      <c r="DF5">
        <f t="shared" ref="DF5:DF16" si="11">IFERROR(VLOOKUP(DC5,$CY$3:$DB$16,4,FALSE),"")</f>
        <v>55</v>
      </c>
      <c r="DH5" s="7" t="s">
        <v>60</v>
      </c>
      <c r="DI5" s="42">
        <v>42</v>
      </c>
      <c r="DJ5" s="42">
        <v>41</v>
      </c>
      <c r="DK5" s="42">
        <v>43</v>
      </c>
      <c r="DL5" s="42">
        <v>39</v>
      </c>
      <c r="DM5" s="42">
        <v>37</v>
      </c>
      <c r="DN5" s="42">
        <v>202</v>
      </c>
      <c r="DP5" s="7" t="s">
        <v>465</v>
      </c>
      <c r="DQ5" s="6">
        <v>43527.689999999988</v>
      </c>
      <c r="DR5" t="str">
        <f t="shared" ref="DR5:DR13" si="12">IF(OR(DP5="",DP5="Grand Total",DP5="(blank)"),"",DP5)</f>
        <v>Şub</v>
      </c>
      <c r="DS5">
        <f t="shared" ref="DS5:DS13" si="13">IFERROR(VLOOKUP(DR5,$DP$3:$DQ$14,2,FALSE),"")</f>
        <v>43527.689999999988</v>
      </c>
    </row>
    <row r="6" spans="1:123" ht="16.5" x14ac:dyDescent="0.3">
      <c r="K6" s="7" t="s">
        <v>163</v>
      </c>
      <c r="L6" s="5">
        <v>4.8050000000000006</v>
      </c>
      <c r="O6" s="7">
        <v>3</v>
      </c>
      <c r="P6" s="42">
        <v>7965</v>
      </c>
      <c r="R6" s="8" t="s">
        <v>48</v>
      </c>
      <c r="S6" s="42">
        <v>219</v>
      </c>
      <c r="T6" s="42">
        <v>3.0263157894736841</v>
      </c>
      <c r="U6" s="42">
        <v>9768.41</v>
      </c>
      <c r="V6" s="42">
        <v>9.8205263157894738</v>
      </c>
      <c r="W6" s="42">
        <v>47.026315789473685</v>
      </c>
      <c r="X6" s="42">
        <v>7103.1399999999985</v>
      </c>
      <c r="Z6" s="7" t="s">
        <v>24</v>
      </c>
      <c r="AA6" s="42">
        <v>183</v>
      </c>
      <c r="AB6" t="str">
        <f t="shared" si="2"/>
        <v>Ölçü Hatası</v>
      </c>
      <c r="AC6">
        <f t="shared" si="3"/>
        <v>183</v>
      </c>
      <c r="AD6" s="7" t="s">
        <v>24</v>
      </c>
      <c r="AE6" s="5">
        <v>49215.359999999979</v>
      </c>
      <c r="AF6" t="str">
        <f t="shared" si="4"/>
        <v>Ölçü Hatası</v>
      </c>
      <c r="AG6">
        <f t="shared" si="5"/>
        <v>49215.359999999979</v>
      </c>
      <c r="AH6" s="7" t="s">
        <v>24</v>
      </c>
      <c r="AI6" s="5">
        <v>46.617486338797811</v>
      </c>
      <c r="AJ6" s="5" t="str">
        <f t="shared" si="6"/>
        <v>Ölçü Hatası</v>
      </c>
      <c r="AK6" s="5">
        <f t="shared" si="7"/>
        <v>46.617486338797811</v>
      </c>
      <c r="AL6" s="7" t="s">
        <v>24</v>
      </c>
      <c r="AM6" s="9">
        <v>0.17616619449387197</v>
      </c>
      <c r="AN6" s="9" t="str">
        <f t="shared" si="8"/>
        <v>Ölçü Hatası</v>
      </c>
      <c r="AO6" s="9">
        <f t="shared" si="9"/>
        <v>0.17616619449387197</v>
      </c>
      <c r="AP6" s="7" t="s">
        <v>55</v>
      </c>
      <c r="AQ6" s="42">
        <v>168</v>
      </c>
      <c r="AS6" s="7" t="s">
        <v>77</v>
      </c>
      <c r="AV6" s="22" t="s">
        <v>63</v>
      </c>
      <c r="AW6" s="41">
        <v>83.43627586206901</v>
      </c>
      <c r="AX6" s="44">
        <v>627</v>
      </c>
      <c r="AZ6" s="7" t="s">
        <v>24</v>
      </c>
      <c r="BA6" s="5">
        <v>2.8688524590163933</v>
      </c>
      <c r="BC6" s="39">
        <v>1</v>
      </c>
      <c r="BD6" s="7"/>
      <c r="BE6" s="15"/>
      <c r="BF6" s="10"/>
      <c r="BG6" s="10"/>
      <c r="BH6" s="17"/>
      <c r="BI6" s="9"/>
      <c r="BL6" t="s">
        <v>60</v>
      </c>
      <c r="BM6" t="s">
        <v>61</v>
      </c>
      <c r="BN6" t="s">
        <v>34</v>
      </c>
      <c r="BO6" s="42">
        <v>188</v>
      </c>
      <c r="BQ6" t="s">
        <v>60</v>
      </c>
      <c r="BR6" t="s">
        <v>61</v>
      </c>
      <c r="BS6" t="s">
        <v>34</v>
      </c>
      <c r="BT6">
        <v>93</v>
      </c>
      <c r="CB6" s="26" t="s">
        <v>124</v>
      </c>
      <c r="CC6" s="26" t="s">
        <v>125</v>
      </c>
      <c r="CF6" s="7" t="s">
        <v>28</v>
      </c>
      <c r="CG6" s="42">
        <v>51</v>
      </c>
      <c r="CH6" s="42">
        <v>40</v>
      </c>
      <c r="CI6" s="42">
        <v>81</v>
      </c>
      <c r="CJ6" s="42">
        <v>172</v>
      </c>
      <c r="CK6" t="str">
        <f t="shared" ref="CK6:CK11" si="14">IF(OR(CF6="",CF6="Grand Total"),"",CF6)</f>
        <v>CNC</v>
      </c>
      <c r="CL6">
        <f t="shared" ref="CL6:CL11" si="15">IFERROR(VLOOKUP(CK6,$CF$3:$CJ$11,2,FALSE),"")</f>
        <v>51</v>
      </c>
      <c r="CM6">
        <f t="shared" ref="CM6:CM11" si="16">IFERROR(VLOOKUP(CK6,$CF$3:$CJ$11,3,FALSE),"")</f>
        <v>40</v>
      </c>
      <c r="CN6">
        <f t="shared" ref="CN6:CN11" si="17">IFERROR(VLOOKUP(CK6,$CF$3:$CJ$11,4,FALSE),"")</f>
        <v>81</v>
      </c>
      <c r="CQ6" s="7" t="s">
        <v>52</v>
      </c>
      <c r="CR6" s="42">
        <v>59</v>
      </c>
      <c r="CS6" s="42">
        <v>47</v>
      </c>
      <c r="CT6" s="42">
        <v>33</v>
      </c>
      <c r="CU6" s="42">
        <v>39</v>
      </c>
      <c r="CV6" s="42">
        <v>29</v>
      </c>
      <c r="CW6" s="42">
        <v>207</v>
      </c>
      <c r="CY6" s="7">
        <v>4</v>
      </c>
      <c r="CZ6" s="28">
        <v>3.7366807952180968E-2</v>
      </c>
      <c r="DA6" s="42">
        <v>0.05</v>
      </c>
      <c r="DB6" s="42">
        <v>112</v>
      </c>
      <c r="DC6">
        <f t="shared" si="10"/>
        <v>4</v>
      </c>
      <c r="DD6" s="28">
        <f t="shared" si="0"/>
        <v>3.7366807952180968E-2</v>
      </c>
      <c r="DE6">
        <f t="shared" si="1"/>
        <v>0.05</v>
      </c>
      <c r="DF6">
        <f t="shared" si="11"/>
        <v>112</v>
      </c>
      <c r="DH6" s="7" t="s">
        <v>52</v>
      </c>
      <c r="DI6" s="42">
        <v>41</v>
      </c>
      <c r="DJ6" s="42">
        <v>46</v>
      </c>
      <c r="DK6" s="42">
        <v>44</v>
      </c>
      <c r="DL6" s="42">
        <v>33</v>
      </c>
      <c r="DM6" s="42">
        <v>43</v>
      </c>
      <c r="DN6" s="42">
        <v>207</v>
      </c>
      <c r="DP6" s="7" t="s">
        <v>144</v>
      </c>
      <c r="DQ6" s="6">
        <v>48319.94000000001</v>
      </c>
      <c r="DR6" t="str">
        <f t="shared" si="12"/>
        <v>Mar</v>
      </c>
      <c r="DS6">
        <f t="shared" si="13"/>
        <v>48319.94000000001</v>
      </c>
    </row>
    <row r="7" spans="1:123" ht="16.5" x14ac:dyDescent="0.3">
      <c r="A7" t="s">
        <v>97</v>
      </c>
      <c r="B7" t="s">
        <v>97</v>
      </c>
      <c r="F7" t="s">
        <v>98</v>
      </c>
      <c r="G7" t="s">
        <v>98</v>
      </c>
      <c r="K7" s="7" t="s">
        <v>164</v>
      </c>
      <c r="L7" s="5">
        <v>7.297142857142858</v>
      </c>
      <c r="O7" s="7" t="s">
        <v>451</v>
      </c>
      <c r="P7" s="42">
        <v>24850</v>
      </c>
      <c r="R7" s="8" t="s">
        <v>61</v>
      </c>
      <c r="S7" s="42">
        <v>178</v>
      </c>
      <c r="T7" s="42">
        <v>3.1025641025641026</v>
      </c>
      <c r="U7" s="42">
        <v>9118.0599999999977</v>
      </c>
      <c r="V7" s="42">
        <v>10.612820512820514</v>
      </c>
      <c r="W7" s="42">
        <v>43.897435897435898</v>
      </c>
      <c r="X7" s="42">
        <v>5483.8499999999985</v>
      </c>
      <c r="Z7" s="7" t="s">
        <v>39</v>
      </c>
      <c r="AA7" s="42">
        <v>196</v>
      </c>
      <c r="AB7" t="str">
        <f t="shared" si="2"/>
        <v>Renk Uyumsuzluğu</v>
      </c>
      <c r="AC7">
        <f t="shared" si="3"/>
        <v>196</v>
      </c>
      <c r="AD7" s="7" t="s">
        <v>39</v>
      </c>
      <c r="AE7" s="5">
        <v>53007.400000000016</v>
      </c>
      <c r="AF7" t="str">
        <f t="shared" si="4"/>
        <v>Renk Uyumsuzluğu</v>
      </c>
      <c r="AG7">
        <f t="shared" si="5"/>
        <v>53007.400000000016</v>
      </c>
      <c r="AH7" s="7" t="s">
        <v>39</v>
      </c>
      <c r="AI7" s="5">
        <v>45.948979591836732</v>
      </c>
      <c r="AJ7" s="5" t="str">
        <f t="shared" si="6"/>
        <v>Renk Uyumsuzluğu</v>
      </c>
      <c r="AK7" s="5">
        <f t="shared" si="7"/>
        <v>45.948979591836732</v>
      </c>
      <c r="AL7" s="7" t="s">
        <v>39</v>
      </c>
      <c r="AM7" s="9">
        <v>0.16954712408450545</v>
      </c>
      <c r="AN7" s="9" t="str">
        <f t="shared" si="8"/>
        <v>Renk Uyumsuzluğu</v>
      </c>
      <c r="AO7" s="9">
        <f t="shared" si="9"/>
        <v>0.16954712408450545</v>
      </c>
      <c r="AP7" s="7" t="s">
        <v>26</v>
      </c>
      <c r="AQ7" s="42">
        <v>165</v>
      </c>
      <c r="AS7" s="7" t="s">
        <v>64</v>
      </c>
      <c r="AV7" s="22" t="s">
        <v>26</v>
      </c>
      <c r="AW7" s="41">
        <v>84.400242424242435</v>
      </c>
      <c r="AX7" s="44">
        <v>807</v>
      </c>
      <c r="AZ7" s="7" t="s">
        <v>39</v>
      </c>
      <c r="BA7" s="5">
        <v>2.8622448979591835</v>
      </c>
      <c r="BC7" s="39">
        <v>1</v>
      </c>
      <c r="BD7" s="7"/>
      <c r="BE7" s="7"/>
      <c r="BF7" s="10"/>
      <c r="BG7" s="10"/>
      <c r="BH7" s="17"/>
      <c r="BL7" t="s">
        <v>60</v>
      </c>
      <c r="BM7" t="s">
        <v>61</v>
      </c>
      <c r="BN7" t="s">
        <v>42</v>
      </c>
      <c r="BO7" s="42">
        <v>179</v>
      </c>
      <c r="BQ7" t="s">
        <v>60</v>
      </c>
      <c r="BR7" t="s">
        <v>61</v>
      </c>
      <c r="BS7" t="s">
        <v>42</v>
      </c>
      <c r="BT7">
        <v>37</v>
      </c>
      <c r="CF7" s="7" t="s">
        <v>35</v>
      </c>
      <c r="CG7" s="42">
        <v>39</v>
      </c>
      <c r="CH7" s="42">
        <v>43</v>
      </c>
      <c r="CI7" s="42">
        <v>72</v>
      </c>
      <c r="CJ7" s="42">
        <v>154</v>
      </c>
      <c r="CK7" t="str">
        <f t="shared" si="14"/>
        <v>Kaynak</v>
      </c>
      <c r="CL7">
        <f t="shared" si="15"/>
        <v>39</v>
      </c>
      <c r="CM7">
        <f t="shared" si="16"/>
        <v>43</v>
      </c>
      <c r="CN7">
        <f t="shared" si="17"/>
        <v>72</v>
      </c>
      <c r="CQ7" s="7" t="s">
        <v>24</v>
      </c>
      <c r="CR7" s="42">
        <v>42</v>
      </c>
      <c r="CS7" s="42">
        <v>44</v>
      </c>
      <c r="CT7" s="42">
        <v>38</v>
      </c>
      <c r="CU7" s="42">
        <v>35</v>
      </c>
      <c r="CV7" s="42">
        <v>24</v>
      </c>
      <c r="CW7" s="42">
        <v>183</v>
      </c>
      <c r="CY7" s="7">
        <v>6</v>
      </c>
      <c r="CZ7" s="28">
        <v>5.3131811279245551E-2</v>
      </c>
      <c r="DA7" s="42">
        <v>0.05</v>
      </c>
      <c r="DB7" s="42">
        <v>106</v>
      </c>
      <c r="DC7">
        <f t="shared" si="10"/>
        <v>6</v>
      </c>
      <c r="DD7" s="28">
        <f t="shared" si="0"/>
        <v>5.3131811279245551E-2</v>
      </c>
      <c r="DE7">
        <f t="shared" si="1"/>
        <v>0.05</v>
      </c>
      <c r="DF7">
        <f t="shared" si="11"/>
        <v>106</v>
      </c>
      <c r="DH7" s="7" t="s">
        <v>24</v>
      </c>
      <c r="DI7" s="42">
        <v>25</v>
      </c>
      <c r="DJ7" s="42">
        <v>39</v>
      </c>
      <c r="DK7" s="42">
        <v>32</v>
      </c>
      <c r="DL7" s="42">
        <v>48</v>
      </c>
      <c r="DM7" s="42">
        <v>39</v>
      </c>
      <c r="DN7" s="42">
        <v>183</v>
      </c>
      <c r="DP7" s="7" t="s">
        <v>466</v>
      </c>
      <c r="DQ7" s="6">
        <v>47737.120000000003</v>
      </c>
      <c r="DR7" t="str">
        <f t="shared" si="12"/>
        <v>Nis</v>
      </c>
      <c r="DS7">
        <f t="shared" si="13"/>
        <v>47737.120000000003</v>
      </c>
    </row>
    <row r="8" spans="1:123" ht="16.5" x14ac:dyDescent="0.3">
      <c r="A8" s="6">
        <v>269220.73</v>
      </c>
      <c r="B8" s="6">
        <v>269220.73</v>
      </c>
      <c r="C8" s="4">
        <f>A8/B8</f>
        <v>1</v>
      </c>
      <c r="D8" s="4">
        <f>1-C8</f>
        <v>0</v>
      </c>
      <c r="F8" s="6">
        <v>46649</v>
      </c>
      <c r="G8" s="6">
        <v>46649</v>
      </c>
      <c r="K8" s="7" t="s">
        <v>165</v>
      </c>
      <c r="L8" s="5">
        <v>6.78</v>
      </c>
      <c r="R8" s="8" t="s">
        <v>33</v>
      </c>
      <c r="S8" s="42">
        <v>173</v>
      </c>
      <c r="T8" s="42">
        <v>3.0512820512820511</v>
      </c>
      <c r="U8" s="42">
        <v>9744.0599999999977</v>
      </c>
      <c r="V8" s="42">
        <v>10.274358974358973</v>
      </c>
      <c r="W8" s="42">
        <v>40.692307692307693</v>
      </c>
      <c r="X8" s="42">
        <v>5125.6099999999988</v>
      </c>
      <c r="Z8" s="7" t="s">
        <v>32</v>
      </c>
      <c r="AA8" s="42">
        <v>212</v>
      </c>
      <c r="AB8" t="str">
        <f t="shared" si="2"/>
        <v>Yüzey Çizik</v>
      </c>
      <c r="AC8">
        <f t="shared" si="3"/>
        <v>212</v>
      </c>
      <c r="AD8" s="7" t="s">
        <v>32</v>
      </c>
      <c r="AE8" s="5">
        <v>55950.319999999992</v>
      </c>
      <c r="AF8" t="str">
        <f t="shared" si="4"/>
        <v>Yüzey Çizik</v>
      </c>
      <c r="AG8">
        <f t="shared" si="5"/>
        <v>55950.319999999992</v>
      </c>
      <c r="AH8" s="7" t="s">
        <v>32</v>
      </c>
      <c r="AI8" s="5">
        <v>50.773584905660378</v>
      </c>
      <c r="AJ8" s="5" t="str">
        <f t="shared" si="6"/>
        <v>Yüzey Çizik</v>
      </c>
      <c r="AK8" s="5">
        <f t="shared" si="7"/>
        <v>50.773584905660378</v>
      </c>
      <c r="AL8" s="7" t="s">
        <v>32</v>
      </c>
      <c r="AM8" s="9">
        <v>0.23458862796663926</v>
      </c>
      <c r="AN8" s="9" t="str">
        <f t="shared" si="8"/>
        <v>Yüzey Çizik</v>
      </c>
      <c r="AO8" s="9">
        <f t="shared" si="9"/>
        <v>0.23458862796663926</v>
      </c>
      <c r="AP8" s="7" t="s">
        <v>41</v>
      </c>
      <c r="AQ8" s="42">
        <v>156</v>
      </c>
      <c r="AS8" s="7" t="s">
        <v>74</v>
      </c>
      <c r="AV8" s="22" t="s">
        <v>41</v>
      </c>
      <c r="AW8" s="41">
        <v>85.296025641025665</v>
      </c>
      <c r="AX8" s="44">
        <v>848</v>
      </c>
      <c r="AZ8" s="7" t="s">
        <v>32</v>
      </c>
      <c r="BA8" s="5">
        <v>2.9952830188679247</v>
      </c>
      <c r="BC8" s="39">
        <v>1</v>
      </c>
      <c r="BD8" s="7"/>
      <c r="BE8" s="7"/>
      <c r="BF8" s="10"/>
      <c r="BG8" s="10"/>
      <c r="BL8" t="s">
        <v>60</v>
      </c>
      <c r="BM8" t="s">
        <v>61</v>
      </c>
      <c r="BN8" t="s">
        <v>57</v>
      </c>
      <c r="BO8" s="42">
        <v>110</v>
      </c>
      <c r="CB8" s="30"/>
      <c r="CF8" s="7" t="s">
        <v>75</v>
      </c>
      <c r="CG8" s="42">
        <v>48</v>
      </c>
      <c r="CH8" s="42">
        <v>53</v>
      </c>
      <c r="CI8" s="42">
        <v>80</v>
      </c>
      <c r="CJ8" s="42">
        <v>181</v>
      </c>
      <c r="CK8" t="str">
        <f t="shared" si="14"/>
        <v>Montaj</v>
      </c>
      <c r="CL8">
        <f t="shared" si="15"/>
        <v>48</v>
      </c>
      <c r="CM8">
        <f t="shared" si="16"/>
        <v>53</v>
      </c>
      <c r="CN8">
        <f t="shared" si="17"/>
        <v>80</v>
      </c>
      <c r="CQ8" s="7" t="s">
        <v>39</v>
      </c>
      <c r="CR8" s="42">
        <v>45</v>
      </c>
      <c r="CS8" s="42">
        <v>36</v>
      </c>
      <c r="CT8" s="42">
        <v>43</v>
      </c>
      <c r="CU8" s="42">
        <v>36</v>
      </c>
      <c r="CV8" s="42">
        <v>36</v>
      </c>
      <c r="CW8" s="42">
        <v>196</v>
      </c>
      <c r="CY8" s="7">
        <v>8</v>
      </c>
      <c r="CZ8" s="28">
        <v>6.6211341260927217E-2</v>
      </c>
      <c r="DA8" s="42">
        <v>0.05</v>
      </c>
      <c r="DB8" s="42">
        <v>110</v>
      </c>
      <c r="DC8">
        <f t="shared" si="10"/>
        <v>8</v>
      </c>
      <c r="DD8" s="28">
        <f t="shared" si="0"/>
        <v>6.6211341260927217E-2</v>
      </c>
      <c r="DE8">
        <f t="shared" si="1"/>
        <v>0.05</v>
      </c>
      <c r="DF8">
        <f t="shared" si="11"/>
        <v>110</v>
      </c>
      <c r="DH8" s="7" t="s">
        <v>39</v>
      </c>
      <c r="DI8" s="42">
        <v>32</v>
      </c>
      <c r="DJ8" s="42">
        <v>47</v>
      </c>
      <c r="DK8" s="42">
        <v>36</v>
      </c>
      <c r="DL8" s="42">
        <v>42</v>
      </c>
      <c r="DM8" s="42">
        <v>39</v>
      </c>
      <c r="DN8" s="42">
        <v>196</v>
      </c>
      <c r="DP8" s="7" t="s">
        <v>145</v>
      </c>
      <c r="DQ8" s="6">
        <v>52368.799999999988</v>
      </c>
      <c r="DR8" t="str">
        <f t="shared" si="12"/>
        <v>May</v>
      </c>
      <c r="DS8">
        <f t="shared" si="13"/>
        <v>52368.799999999988</v>
      </c>
    </row>
    <row r="9" spans="1:123" ht="16.5" x14ac:dyDescent="0.3">
      <c r="K9" s="7" t="s">
        <v>166</v>
      </c>
      <c r="L9" s="5">
        <v>3.9966666666666666</v>
      </c>
      <c r="R9" s="8" t="s">
        <v>40</v>
      </c>
      <c r="S9" s="42">
        <v>188</v>
      </c>
      <c r="T9" s="42">
        <v>2.8947368421052633</v>
      </c>
      <c r="U9" s="42">
        <v>11304.859999999997</v>
      </c>
      <c r="V9" s="42">
        <v>9.2626315789473725</v>
      </c>
      <c r="W9" s="42">
        <v>53.078947368421055</v>
      </c>
      <c r="X9" s="42">
        <v>5114.8899999999994</v>
      </c>
      <c r="Z9" s="7" t="s">
        <v>451</v>
      </c>
      <c r="AA9" s="42">
        <v>1000</v>
      </c>
      <c r="AB9" t="str">
        <f t="shared" si="2"/>
        <v>Genel Toplam</v>
      </c>
      <c r="AC9">
        <f t="shared" si="3"/>
        <v>1000</v>
      </c>
      <c r="AD9" s="7" t="s">
        <v>451</v>
      </c>
      <c r="AE9" s="5">
        <v>269220.73</v>
      </c>
      <c r="AF9" t="str">
        <f t="shared" si="4"/>
        <v>Genel Toplam</v>
      </c>
      <c r="AG9">
        <f t="shared" si="5"/>
        <v>269220.73</v>
      </c>
      <c r="AH9" s="7" t="s">
        <v>451</v>
      </c>
      <c r="AI9" s="5">
        <v>46.649000000000001</v>
      </c>
      <c r="AJ9" s="5" t="str">
        <f t="shared" si="6"/>
        <v>Genel Toplam</v>
      </c>
      <c r="AK9" s="5">
        <f t="shared" si="7"/>
        <v>46.649000000000001</v>
      </c>
      <c r="AL9" s="7" t="s">
        <v>451</v>
      </c>
      <c r="AM9" s="9">
        <v>1</v>
      </c>
      <c r="AN9" s="9" t="str">
        <f t="shared" si="8"/>
        <v>Genel Toplam</v>
      </c>
      <c r="AO9" s="9">
        <f t="shared" si="9"/>
        <v>1</v>
      </c>
      <c r="AP9" s="7" t="s">
        <v>63</v>
      </c>
      <c r="AQ9" s="42">
        <v>145</v>
      </c>
      <c r="AS9" s="7" t="s">
        <v>82</v>
      </c>
      <c r="AV9" s="22" t="s">
        <v>49</v>
      </c>
      <c r="AW9" s="41">
        <v>84.155343915343948</v>
      </c>
      <c r="AX9" s="44">
        <v>943</v>
      </c>
      <c r="AZ9" s="7" t="s">
        <v>451</v>
      </c>
      <c r="BA9" s="5">
        <v>2.964</v>
      </c>
      <c r="BC9" s="39">
        <v>5</v>
      </c>
      <c r="BL9" t="s">
        <v>60</v>
      </c>
      <c r="BM9" t="s">
        <v>453</v>
      </c>
      <c r="BO9" s="42">
        <v>980</v>
      </c>
      <c r="BQ9" t="s">
        <v>60</v>
      </c>
      <c r="BR9" t="s">
        <v>33</v>
      </c>
      <c r="BS9" t="s">
        <v>46</v>
      </c>
      <c r="BT9">
        <v>122</v>
      </c>
      <c r="CB9" s="29"/>
      <c r="CC9" s="29"/>
      <c r="CF9" s="7" t="s">
        <v>20</v>
      </c>
      <c r="CG9" s="42">
        <v>53</v>
      </c>
      <c r="CH9" s="42">
        <v>38</v>
      </c>
      <c r="CI9" s="42">
        <v>83</v>
      </c>
      <c r="CJ9" s="42">
        <v>174</v>
      </c>
      <c r="CK9" t="str">
        <f t="shared" si="14"/>
        <v>Paketleme</v>
      </c>
      <c r="CL9">
        <f t="shared" si="15"/>
        <v>53</v>
      </c>
      <c r="CM9">
        <f t="shared" si="16"/>
        <v>38</v>
      </c>
      <c r="CN9">
        <f t="shared" si="17"/>
        <v>83</v>
      </c>
      <c r="CQ9" s="7" t="s">
        <v>32</v>
      </c>
      <c r="CR9" s="42">
        <v>41</v>
      </c>
      <c r="CS9" s="42">
        <v>42</v>
      </c>
      <c r="CT9" s="42">
        <v>45</v>
      </c>
      <c r="CU9" s="42">
        <v>46</v>
      </c>
      <c r="CV9" s="42">
        <v>38</v>
      </c>
      <c r="CW9" s="42">
        <v>212</v>
      </c>
      <c r="CY9" s="7">
        <v>10</v>
      </c>
      <c r="CZ9" s="28">
        <v>7.2313485099237046E-2</v>
      </c>
      <c r="DA9" s="42">
        <v>0.05</v>
      </c>
      <c r="DB9" s="42">
        <v>106</v>
      </c>
      <c r="DC9">
        <f t="shared" si="10"/>
        <v>10</v>
      </c>
      <c r="DD9" s="28">
        <f t="shared" si="0"/>
        <v>7.2313485099237046E-2</v>
      </c>
      <c r="DE9">
        <f t="shared" si="1"/>
        <v>0.05</v>
      </c>
      <c r="DF9">
        <f t="shared" si="11"/>
        <v>106</v>
      </c>
      <c r="DH9" s="7" t="s">
        <v>32</v>
      </c>
      <c r="DI9" s="42">
        <v>43</v>
      </c>
      <c r="DJ9" s="42">
        <v>45</v>
      </c>
      <c r="DK9" s="42">
        <v>40</v>
      </c>
      <c r="DL9" s="42">
        <v>43</v>
      </c>
      <c r="DM9" s="42">
        <v>41</v>
      </c>
      <c r="DN9" s="42">
        <v>212</v>
      </c>
      <c r="DP9" s="7" t="s">
        <v>467</v>
      </c>
      <c r="DQ9" s="6">
        <v>35935.750000000007</v>
      </c>
      <c r="DR9" t="str">
        <f t="shared" si="12"/>
        <v>Haz</v>
      </c>
      <c r="DS9">
        <f t="shared" si="13"/>
        <v>35935.750000000007</v>
      </c>
    </row>
    <row r="10" spans="1:123" x14ac:dyDescent="0.25">
      <c r="K10" s="7" t="s">
        <v>167</v>
      </c>
      <c r="L10" s="5">
        <v>12.123333333333333</v>
      </c>
      <c r="R10" s="7" t="s">
        <v>52</v>
      </c>
      <c r="S10" s="42">
        <v>1075</v>
      </c>
      <c r="T10" s="42">
        <v>3.0772946859903381</v>
      </c>
      <c r="U10" s="42">
        <v>58295.89</v>
      </c>
      <c r="V10" s="42">
        <v>10.544734299516914</v>
      </c>
      <c r="W10" s="42">
        <v>44.391304347826086</v>
      </c>
      <c r="X10" s="42">
        <v>33760.239999999998</v>
      </c>
      <c r="AB10" t="str">
        <f t="shared" si="2"/>
        <v/>
      </c>
      <c r="AC10" t="str">
        <f t="shared" si="3"/>
        <v/>
      </c>
      <c r="AJ10" s="5" t="str">
        <f t="shared" si="6"/>
        <v/>
      </c>
      <c r="AK10" s="5" t="str">
        <f t="shared" si="7"/>
        <v/>
      </c>
      <c r="AN10" s="9" t="str">
        <f t="shared" si="8"/>
        <v/>
      </c>
      <c r="AO10" s="9" t="str">
        <f t="shared" si="9"/>
        <v/>
      </c>
      <c r="AP10" s="7" t="s">
        <v>451</v>
      </c>
      <c r="AQ10" s="42">
        <v>1000</v>
      </c>
      <c r="AS10" s="7" t="s">
        <v>66</v>
      </c>
      <c r="AV10" s="23" t="s">
        <v>451</v>
      </c>
      <c r="AW10" s="24">
        <v>83.888879999999943</v>
      </c>
      <c r="AX10" s="45">
        <v>4936</v>
      </c>
      <c r="BL10" t="s">
        <v>60</v>
      </c>
      <c r="BM10" t="s">
        <v>33</v>
      </c>
      <c r="BN10" t="s">
        <v>46</v>
      </c>
      <c r="BO10" s="42">
        <v>211</v>
      </c>
      <c r="BQ10" t="s">
        <v>60</v>
      </c>
      <c r="BR10" t="s">
        <v>33</v>
      </c>
      <c r="BS10" t="s">
        <v>34</v>
      </c>
      <c r="BT10">
        <v>2</v>
      </c>
      <c r="CB10" s="29"/>
      <c r="CC10" s="29"/>
      <c r="CF10" s="7" t="s">
        <v>65</v>
      </c>
      <c r="CG10" s="42">
        <v>39</v>
      </c>
      <c r="CH10" s="42">
        <v>42</v>
      </c>
      <c r="CI10" s="42">
        <v>74</v>
      </c>
      <c r="CJ10" s="42">
        <v>155</v>
      </c>
      <c r="CK10" t="str">
        <f t="shared" si="14"/>
        <v>Pres</v>
      </c>
      <c r="CL10">
        <f t="shared" si="15"/>
        <v>39</v>
      </c>
      <c r="CM10">
        <f t="shared" si="16"/>
        <v>42</v>
      </c>
      <c r="CN10">
        <f t="shared" si="17"/>
        <v>74</v>
      </c>
      <c r="CQ10" s="7" t="s">
        <v>451</v>
      </c>
      <c r="CR10" s="42">
        <v>235</v>
      </c>
      <c r="CS10" s="42">
        <v>208</v>
      </c>
      <c r="CT10" s="42">
        <v>197</v>
      </c>
      <c r="CU10" s="42">
        <v>194</v>
      </c>
      <c r="CV10" s="42">
        <v>166</v>
      </c>
      <c r="CW10" s="42">
        <v>1000</v>
      </c>
      <c r="CY10" s="7">
        <v>12</v>
      </c>
      <c r="CZ10" s="28">
        <v>6.9217409621967027E-2</v>
      </c>
      <c r="DA10" s="42">
        <v>0.05</v>
      </c>
      <c r="DB10" s="42">
        <v>118</v>
      </c>
      <c r="DC10">
        <f t="shared" si="10"/>
        <v>12</v>
      </c>
      <c r="DD10" s="28">
        <f t="shared" si="0"/>
        <v>6.9217409621967027E-2</v>
      </c>
      <c r="DE10">
        <f t="shared" si="1"/>
        <v>0.05</v>
      </c>
      <c r="DF10">
        <f t="shared" si="11"/>
        <v>118</v>
      </c>
      <c r="DH10" s="7" t="s">
        <v>451</v>
      </c>
      <c r="DI10" s="42">
        <v>183</v>
      </c>
      <c r="DJ10" s="42">
        <v>218</v>
      </c>
      <c r="DK10" s="42">
        <v>195</v>
      </c>
      <c r="DL10" s="42">
        <v>205</v>
      </c>
      <c r="DM10" s="42">
        <v>199</v>
      </c>
      <c r="DN10" s="42">
        <v>1000</v>
      </c>
      <c r="DP10" s="7" t="s">
        <v>468</v>
      </c>
      <c r="DQ10" s="6">
        <v>61218.609999999979</v>
      </c>
      <c r="DR10" t="str">
        <f t="shared" si="12"/>
        <v>Tem</v>
      </c>
      <c r="DS10">
        <f t="shared" si="13"/>
        <v>61218.609999999979</v>
      </c>
    </row>
    <row r="11" spans="1:123" x14ac:dyDescent="0.25">
      <c r="A11" t="s">
        <v>99</v>
      </c>
      <c r="F11" t="s">
        <v>100</v>
      </c>
      <c r="K11" s="7" t="s">
        <v>168</v>
      </c>
      <c r="L11" s="5">
        <v>3.0049999999999999</v>
      </c>
      <c r="R11" s="8" t="s">
        <v>25</v>
      </c>
      <c r="S11" s="42">
        <v>313</v>
      </c>
      <c r="T11" s="42">
        <v>2.6779661016949152</v>
      </c>
      <c r="U11" s="42">
        <v>16321.790000000003</v>
      </c>
      <c r="V11" s="42">
        <v>10.412542372881358</v>
      </c>
      <c r="W11" s="42">
        <v>42.711864406779661</v>
      </c>
      <c r="X11" s="42">
        <v>7910.5199999999995</v>
      </c>
      <c r="AS11" s="7" t="s">
        <v>76</v>
      </c>
      <c r="BL11" t="s">
        <v>60</v>
      </c>
      <c r="BM11" t="s">
        <v>33</v>
      </c>
      <c r="BN11" t="s">
        <v>27</v>
      </c>
      <c r="BO11" s="42">
        <v>161</v>
      </c>
      <c r="BQ11" t="s">
        <v>60</v>
      </c>
      <c r="BR11" t="s">
        <v>33</v>
      </c>
      <c r="BS11" t="s">
        <v>42</v>
      </c>
      <c r="BT11">
        <v>41</v>
      </c>
      <c r="CB11" s="29"/>
      <c r="CC11" s="29"/>
      <c r="CF11" s="7" t="s">
        <v>451</v>
      </c>
      <c r="CG11" s="42">
        <v>273</v>
      </c>
      <c r="CH11" s="42">
        <v>266</v>
      </c>
      <c r="CI11" s="42">
        <v>461</v>
      </c>
      <c r="CJ11" s="42">
        <v>1000</v>
      </c>
      <c r="CK11" t="str">
        <f t="shared" si="14"/>
        <v>Genel Toplam</v>
      </c>
      <c r="CL11">
        <f t="shared" si="15"/>
        <v>273</v>
      </c>
      <c r="CM11">
        <f t="shared" si="16"/>
        <v>266</v>
      </c>
      <c r="CN11">
        <f t="shared" si="17"/>
        <v>461</v>
      </c>
      <c r="CY11" s="7">
        <v>14</v>
      </c>
      <c r="CZ11" s="28">
        <v>5.8065816170316614E-2</v>
      </c>
      <c r="DA11" s="42">
        <v>0.05</v>
      </c>
      <c r="DB11" s="42">
        <v>90</v>
      </c>
      <c r="DC11">
        <f t="shared" si="10"/>
        <v>14</v>
      </c>
      <c r="DD11" s="28">
        <f t="shared" si="0"/>
        <v>5.8065816170316614E-2</v>
      </c>
      <c r="DE11">
        <f t="shared" si="1"/>
        <v>0.05</v>
      </c>
      <c r="DF11">
        <f t="shared" si="11"/>
        <v>90</v>
      </c>
      <c r="DP11" s="7" t="s">
        <v>469</v>
      </c>
      <c r="DQ11" s="6">
        <v>43653.489999999991</v>
      </c>
      <c r="DR11" t="str">
        <f t="shared" si="12"/>
        <v>Ağu</v>
      </c>
      <c r="DS11">
        <f t="shared" si="13"/>
        <v>43653.489999999991</v>
      </c>
    </row>
    <row r="12" spans="1:123" x14ac:dyDescent="0.25">
      <c r="A12" s="5">
        <v>83.888879999999887</v>
      </c>
      <c r="F12" s="6">
        <v>210590.76999999987</v>
      </c>
      <c r="K12" s="7" t="s">
        <v>169</v>
      </c>
      <c r="L12" s="5">
        <v>2.8624999999999998</v>
      </c>
      <c r="R12" s="8" t="s">
        <v>61</v>
      </c>
      <c r="S12" s="42">
        <v>219</v>
      </c>
      <c r="T12" s="42">
        <v>3.2978723404255321</v>
      </c>
      <c r="U12" s="42">
        <v>13879.520000000002</v>
      </c>
      <c r="V12" s="42">
        <v>10.480425531914896</v>
      </c>
      <c r="W12" s="42">
        <v>45.808510638297875</v>
      </c>
      <c r="X12" s="42">
        <v>7821.1599999999989</v>
      </c>
      <c r="AS12" s="7" t="s">
        <v>21</v>
      </c>
      <c r="BL12" t="s">
        <v>60</v>
      </c>
      <c r="BM12" t="s">
        <v>33</v>
      </c>
      <c r="BN12" t="s">
        <v>34</v>
      </c>
      <c r="BO12" s="42">
        <v>169</v>
      </c>
      <c r="BQ12" t="s">
        <v>60</v>
      </c>
      <c r="BR12" t="s">
        <v>33</v>
      </c>
      <c r="BS12" t="s">
        <v>57</v>
      </c>
      <c r="BT12">
        <v>67</v>
      </c>
      <c r="CY12" s="7">
        <v>16</v>
      </c>
      <c r="CZ12" s="28">
        <v>4.2690856703023423E-2</v>
      </c>
      <c r="DA12" s="42">
        <v>0.05</v>
      </c>
      <c r="DB12" s="42">
        <v>89</v>
      </c>
      <c r="DC12">
        <f t="shared" si="10"/>
        <v>16</v>
      </c>
      <c r="DD12" s="28">
        <f t="shared" si="0"/>
        <v>4.2690856703023423E-2</v>
      </c>
      <c r="DE12">
        <f t="shared" si="1"/>
        <v>0.05</v>
      </c>
      <c r="DF12">
        <f t="shared" si="11"/>
        <v>89</v>
      </c>
      <c r="DP12" s="7" t="s">
        <v>470</v>
      </c>
      <c r="DQ12" s="6">
        <v>49548.470000000008</v>
      </c>
      <c r="DR12" t="str">
        <f t="shared" si="12"/>
        <v>Eyl</v>
      </c>
      <c r="DS12">
        <f t="shared" si="13"/>
        <v>49548.470000000008</v>
      </c>
    </row>
    <row r="13" spans="1:123" ht="16.5" x14ac:dyDescent="0.3">
      <c r="K13" s="7" t="s">
        <v>170</v>
      </c>
      <c r="L13" s="5">
        <v>10.25</v>
      </c>
      <c r="R13" s="8" t="s">
        <v>48</v>
      </c>
      <c r="S13" s="42">
        <v>226</v>
      </c>
      <c r="T13" s="42">
        <v>3.3076923076923075</v>
      </c>
      <c r="U13" s="42">
        <v>11595.880000000006</v>
      </c>
      <c r="V13" s="42">
        <v>10.227948717948717</v>
      </c>
      <c r="W13" s="42">
        <v>43.128205128205131</v>
      </c>
      <c r="X13" s="42">
        <v>7187.0600000000013</v>
      </c>
      <c r="AS13" s="7" t="s">
        <v>36</v>
      </c>
      <c r="AW13" s="35"/>
      <c r="BL13" t="s">
        <v>60</v>
      </c>
      <c r="BM13" t="s">
        <v>33</v>
      </c>
      <c r="BN13" t="s">
        <v>42</v>
      </c>
      <c r="BO13" s="42">
        <v>128</v>
      </c>
      <c r="CY13" s="7">
        <v>18</v>
      </c>
      <c r="CZ13" s="28">
        <v>2.7507957723653952E-2</v>
      </c>
      <c r="DA13" s="42">
        <v>0.05</v>
      </c>
      <c r="DB13" s="42">
        <v>105</v>
      </c>
      <c r="DC13">
        <f t="shared" si="10"/>
        <v>18</v>
      </c>
      <c r="DD13" s="28">
        <f t="shared" si="0"/>
        <v>2.7507957723653952E-2</v>
      </c>
      <c r="DE13">
        <f t="shared" si="1"/>
        <v>0.05</v>
      </c>
      <c r="DF13">
        <f t="shared" si="11"/>
        <v>105</v>
      </c>
      <c r="DP13" s="7" t="s">
        <v>471</v>
      </c>
      <c r="DQ13" s="6">
        <v>52794.350000000006</v>
      </c>
      <c r="DR13" t="str">
        <f t="shared" si="12"/>
        <v>Eki</v>
      </c>
      <c r="DS13">
        <f t="shared" si="13"/>
        <v>52794.350000000006</v>
      </c>
    </row>
    <row r="14" spans="1:123" ht="16.5" x14ac:dyDescent="0.3">
      <c r="K14" s="7" t="s">
        <v>171</v>
      </c>
      <c r="L14" s="5">
        <v>3.9225000000000003</v>
      </c>
      <c r="R14" s="8" t="s">
        <v>33</v>
      </c>
      <c r="S14" s="42">
        <v>162</v>
      </c>
      <c r="T14" s="42">
        <v>2.9655172413793105</v>
      </c>
      <c r="U14" s="42">
        <v>8458.3200000000015</v>
      </c>
      <c r="V14" s="42">
        <v>12.016551724137933</v>
      </c>
      <c r="W14" s="42">
        <v>46.344827586206897</v>
      </c>
      <c r="X14" s="42">
        <v>5904.7300000000005</v>
      </c>
      <c r="AS14" s="7" t="s">
        <v>47</v>
      </c>
      <c r="AW14" s="35"/>
      <c r="BL14" t="s">
        <v>60</v>
      </c>
      <c r="BM14" t="s">
        <v>33</v>
      </c>
      <c r="BN14" t="s">
        <v>57</v>
      </c>
      <c r="BO14" s="42">
        <v>251</v>
      </c>
      <c r="BQ14" t="s">
        <v>60</v>
      </c>
      <c r="BR14" t="s">
        <v>25</v>
      </c>
      <c r="BS14" t="s">
        <v>27</v>
      </c>
      <c r="BT14">
        <v>71</v>
      </c>
      <c r="CY14" s="7">
        <v>20</v>
      </c>
      <c r="CZ14" s="28">
        <v>1.5534274282897638E-2</v>
      </c>
      <c r="DA14" s="42">
        <v>0.05</v>
      </c>
      <c r="DB14" s="42">
        <v>109</v>
      </c>
      <c r="DC14">
        <f t="shared" si="10"/>
        <v>20</v>
      </c>
      <c r="DD14" s="28">
        <f t="shared" si="0"/>
        <v>1.5534274282897638E-2</v>
      </c>
      <c r="DE14">
        <f t="shared" si="1"/>
        <v>0.05</v>
      </c>
      <c r="DF14">
        <f t="shared" si="11"/>
        <v>109</v>
      </c>
      <c r="DP14" s="7" t="s">
        <v>451</v>
      </c>
      <c r="DQ14" s="6">
        <v>479811.5</v>
      </c>
    </row>
    <row r="15" spans="1:123" ht="16.5" x14ac:dyDescent="0.3">
      <c r="A15" t="s">
        <v>100</v>
      </c>
      <c r="B15" t="s">
        <v>100</v>
      </c>
      <c r="F15" t="s">
        <v>96</v>
      </c>
      <c r="K15" s="7" t="s">
        <v>172</v>
      </c>
      <c r="L15" s="5">
        <v>5.08</v>
      </c>
      <c r="R15" s="8" t="s">
        <v>40</v>
      </c>
      <c r="S15" s="42">
        <v>155</v>
      </c>
      <c r="T15" s="42">
        <v>3.3030303030303032</v>
      </c>
      <c r="U15" s="42">
        <v>8040.3799999999974</v>
      </c>
      <c r="V15" s="42">
        <v>9.9536363636363649</v>
      </c>
      <c r="W15" s="42">
        <v>45.151515151515149</v>
      </c>
      <c r="X15" s="42">
        <v>4936.7700000000004</v>
      </c>
      <c r="AS15" s="7" t="s">
        <v>53</v>
      </c>
      <c r="AW15" s="35"/>
      <c r="BL15" t="s">
        <v>60</v>
      </c>
      <c r="BM15" t="s">
        <v>454</v>
      </c>
      <c r="BO15" s="42">
        <v>920</v>
      </c>
      <c r="BQ15" t="s">
        <v>60</v>
      </c>
      <c r="BR15" t="s">
        <v>25</v>
      </c>
      <c r="BS15" t="s">
        <v>34</v>
      </c>
      <c r="BT15">
        <v>92</v>
      </c>
      <c r="CY15" s="7" t="s">
        <v>463</v>
      </c>
      <c r="CZ15" s="28"/>
      <c r="DA15" s="42"/>
      <c r="DB15" s="42"/>
      <c r="DC15" t="str">
        <f t="shared" si="10"/>
        <v>(boş)</v>
      </c>
      <c r="DD15" s="28">
        <f t="shared" si="0"/>
        <v>0</v>
      </c>
      <c r="DE15">
        <f>IFERROR(VLOOKUP(DC15,$CY$3:$DA$16,3,FALSE),"")</f>
        <v>0</v>
      </c>
      <c r="DF15">
        <f t="shared" si="11"/>
        <v>0</v>
      </c>
    </row>
    <row r="16" spans="1:123" ht="16.5" x14ac:dyDescent="0.3">
      <c r="A16" s="18">
        <v>210590.76999999987</v>
      </c>
      <c r="B16" s="18">
        <v>210590.76999999987</v>
      </c>
      <c r="F16" s="5">
        <v>6.5735599999999978</v>
      </c>
      <c r="K16" s="7" t="s">
        <v>173</v>
      </c>
      <c r="L16" s="5">
        <v>4.91</v>
      </c>
      <c r="R16" s="7" t="s">
        <v>24</v>
      </c>
      <c r="S16" s="42">
        <v>879</v>
      </c>
      <c r="T16" s="42">
        <v>2.8688524590163933</v>
      </c>
      <c r="U16" s="42">
        <v>49215.360000000001</v>
      </c>
      <c r="V16" s="42">
        <v>10.554043715847003</v>
      </c>
      <c r="W16" s="42">
        <v>46.617486338797811</v>
      </c>
      <c r="X16" s="42">
        <v>27286.44</v>
      </c>
      <c r="AS16" s="7" t="s">
        <v>29</v>
      </c>
      <c r="AW16" s="35"/>
      <c r="BL16" t="s">
        <v>60</v>
      </c>
      <c r="BM16" t="s">
        <v>25</v>
      </c>
      <c r="BN16" t="s">
        <v>46</v>
      </c>
      <c r="BO16" s="42">
        <v>171</v>
      </c>
      <c r="BQ16" t="s">
        <v>60</v>
      </c>
      <c r="BR16" t="s">
        <v>25</v>
      </c>
      <c r="BS16" t="s">
        <v>42</v>
      </c>
      <c r="BT16">
        <v>195</v>
      </c>
      <c r="CY16" s="7" t="s">
        <v>451</v>
      </c>
      <c r="CZ16" s="28">
        <v>0.47751308659790409</v>
      </c>
      <c r="DA16" s="42">
        <v>0.54999999999999993</v>
      </c>
      <c r="DB16" s="42">
        <v>1000</v>
      </c>
      <c r="DC16" t="str">
        <f t="shared" si="10"/>
        <v>Genel Toplam</v>
      </c>
      <c r="DD16" s="28">
        <f t="shared" si="0"/>
        <v>0.47751308659790409</v>
      </c>
      <c r="DE16">
        <f>IFERROR(VLOOKUP(DC16,$CY$3:$DA$16,3,FALSE),"")</f>
        <v>0.54999999999999993</v>
      </c>
      <c r="DF16">
        <f t="shared" si="11"/>
        <v>1000</v>
      </c>
    </row>
    <row r="17" spans="1:72" ht="16.5" x14ac:dyDescent="0.3">
      <c r="K17" s="7" t="s">
        <v>174</v>
      </c>
      <c r="L17" s="5">
        <v>5.0199999999999996</v>
      </c>
      <c r="R17" s="8" t="s">
        <v>40</v>
      </c>
      <c r="S17" s="42">
        <v>191</v>
      </c>
      <c r="T17" s="42">
        <v>3</v>
      </c>
      <c r="U17" s="42">
        <v>9793.5499999999975</v>
      </c>
      <c r="V17" s="42">
        <v>11.577368421052631</v>
      </c>
      <c r="W17" s="42">
        <v>50.289473684210527</v>
      </c>
      <c r="X17" s="42">
        <v>6950</v>
      </c>
      <c r="AS17" s="7" t="s">
        <v>79</v>
      </c>
      <c r="AW17" s="35"/>
      <c r="BL17" t="s">
        <v>60</v>
      </c>
      <c r="BM17" t="s">
        <v>25</v>
      </c>
      <c r="BN17" t="s">
        <v>27</v>
      </c>
      <c r="BO17" s="42">
        <v>301</v>
      </c>
      <c r="BQ17" t="s">
        <v>60</v>
      </c>
      <c r="BR17" t="s">
        <v>25</v>
      </c>
      <c r="BS17" t="s">
        <v>57</v>
      </c>
      <c r="BT17">
        <v>7</v>
      </c>
    </row>
    <row r="18" spans="1:72" ht="16.5" x14ac:dyDescent="0.3">
      <c r="K18" s="7" t="s">
        <v>175</v>
      </c>
      <c r="L18" s="5">
        <v>10.004999999999999</v>
      </c>
      <c r="R18" s="8" t="s">
        <v>61</v>
      </c>
      <c r="S18" s="42">
        <v>191</v>
      </c>
      <c r="T18" s="42">
        <v>3.0227272727272729</v>
      </c>
      <c r="U18" s="42">
        <v>11081.35</v>
      </c>
      <c r="V18" s="42">
        <v>9.4697727272727263</v>
      </c>
      <c r="W18" s="42">
        <v>40.522727272727273</v>
      </c>
      <c r="X18" s="42">
        <v>6193.08</v>
      </c>
      <c r="AS18" s="7" t="s">
        <v>91</v>
      </c>
      <c r="AW18" s="35"/>
      <c r="BL18" t="s">
        <v>60</v>
      </c>
      <c r="BM18" t="s">
        <v>25</v>
      </c>
      <c r="BN18" t="s">
        <v>34</v>
      </c>
      <c r="BO18" s="42">
        <v>319</v>
      </c>
    </row>
    <row r="19" spans="1:72" x14ac:dyDescent="0.25">
      <c r="A19" t="s">
        <v>116</v>
      </c>
      <c r="B19" t="s">
        <v>117</v>
      </c>
      <c r="K19" s="7" t="s">
        <v>176</v>
      </c>
      <c r="L19" s="5">
        <v>9.3674999999999997</v>
      </c>
      <c r="R19" s="8" t="s">
        <v>25</v>
      </c>
      <c r="S19" s="42">
        <v>201</v>
      </c>
      <c r="T19" s="42">
        <v>2.8095238095238093</v>
      </c>
      <c r="U19" s="42">
        <v>11447.390000000001</v>
      </c>
      <c r="V19" s="42">
        <v>10.816904761904759</v>
      </c>
      <c r="W19" s="42">
        <v>45.523809523809526</v>
      </c>
      <c r="X19" s="42">
        <v>5948.4200000000019</v>
      </c>
      <c r="AS19" s="7" t="s">
        <v>83</v>
      </c>
      <c r="AW19" s="36"/>
      <c r="BL19" t="s">
        <v>60</v>
      </c>
      <c r="BM19" t="s">
        <v>25</v>
      </c>
      <c r="BN19" t="s">
        <v>42</v>
      </c>
      <c r="BO19" s="42">
        <v>300</v>
      </c>
      <c r="BQ19" t="s">
        <v>60</v>
      </c>
      <c r="BR19" t="s">
        <v>40</v>
      </c>
      <c r="BS19" t="s">
        <v>46</v>
      </c>
      <c r="BT19">
        <v>41</v>
      </c>
    </row>
    <row r="20" spans="1:72" x14ac:dyDescent="0.25">
      <c r="A20" s="6">
        <f>A8</f>
        <v>269220.73</v>
      </c>
      <c r="B20" s="18">
        <f>A16</f>
        <v>210590.76999999987</v>
      </c>
      <c r="K20" s="7" t="s">
        <v>177</v>
      </c>
      <c r="L20" s="5">
        <v>7.07</v>
      </c>
      <c r="R20" s="8" t="s">
        <v>48</v>
      </c>
      <c r="S20" s="42">
        <v>165</v>
      </c>
      <c r="T20" s="42">
        <v>2.8</v>
      </c>
      <c r="U20" s="42">
        <v>10454.880000000001</v>
      </c>
      <c r="V20" s="42">
        <v>10.989428571428569</v>
      </c>
      <c r="W20" s="42">
        <v>48.542857142857144</v>
      </c>
      <c r="X20" s="42">
        <v>4620.5300000000007</v>
      </c>
      <c r="AS20" s="7" t="s">
        <v>43</v>
      </c>
      <c r="BL20" t="s">
        <v>60</v>
      </c>
      <c r="BM20" t="s">
        <v>25</v>
      </c>
      <c r="BN20" t="s">
        <v>57</v>
      </c>
      <c r="BO20" s="42">
        <v>206</v>
      </c>
      <c r="BQ20" t="s">
        <v>60</v>
      </c>
      <c r="BR20" t="s">
        <v>40</v>
      </c>
      <c r="BS20" t="s">
        <v>27</v>
      </c>
      <c r="BT20">
        <v>44</v>
      </c>
    </row>
    <row r="21" spans="1:72" x14ac:dyDescent="0.25">
      <c r="K21" s="7" t="s">
        <v>178</v>
      </c>
      <c r="L21" s="5">
        <v>5.1150000000000002</v>
      </c>
      <c r="R21" s="8" t="s">
        <v>33</v>
      </c>
      <c r="S21" s="42">
        <v>131</v>
      </c>
      <c r="T21" s="42">
        <v>2.5833333333333335</v>
      </c>
      <c r="U21" s="42">
        <v>6438.1899999999987</v>
      </c>
      <c r="V21" s="42">
        <v>9.8266666666666662</v>
      </c>
      <c r="W21" s="42">
        <v>51.083333333333336</v>
      </c>
      <c r="X21" s="42">
        <v>3574.41</v>
      </c>
      <c r="AS21" s="7" t="s">
        <v>58</v>
      </c>
      <c r="BL21" t="s">
        <v>60</v>
      </c>
      <c r="BM21" t="s">
        <v>455</v>
      </c>
      <c r="BO21" s="42">
        <v>1297</v>
      </c>
      <c r="BQ21" t="s">
        <v>60</v>
      </c>
      <c r="BR21" t="s">
        <v>40</v>
      </c>
      <c r="BS21" t="s">
        <v>34</v>
      </c>
      <c r="BT21">
        <v>16</v>
      </c>
    </row>
    <row r="22" spans="1:72" x14ac:dyDescent="0.25">
      <c r="K22" s="7" t="s">
        <v>179</v>
      </c>
      <c r="L22" s="5">
        <v>5.0439999999999996</v>
      </c>
      <c r="R22" s="7" t="s">
        <v>39</v>
      </c>
      <c r="S22" s="42">
        <v>918</v>
      </c>
      <c r="T22" s="42">
        <v>2.8622448979591835</v>
      </c>
      <c r="U22" s="42">
        <v>53007.400000000016</v>
      </c>
      <c r="V22" s="42">
        <v>9.859183673469385</v>
      </c>
      <c r="W22" s="42">
        <v>45.948979591836732</v>
      </c>
      <c r="X22" s="42">
        <v>26261.210000000003</v>
      </c>
      <c r="AS22" s="7" t="s">
        <v>85</v>
      </c>
      <c r="BL22" t="s">
        <v>60</v>
      </c>
      <c r="BM22" t="s">
        <v>40</v>
      </c>
      <c r="BN22" t="s">
        <v>46</v>
      </c>
      <c r="BO22" s="42">
        <v>269</v>
      </c>
      <c r="BQ22" t="s">
        <v>60</v>
      </c>
      <c r="BR22" t="s">
        <v>40</v>
      </c>
      <c r="BS22" t="s">
        <v>57</v>
      </c>
      <c r="BT22">
        <v>14</v>
      </c>
    </row>
    <row r="23" spans="1:72" x14ac:dyDescent="0.25">
      <c r="K23" s="7" t="s">
        <v>180</v>
      </c>
      <c r="L23" s="5">
        <v>8.4300000000000015</v>
      </c>
      <c r="R23" s="8" t="s">
        <v>40</v>
      </c>
      <c r="S23" s="42">
        <v>194</v>
      </c>
      <c r="T23" s="42">
        <v>3</v>
      </c>
      <c r="U23" s="42">
        <v>11799.07</v>
      </c>
      <c r="V23" s="42">
        <v>12.2693023255814</v>
      </c>
      <c r="W23" s="42">
        <v>56.953488372093027</v>
      </c>
      <c r="X23" s="42">
        <v>7562.1099999999988</v>
      </c>
      <c r="AS23" s="7" t="s">
        <v>71</v>
      </c>
      <c r="BL23" t="s">
        <v>60</v>
      </c>
      <c r="BM23" t="s">
        <v>40</v>
      </c>
      <c r="BN23" t="s">
        <v>27</v>
      </c>
      <c r="BO23" s="42">
        <v>120</v>
      </c>
    </row>
    <row r="24" spans="1:72" x14ac:dyDescent="0.25">
      <c r="K24" s="7" t="s">
        <v>181</v>
      </c>
      <c r="L24" s="5">
        <v>6.7766666666666673</v>
      </c>
      <c r="R24" s="8" t="s">
        <v>25</v>
      </c>
      <c r="S24" s="42">
        <v>224</v>
      </c>
      <c r="T24" s="42">
        <v>2.7111111111111112</v>
      </c>
      <c r="U24" s="42">
        <v>13301.229999999996</v>
      </c>
      <c r="V24" s="42">
        <v>8.2828888888888876</v>
      </c>
      <c r="W24" s="42">
        <v>43.06666666666667</v>
      </c>
      <c r="X24" s="42">
        <v>5292.8099999999986</v>
      </c>
      <c r="BL24" t="s">
        <v>60</v>
      </c>
      <c r="BM24" t="s">
        <v>40</v>
      </c>
      <c r="BN24" t="s">
        <v>34</v>
      </c>
      <c r="BO24" s="42">
        <v>218</v>
      </c>
      <c r="BQ24" t="s">
        <v>60</v>
      </c>
      <c r="BR24" t="s">
        <v>48</v>
      </c>
      <c r="BS24" t="s">
        <v>46</v>
      </c>
      <c r="BT24">
        <v>30</v>
      </c>
    </row>
    <row r="25" spans="1:72" x14ac:dyDescent="0.25">
      <c r="K25" s="7" t="s">
        <v>182</v>
      </c>
      <c r="L25" s="5">
        <v>9.02</v>
      </c>
      <c r="R25" s="8" t="s">
        <v>61</v>
      </c>
      <c r="S25" s="42">
        <v>168</v>
      </c>
      <c r="T25" s="42">
        <v>2.9444444444444446</v>
      </c>
      <c r="U25" s="42">
        <v>10228.860000000002</v>
      </c>
      <c r="V25" s="42">
        <v>9.9013888888888886</v>
      </c>
      <c r="W25" s="42">
        <v>44.277777777777779</v>
      </c>
      <c r="X25" s="42">
        <v>4943.88</v>
      </c>
      <c r="BL25" t="s">
        <v>60</v>
      </c>
      <c r="BM25" t="s">
        <v>40</v>
      </c>
      <c r="BN25" t="s">
        <v>42</v>
      </c>
      <c r="BO25" s="42">
        <v>151</v>
      </c>
      <c r="BQ25" t="s">
        <v>60</v>
      </c>
      <c r="BR25" t="s">
        <v>48</v>
      </c>
      <c r="BS25" t="s">
        <v>27</v>
      </c>
      <c r="BT25">
        <v>19</v>
      </c>
    </row>
    <row r="26" spans="1:72" x14ac:dyDescent="0.25">
      <c r="K26" s="7" t="s">
        <v>183</v>
      </c>
      <c r="L26" s="5">
        <v>0.8</v>
      </c>
      <c r="R26" s="8" t="s">
        <v>33</v>
      </c>
      <c r="S26" s="42">
        <v>168</v>
      </c>
      <c r="T26" s="42">
        <v>3.1388888888888888</v>
      </c>
      <c r="U26" s="42">
        <v>8306.4499999999989</v>
      </c>
      <c r="V26" s="42">
        <v>9.8922222222222231</v>
      </c>
      <c r="W26" s="42">
        <v>36.861111111111114</v>
      </c>
      <c r="X26" s="42">
        <v>4668.4199999999992</v>
      </c>
      <c r="BL26" t="s">
        <v>60</v>
      </c>
      <c r="BM26" t="s">
        <v>40</v>
      </c>
      <c r="BN26" t="s">
        <v>57</v>
      </c>
      <c r="BO26" s="42">
        <v>104</v>
      </c>
      <c r="BQ26" t="s">
        <v>60</v>
      </c>
      <c r="BR26" t="s">
        <v>48</v>
      </c>
      <c r="BS26" t="s">
        <v>34</v>
      </c>
      <c r="BT26">
        <v>44</v>
      </c>
    </row>
    <row r="27" spans="1:72" x14ac:dyDescent="0.25">
      <c r="K27" s="7" t="s">
        <v>184</v>
      </c>
      <c r="L27" s="5">
        <v>4.5350000000000001</v>
      </c>
      <c r="R27" s="8" t="s">
        <v>48</v>
      </c>
      <c r="S27" s="42">
        <v>164</v>
      </c>
      <c r="T27" s="42">
        <v>2.5277777777777777</v>
      </c>
      <c r="U27" s="42">
        <v>9371.7900000000009</v>
      </c>
      <c r="V27" s="42">
        <v>8.8755555555555574</v>
      </c>
      <c r="W27" s="42">
        <v>47.166666666666664</v>
      </c>
      <c r="X27" s="42">
        <v>3793.99</v>
      </c>
      <c r="BL27" t="s">
        <v>60</v>
      </c>
      <c r="BM27" t="s">
        <v>456</v>
      </c>
      <c r="BO27" s="42">
        <v>862</v>
      </c>
      <c r="BQ27" t="s">
        <v>60</v>
      </c>
      <c r="BR27" t="s">
        <v>48</v>
      </c>
      <c r="BS27" t="s">
        <v>42</v>
      </c>
      <c r="BT27">
        <v>42</v>
      </c>
    </row>
    <row r="28" spans="1:72" x14ac:dyDescent="0.25">
      <c r="K28" s="7" t="s">
        <v>185</v>
      </c>
      <c r="L28" s="5">
        <v>10.975000000000001</v>
      </c>
      <c r="R28" s="7" t="s">
        <v>32</v>
      </c>
      <c r="S28" s="42">
        <v>1060</v>
      </c>
      <c r="T28" s="42">
        <v>2.9952830188679247</v>
      </c>
      <c r="U28" s="42">
        <v>55950.319999999942</v>
      </c>
      <c r="V28" s="42">
        <v>10.625188679245289</v>
      </c>
      <c r="W28" s="42">
        <v>50.773584905660378</v>
      </c>
      <c r="X28" s="42">
        <v>36335.510000000009</v>
      </c>
      <c r="BL28" t="s">
        <v>60</v>
      </c>
      <c r="BM28" t="s">
        <v>48</v>
      </c>
      <c r="BN28" t="s">
        <v>46</v>
      </c>
      <c r="BO28" s="42">
        <v>175</v>
      </c>
      <c r="BQ28" t="s">
        <v>60</v>
      </c>
      <c r="BR28" t="s">
        <v>48</v>
      </c>
      <c r="BS28" t="s">
        <v>57</v>
      </c>
      <c r="BT28">
        <v>41</v>
      </c>
    </row>
    <row r="29" spans="1:72" x14ac:dyDescent="0.25">
      <c r="K29" s="7" t="s">
        <v>186</v>
      </c>
      <c r="L29" s="5">
        <v>8.6366666666666667</v>
      </c>
      <c r="R29" s="8" t="s">
        <v>40</v>
      </c>
      <c r="S29" s="42">
        <v>229</v>
      </c>
      <c r="T29" s="42">
        <v>3.2444444444444445</v>
      </c>
      <c r="U29" s="42">
        <v>13498.619999999999</v>
      </c>
      <c r="V29" s="42">
        <v>10.150444444444441</v>
      </c>
      <c r="W29" s="42">
        <v>52.37777777777778</v>
      </c>
      <c r="X29" s="42">
        <v>8359.3000000000011</v>
      </c>
      <c r="BL29" t="s">
        <v>60</v>
      </c>
      <c r="BM29" t="s">
        <v>48</v>
      </c>
      <c r="BN29" t="s">
        <v>27</v>
      </c>
      <c r="BO29" s="42">
        <v>165</v>
      </c>
    </row>
    <row r="30" spans="1:72" x14ac:dyDescent="0.25">
      <c r="K30" s="7" t="s">
        <v>187</v>
      </c>
      <c r="L30" s="5">
        <v>3.5500000000000003</v>
      </c>
      <c r="R30" s="8" t="s">
        <v>48</v>
      </c>
      <c r="S30" s="42">
        <v>253</v>
      </c>
      <c r="T30" s="42">
        <v>2.8260869565217392</v>
      </c>
      <c r="U30" s="42">
        <v>11015.949999999999</v>
      </c>
      <c r="V30" s="42">
        <v>10.444565217391302</v>
      </c>
      <c r="W30" s="42">
        <v>46.739130434782609</v>
      </c>
      <c r="X30" s="42">
        <v>8336.7000000000007</v>
      </c>
      <c r="BL30" t="s">
        <v>60</v>
      </c>
      <c r="BM30" t="s">
        <v>48</v>
      </c>
      <c r="BN30" t="s">
        <v>34</v>
      </c>
      <c r="BO30" s="42">
        <v>263</v>
      </c>
    </row>
    <row r="31" spans="1:72" x14ac:dyDescent="0.25">
      <c r="K31" s="7" t="s">
        <v>188</v>
      </c>
      <c r="L31" s="5">
        <v>10.06</v>
      </c>
      <c r="R31" s="8" t="s">
        <v>25</v>
      </c>
      <c r="S31" s="42">
        <v>207</v>
      </c>
      <c r="T31" s="42">
        <v>3.024390243902439</v>
      </c>
      <c r="U31" s="42">
        <v>10196.690000000002</v>
      </c>
      <c r="V31" s="42">
        <v>10.39268292682927</v>
      </c>
      <c r="W31" s="42">
        <v>55.170731707317074</v>
      </c>
      <c r="X31" s="42">
        <v>7156.97</v>
      </c>
      <c r="BL31" t="s">
        <v>60</v>
      </c>
      <c r="BM31" t="s">
        <v>48</v>
      </c>
      <c r="BN31" t="s">
        <v>42</v>
      </c>
      <c r="BO31" s="42">
        <v>168</v>
      </c>
      <c r="BQ31" t="s">
        <v>52</v>
      </c>
      <c r="BR31" t="s">
        <v>61</v>
      </c>
      <c r="BS31" t="s">
        <v>27</v>
      </c>
      <c r="BT31">
        <v>50</v>
      </c>
    </row>
    <row r="32" spans="1:72" x14ac:dyDescent="0.25">
      <c r="K32" s="7" t="s">
        <v>189</v>
      </c>
      <c r="L32" s="5">
        <v>4.37</v>
      </c>
      <c r="R32" s="8" t="s">
        <v>61</v>
      </c>
      <c r="S32" s="42">
        <v>187</v>
      </c>
      <c r="T32" s="42">
        <v>2.9761904761904763</v>
      </c>
      <c r="U32" s="42">
        <v>10527.55</v>
      </c>
      <c r="V32" s="42">
        <v>12.079285714285712</v>
      </c>
      <c r="W32" s="42">
        <v>52.5</v>
      </c>
      <c r="X32" s="42">
        <v>6969.39</v>
      </c>
      <c r="BL32" t="s">
        <v>60</v>
      </c>
      <c r="BM32" t="s">
        <v>48</v>
      </c>
      <c r="BN32" t="s">
        <v>57</v>
      </c>
      <c r="BO32" s="42">
        <v>135</v>
      </c>
      <c r="BQ32" t="s">
        <v>52</v>
      </c>
      <c r="BR32" t="s">
        <v>61</v>
      </c>
      <c r="BS32" t="s">
        <v>34</v>
      </c>
      <c r="BT32">
        <v>102</v>
      </c>
    </row>
    <row r="33" spans="11:72" x14ac:dyDescent="0.25">
      <c r="K33" s="7" t="s">
        <v>190</v>
      </c>
      <c r="L33" s="5">
        <v>1.1399999999999999</v>
      </c>
      <c r="R33" s="8" t="s">
        <v>33</v>
      </c>
      <c r="S33" s="42">
        <v>184</v>
      </c>
      <c r="T33" s="42">
        <v>2.8947368421052633</v>
      </c>
      <c r="U33" s="42">
        <v>10711.51</v>
      </c>
      <c r="V33" s="42">
        <v>10.049736842105261</v>
      </c>
      <c r="W33" s="42">
        <v>47.10526315789474</v>
      </c>
      <c r="X33" s="42">
        <v>5513.1500000000005</v>
      </c>
      <c r="BL33" t="s">
        <v>60</v>
      </c>
      <c r="BM33" t="s">
        <v>457</v>
      </c>
      <c r="BO33" s="42">
        <v>906</v>
      </c>
      <c r="BQ33" t="s">
        <v>52</v>
      </c>
      <c r="BR33" t="s">
        <v>61</v>
      </c>
      <c r="BS33" t="s">
        <v>42</v>
      </c>
      <c r="BT33">
        <v>50</v>
      </c>
    </row>
    <row r="34" spans="11:72" x14ac:dyDescent="0.25">
      <c r="K34" s="7" t="s">
        <v>191</v>
      </c>
      <c r="L34" s="5">
        <v>4.68</v>
      </c>
      <c r="R34" s="7" t="s">
        <v>451</v>
      </c>
      <c r="S34" s="42">
        <v>4936</v>
      </c>
      <c r="T34" s="42">
        <v>2.964</v>
      </c>
      <c r="U34" s="42">
        <v>269220.72999999981</v>
      </c>
      <c r="V34" s="42">
        <v>10.336579999999991</v>
      </c>
      <c r="W34" s="42">
        <v>46.649000000000001</v>
      </c>
      <c r="X34" s="42">
        <v>154890.3300000001</v>
      </c>
      <c r="BL34" t="s">
        <v>458</v>
      </c>
      <c r="BO34" s="42">
        <v>4965</v>
      </c>
      <c r="BQ34" t="s">
        <v>52</v>
      </c>
      <c r="BR34" t="s">
        <v>61</v>
      </c>
      <c r="BS34" t="s">
        <v>57</v>
      </c>
      <c r="BT34">
        <v>160</v>
      </c>
    </row>
    <row r="35" spans="11:72" x14ac:dyDescent="0.25">
      <c r="K35" s="7" t="s">
        <v>192</v>
      </c>
      <c r="L35" s="5">
        <v>13.86</v>
      </c>
      <c r="BL35" t="s">
        <v>52</v>
      </c>
      <c r="BM35" t="s">
        <v>61</v>
      </c>
      <c r="BN35" t="s">
        <v>46</v>
      </c>
      <c r="BO35" s="42">
        <v>187</v>
      </c>
    </row>
    <row r="36" spans="11:72" x14ac:dyDescent="0.25">
      <c r="K36" s="7" t="s">
        <v>193</v>
      </c>
      <c r="L36" s="5">
        <v>3.8600000000000003</v>
      </c>
      <c r="BL36" t="s">
        <v>52</v>
      </c>
      <c r="BM36" t="s">
        <v>61</v>
      </c>
      <c r="BN36" t="s">
        <v>27</v>
      </c>
      <c r="BO36" s="42">
        <v>371</v>
      </c>
      <c r="BQ36" t="s">
        <v>52</v>
      </c>
      <c r="BR36" t="s">
        <v>33</v>
      </c>
      <c r="BS36" t="s">
        <v>27</v>
      </c>
      <c r="BT36">
        <v>19</v>
      </c>
    </row>
    <row r="37" spans="11:72" x14ac:dyDescent="0.25">
      <c r="K37" s="7" t="s">
        <v>194</v>
      </c>
      <c r="L37" s="5">
        <v>15.284000000000001</v>
      </c>
      <c r="BL37" t="s">
        <v>52</v>
      </c>
      <c r="BM37" t="s">
        <v>61</v>
      </c>
      <c r="BN37" t="s">
        <v>34</v>
      </c>
      <c r="BO37" s="42">
        <v>220</v>
      </c>
      <c r="BQ37" t="s">
        <v>52</v>
      </c>
      <c r="BR37" t="s">
        <v>33</v>
      </c>
      <c r="BS37" t="s">
        <v>42</v>
      </c>
      <c r="BT37">
        <v>39</v>
      </c>
    </row>
    <row r="38" spans="11:72" x14ac:dyDescent="0.25">
      <c r="K38" s="7" t="s">
        <v>195</v>
      </c>
      <c r="L38" s="5">
        <v>1.53</v>
      </c>
      <c r="BL38" t="s">
        <v>52</v>
      </c>
      <c r="BM38" t="s">
        <v>61</v>
      </c>
      <c r="BN38" t="s">
        <v>42</v>
      </c>
      <c r="BO38" s="42">
        <v>195</v>
      </c>
    </row>
    <row r="39" spans="11:72" x14ac:dyDescent="0.25">
      <c r="K39" s="7" t="s">
        <v>196</v>
      </c>
      <c r="L39" s="5">
        <v>5.4849999999999994</v>
      </c>
      <c r="BL39" t="s">
        <v>52</v>
      </c>
      <c r="BM39" t="s">
        <v>61</v>
      </c>
      <c r="BN39" t="s">
        <v>57</v>
      </c>
      <c r="BO39" s="42">
        <v>358</v>
      </c>
      <c r="BQ39" t="s">
        <v>52</v>
      </c>
      <c r="BR39" t="s">
        <v>25</v>
      </c>
      <c r="BS39" t="s">
        <v>46</v>
      </c>
      <c r="BT39">
        <v>29</v>
      </c>
    </row>
    <row r="40" spans="11:72" x14ac:dyDescent="0.25">
      <c r="K40" s="7" t="s">
        <v>197</v>
      </c>
      <c r="L40" s="5">
        <v>7.4320000000000004</v>
      </c>
      <c r="BL40" t="s">
        <v>52</v>
      </c>
      <c r="BM40" t="s">
        <v>453</v>
      </c>
      <c r="BO40" s="42">
        <v>1331</v>
      </c>
      <c r="BQ40" t="s">
        <v>52</v>
      </c>
      <c r="BR40" t="s">
        <v>25</v>
      </c>
      <c r="BS40" t="s">
        <v>27</v>
      </c>
      <c r="BT40">
        <v>33</v>
      </c>
    </row>
    <row r="41" spans="11:72" x14ac:dyDescent="0.25">
      <c r="K41" s="7" t="s">
        <v>198</v>
      </c>
      <c r="L41" s="5">
        <v>6.3062499999999995</v>
      </c>
      <c r="BL41" t="s">
        <v>52</v>
      </c>
      <c r="BM41" t="s">
        <v>33</v>
      </c>
      <c r="BN41" t="s">
        <v>46</v>
      </c>
      <c r="BO41" s="42">
        <v>134</v>
      </c>
      <c r="BQ41" t="s">
        <v>52</v>
      </c>
      <c r="BR41" t="s">
        <v>25</v>
      </c>
      <c r="BS41" t="s">
        <v>34</v>
      </c>
      <c r="BT41">
        <v>29</v>
      </c>
    </row>
    <row r="42" spans="11:72" x14ac:dyDescent="0.25">
      <c r="K42" s="7" t="s">
        <v>199</v>
      </c>
      <c r="L42" s="5">
        <v>4.51</v>
      </c>
      <c r="BL42" t="s">
        <v>52</v>
      </c>
      <c r="BM42" t="s">
        <v>33</v>
      </c>
      <c r="BN42" t="s">
        <v>27</v>
      </c>
      <c r="BO42" s="42">
        <v>103</v>
      </c>
      <c r="BQ42" t="s">
        <v>52</v>
      </c>
      <c r="BR42" t="s">
        <v>25</v>
      </c>
      <c r="BS42" t="s">
        <v>42</v>
      </c>
      <c r="BT42">
        <v>42</v>
      </c>
    </row>
    <row r="43" spans="11:72" x14ac:dyDescent="0.25">
      <c r="K43" s="7" t="s">
        <v>200</v>
      </c>
      <c r="L43" s="5">
        <v>3.206666666666667</v>
      </c>
      <c r="BL43" t="s">
        <v>52</v>
      </c>
      <c r="BM43" t="s">
        <v>33</v>
      </c>
      <c r="BN43" t="s">
        <v>34</v>
      </c>
      <c r="BO43" s="42">
        <v>83</v>
      </c>
      <c r="BQ43" t="s">
        <v>52</v>
      </c>
      <c r="BR43" t="s">
        <v>25</v>
      </c>
      <c r="BS43" t="s">
        <v>57</v>
      </c>
      <c r="BT43">
        <v>47</v>
      </c>
    </row>
    <row r="44" spans="11:72" x14ac:dyDescent="0.25">
      <c r="K44" s="7" t="s">
        <v>201</v>
      </c>
      <c r="L44" s="5">
        <v>9.1333333333333329</v>
      </c>
      <c r="BL44" t="s">
        <v>52</v>
      </c>
      <c r="BM44" t="s">
        <v>33</v>
      </c>
      <c r="BN44" t="s">
        <v>42</v>
      </c>
      <c r="BO44" s="42">
        <v>227</v>
      </c>
    </row>
    <row r="45" spans="11:72" x14ac:dyDescent="0.25">
      <c r="K45" s="7" t="s">
        <v>202</v>
      </c>
      <c r="L45" s="5">
        <v>7.69</v>
      </c>
      <c r="BL45" t="s">
        <v>52</v>
      </c>
      <c r="BM45" t="s">
        <v>33</v>
      </c>
      <c r="BN45" t="s">
        <v>57</v>
      </c>
      <c r="BO45" s="42">
        <v>203</v>
      </c>
      <c r="BQ45" t="s">
        <v>52</v>
      </c>
      <c r="BR45" t="s">
        <v>40</v>
      </c>
      <c r="BS45" t="s">
        <v>46</v>
      </c>
      <c r="BT45">
        <v>66</v>
      </c>
    </row>
    <row r="46" spans="11:72" x14ac:dyDescent="0.25">
      <c r="K46" s="7" t="s">
        <v>203</v>
      </c>
      <c r="L46" s="5">
        <v>5.0825000000000005</v>
      </c>
      <c r="BL46" t="s">
        <v>52</v>
      </c>
      <c r="BM46" t="s">
        <v>454</v>
      </c>
      <c r="BO46" s="42">
        <v>750</v>
      </c>
      <c r="BQ46" t="s">
        <v>52</v>
      </c>
      <c r="BR46" t="s">
        <v>40</v>
      </c>
      <c r="BS46" t="s">
        <v>27</v>
      </c>
      <c r="BT46">
        <v>25</v>
      </c>
    </row>
    <row r="47" spans="11:72" x14ac:dyDescent="0.25">
      <c r="K47" s="7" t="s">
        <v>204</v>
      </c>
      <c r="L47" s="5">
        <v>11.93</v>
      </c>
      <c r="BL47" t="s">
        <v>52</v>
      </c>
      <c r="BM47" t="s">
        <v>25</v>
      </c>
      <c r="BN47" t="s">
        <v>46</v>
      </c>
      <c r="BO47" s="42">
        <v>177</v>
      </c>
      <c r="BQ47" t="s">
        <v>52</v>
      </c>
      <c r="BR47" t="s">
        <v>40</v>
      </c>
      <c r="BS47" t="s">
        <v>34</v>
      </c>
      <c r="BT47">
        <v>61</v>
      </c>
    </row>
    <row r="48" spans="11:72" x14ac:dyDescent="0.25">
      <c r="K48" s="7" t="s">
        <v>205</v>
      </c>
      <c r="L48" s="5">
        <v>4.6099999999999994</v>
      </c>
      <c r="BL48" t="s">
        <v>52</v>
      </c>
      <c r="BM48" t="s">
        <v>25</v>
      </c>
      <c r="BN48" t="s">
        <v>27</v>
      </c>
      <c r="BO48" s="42">
        <v>312</v>
      </c>
      <c r="BQ48" t="s">
        <v>52</v>
      </c>
      <c r="BR48" t="s">
        <v>40</v>
      </c>
      <c r="BS48" t="s">
        <v>42</v>
      </c>
      <c r="BT48">
        <v>62</v>
      </c>
    </row>
    <row r="49" spans="11:72" x14ac:dyDescent="0.25">
      <c r="K49" s="7" t="s">
        <v>206</v>
      </c>
      <c r="L49" s="5">
        <v>6.1574999999999998</v>
      </c>
      <c r="BL49" t="s">
        <v>52</v>
      </c>
      <c r="BM49" t="s">
        <v>25</v>
      </c>
      <c r="BN49" t="s">
        <v>34</v>
      </c>
      <c r="BO49" s="42">
        <v>341</v>
      </c>
      <c r="BQ49" t="s">
        <v>52</v>
      </c>
      <c r="BR49" t="s">
        <v>40</v>
      </c>
      <c r="BS49" t="s">
        <v>57</v>
      </c>
      <c r="BT49">
        <v>27</v>
      </c>
    </row>
    <row r="50" spans="11:72" x14ac:dyDescent="0.25">
      <c r="K50" s="7" t="s">
        <v>207</v>
      </c>
      <c r="L50" s="5">
        <v>2.6875000000000004</v>
      </c>
      <c r="BL50" t="s">
        <v>52</v>
      </c>
      <c r="BM50" t="s">
        <v>25</v>
      </c>
      <c r="BN50" t="s">
        <v>42</v>
      </c>
      <c r="BO50" s="42">
        <v>176</v>
      </c>
    </row>
    <row r="51" spans="11:72" x14ac:dyDescent="0.25">
      <c r="K51" s="7" t="s">
        <v>208</v>
      </c>
      <c r="L51" s="5">
        <v>6.4366666666666674</v>
      </c>
      <c r="BL51" t="s">
        <v>52</v>
      </c>
      <c r="BM51" t="s">
        <v>25</v>
      </c>
      <c r="BN51" t="s">
        <v>57</v>
      </c>
      <c r="BO51" s="42">
        <v>246</v>
      </c>
      <c r="BQ51" t="s">
        <v>52</v>
      </c>
      <c r="BR51" t="s">
        <v>48</v>
      </c>
      <c r="BS51" t="s">
        <v>46</v>
      </c>
      <c r="BT51">
        <v>36</v>
      </c>
    </row>
    <row r="52" spans="11:72" x14ac:dyDescent="0.25">
      <c r="K52" s="7" t="s">
        <v>209</v>
      </c>
      <c r="L52" s="5">
        <v>8.1599999999999984</v>
      </c>
      <c r="BL52" t="s">
        <v>52</v>
      </c>
      <c r="BM52" t="s">
        <v>455</v>
      </c>
      <c r="BO52" s="42">
        <v>1252</v>
      </c>
      <c r="BQ52" t="s">
        <v>52</v>
      </c>
      <c r="BR52" t="s">
        <v>48</v>
      </c>
      <c r="BS52" t="s">
        <v>34</v>
      </c>
      <c r="BT52">
        <v>66</v>
      </c>
    </row>
    <row r="53" spans="11:72" x14ac:dyDescent="0.25">
      <c r="K53" s="7" t="s">
        <v>210</v>
      </c>
      <c r="L53" s="5">
        <v>11.68</v>
      </c>
      <c r="BL53" t="s">
        <v>52</v>
      </c>
      <c r="BM53" t="s">
        <v>40</v>
      </c>
      <c r="BN53" t="s">
        <v>46</v>
      </c>
      <c r="BO53" s="42">
        <v>243</v>
      </c>
      <c r="BQ53" t="s">
        <v>52</v>
      </c>
      <c r="BR53" t="s">
        <v>48</v>
      </c>
      <c r="BS53" t="s">
        <v>57</v>
      </c>
      <c r="BT53">
        <v>30</v>
      </c>
    </row>
    <row r="54" spans="11:72" x14ac:dyDescent="0.25">
      <c r="K54" s="7" t="s">
        <v>211</v>
      </c>
      <c r="L54" s="5">
        <v>4.51</v>
      </c>
      <c r="BL54" t="s">
        <v>52</v>
      </c>
      <c r="BM54" t="s">
        <v>40</v>
      </c>
      <c r="BN54" t="s">
        <v>27</v>
      </c>
      <c r="BO54" s="42">
        <v>141</v>
      </c>
    </row>
    <row r="55" spans="11:72" x14ac:dyDescent="0.25">
      <c r="K55" s="7" t="s">
        <v>212</v>
      </c>
      <c r="L55" s="5">
        <v>5.6816666666666658</v>
      </c>
      <c r="BL55" t="s">
        <v>52</v>
      </c>
      <c r="BM55" t="s">
        <v>40</v>
      </c>
      <c r="BN55" t="s">
        <v>34</v>
      </c>
      <c r="BO55" s="42">
        <v>218</v>
      </c>
    </row>
    <row r="56" spans="11:72" x14ac:dyDescent="0.25">
      <c r="K56" s="7" t="s">
        <v>213</v>
      </c>
      <c r="L56" s="5">
        <v>9.9499999999999993</v>
      </c>
      <c r="BL56" t="s">
        <v>52</v>
      </c>
      <c r="BM56" t="s">
        <v>40</v>
      </c>
      <c r="BN56" t="s">
        <v>42</v>
      </c>
      <c r="BO56" s="42">
        <v>85</v>
      </c>
      <c r="BQ56" t="s">
        <v>24</v>
      </c>
      <c r="BR56" t="s">
        <v>61</v>
      </c>
      <c r="BS56" t="s">
        <v>46</v>
      </c>
      <c r="BT56">
        <v>44</v>
      </c>
    </row>
    <row r="57" spans="11:72" x14ac:dyDescent="0.25">
      <c r="K57" s="7" t="s">
        <v>214</v>
      </c>
      <c r="L57" s="5">
        <v>12.94</v>
      </c>
      <c r="BL57" t="s">
        <v>52</v>
      </c>
      <c r="BM57" t="s">
        <v>40</v>
      </c>
      <c r="BN57" t="s">
        <v>57</v>
      </c>
      <c r="BO57" s="42">
        <v>74</v>
      </c>
      <c r="BQ57" t="s">
        <v>24</v>
      </c>
      <c r="BR57" t="s">
        <v>61</v>
      </c>
      <c r="BS57" t="s">
        <v>27</v>
      </c>
      <c r="BT57">
        <v>63</v>
      </c>
    </row>
    <row r="58" spans="11:72" x14ac:dyDescent="0.25">
      <c r="K58" s="7" t="s">
        <v>215</v>
      </c>
      <c r="L58" s="5">
        <v>10.86</v>
      </c>
      <c r="BL58" t="s">
        <v>52</v>
      </c>
      <c r="BM58" t="s">
        <v>456</v>
      </c>
      <c r="BO58" s="42">
        <v>761</v>
      </c>
      <c r="BQ58" t="s">
        <v>24</v>
      </c>
      <c r="BR58" t="s">
        <v>61</v>
      </c>
      <c r="BS58" t="s">
        <v>34</v>
      </c>
      <c r="BT58">
        <v>46</v>
      </c>
    </row>
    <row r="59" spans="11:72" x14ac:dyDescent="0.25">
      <c r="K59" s="7" t="s">
        <v>216</v>
      </c>
      <c r="L59" s="5">
        <v>4.4800000000000004</v>
      </c>
      <c r="BL59" t="s">
        <v>52</v>
      </c>
      <c r="BM59" t="s">
        <v>48</v>
      </c>
      <c r="BN59" t="s">
        <v>46</v>
      </c>
      <c r="BO59" s="42">
        <v>199</v>
      </c>
      <c r="BQ59" t="s">
        <v>24</v>
      </c>
      <c r="BR59" t="s">
        <v>61</v>
      </c>
      <c r="BS59" t="s">
        <v>42</v>
      </c>
      <c r="BT59">
        <v>75</v>
      </c>
    </row>
    <row r="60" spans="11:72" x14ac:dyDescent="0.25">
      <c r="K60" s="7" t="s">
        <v>217</v>
      </c>
      <c r="L60" s="5">
        <v>2.0900000000000003</v>
      </c>
      <c r="BL60" t="s">
        <v>52</v>
      </c>
      <c r="BM60" t="s">
        <v>48</v>
      </c>
      <c r="BN60" t="s">
        <v>27</v>
      </c>
      <c r="BO60" s="42">
        <v>165</v>
      </c>
    </row>
    <row r="61" spans="11:72" x14ac:dyDescent="0.25">
      <c r="K61" s="7" t="s">
        <v>218</v>
      </c>
      <c r="L61" s="5">
        <v>5.0125000000000002</v>
      </c>
      <c r="BL61" t="s">
        <v>52</v>
      </c>
      <c r="BM61" t="s">
        <v>48</v>
      </c>
      <c r="BN61" t="s">
        <v>34</v>
      </c>
      <c r="BO61" s="42">
        <v>139</v>
      </c>
      <c r="BQ61" t="s">
        <v>24</v>
      </c>
      <c r="BR61" t="s">
        <v>33</v>
      </c>
      <c r="BS61" t="s">
        <v>46</v>
      </c>
      <c r="BT61">
        <v>152</v>
      </c>
    </row>
    <row r="62" spans="11:72" x14ac:dyDescent="0.25">
      <c r="K62" s="7" t="s">
        <v>219</v>
      </c>
      <c r="L62" s="5">
        <v>6.1825000000000001</v>
      </c>
      <c r="BL62" t="s">
        <v>52</v>
      </c>
      <c r="BM62" t="s">
        <v>48</v>
      </c>
      <c r="BN62" t="s">
        <v>42</v>
      </c>
      <c r="BO62" s="42">
        <v>200</v>
      </c>
      <c r="BQ62" t="s">
        <v>24</v>
      </c>
      <c r="BR62" t="s">
        <v>33</v>
      </c>
      <c r="BS62" t="s">
        <v>27</v>
      </c>
      <c r="BT62">
        <v>63</v>
      </c>
    </row>
    <row r="63" spans="11:72" x14ac:dyDescent="0.25">
      <c r="K63" s="7" t="s">
        <v>220</v>
      </c>
      <c r="L63" s="5">
        <v>17.010000000000002</v>
      </c>
      <c r="BL63" t="s">
        <v>52</v>
      </c>
      <c r="BM63" t="s">
        <v>48</v>
      </c>
      <c r="BN63" t="s">
        <v>57</v>
      </c>
      <c r="BO63" s="42">
        <v>237</v>
      </c>
      <c r="BQ63" t="s">
        <v>24</v>
      </c>
      <c r="BR63" t="s">
        <v>33</v>
      </c>
      <c r="BS63" t="s">
        <v>34</v>
      </c>
      <c r="BT63">
        <v>13</v>
      </c>
    </row>
    <row r="64" spans="11:72" x14ac:dyDescent="0.25">
      <c r="K64" s="7" t="s">
        <v>221</v>
      </c>
      <c r="L64" s="5">
        <v>2.58</v>
      </c>
      <c r="BL64" t="s">
        <v>52</v>
      </c>
      <c r="BM64" t="s">
        <v>457</v>
      </c>
      <c r="BO64" s="42">
        <v>940</v>
      </c>
      <c r="BQ64" t="s">
        <v>24</v>
      </c>
      <c r="BR64" t="s">
        <v>33</v>
      </c>
      <c r="BS64" t="s">
        <v>42</v>
      </c>
      <c r="BT64">
        <v>36</v>
      </c>
    </row>
    <row r="65" spans="11:72" x14ac:dyDescent="0.25">
      <c r="K65" s="7" t="s">
        <v>222</v>
      </c>
      <c r="L65" s="5">
        <v>5.415</v>
      </c>
      <c r="BL65" t="s">
        <v>459</v>
      </c>
      <c r="BO65" s="42">
        <v>5034</v>
      </c>
    </row>
    <row r="66" spans="11:72" x14ac:dyDescent="0.25">
      <c r="K66" s="7" t="s">
        <v>223</v>
      </c>
      <c r="L66" s="5">
        <v>8.0566666666666666</v>
      </c>
      <c r="BL66" t="s">
        <v>24</v>
      </c>
      <c r="BM66" t="s">
        <v>61</v>
      </c>
      <c r="BN66" t="s">
        <v>46</v>
      </c>
      <c r="BO66" s="42">
        <v>111</v>
      </c>
      <c r="BQ66" t="s">
        <v>24</v>
      </c>
      <c r="BR66" t="s">
        <v>25</v>
      </c>
      <c r="BS66" t="s">
        <v>46</v>
      </c>
      <c r="BT66">
        <v>38</v>
      </c>
    </row>
    <row r="67" spans="11:72" x14ac:dyDescent="0.25">
      <c r="K67" s="7" t="s">
        <v>224</v>
      </c>
      <c r="L67" s="5">
        <v>6.28</v>
      </c>
      <c r="BL67" t="s">
        <v>24</v>
      </c>
      <c r="BM67" t="s">
        <v>61</v>
      </c>
      <c r="BN67" t="s">
        <v>27</v>
      </c>
      <c r="BO67" s="42">
        <v>425</v>
      </c>
      <c r="BQ67" t="s">
        <v>24</v>
      </c>
      <c r="BR67" t="s">
        <v>25</v>
      </c>
      <c r="BS67" t="s">
        <v>27</v>
      </c>
      <c r="BT67">
        <v>104</v>
      </c>
    </row>
    <row r="68" spans="11:72" x14ac:dyDescent="0.25">
      <c r="K68" s="7" t="s">
        <v>225</v>
      </c>
      <c r="L68" s="5">
        <v>5.7739999999999991</v>
      </c>
      <c r="BL68" t="s">
        <v>24</v>
      </c>
      <c r="BM68" t="s">
        <v>61</v>
      </c>
      <c r="BN68" t="s">
        <v>34</v>
      </c>
      <c r="BO68" s="42">
        <v>168</v>
      </c>
      <c r="BQ68" t="s">
        <v>24</v>
      </c>
      <c r="BR68" t="s">
        <v>25</v>
      </c>
      <c r="BS68" t="s">
        <v>57</v>
      </c>
      <c r="BT68">
        <v>118</v>
      </c>
    </row>
    <row r="69" spans="11:72" x14ac:dyDescent="0.25">
      <c r="K69" s="7" t="s">
        <v>226</v>
      </c>
      <c r="L69" s="5">
        <v>5.9820000000000011</v>
      </c>
      <c r="BL69" t="s">
        <v>24</v>
      </c>
      <c r="BM69" t="s">
        <v>61</v>
      </c>
      <c r="BN69" t="s">
        <v>42</v>
      </c>
      <c r="BO69" s="42">
        <v>407</v>
      </c>
    </row>
    <row r="70" spans="11:72" x14ac:dyDescent="0.25">
      <c r="K70" s="7" t="s">
        <v>227</v>
      </c>
      <c r="L70" s="5">
        <v>5.2249999999999996</v>
      </c>
      <c r="BL70" t="s">
        <v>24</v>
      </c>
      <c r="BM70" t="s">
        <v>61</v>
      </c>
      <c r="BN70" t="s">
        <v>57</v>
      </c>
      <c r="BO70" s="42">
        <v>206</v>
      </c>
      <c r="BQ70" t="s">
        <v>24</v>
      </c>
      <c r="BR70" t="s">
        <v>40</v>
      </c>
      <c r="BS70" t="s">
        <v>46</v>
      </c>
      <c r="BT70">
        <v>18</v>
      </c>
    </row>
    <row r="71" spans="11:72" x14ac:dyDescent="0.25">
      <c r="K71" s="7" t="s">
        <v>228</v>
      </c>
      <c r="L71" s="5">
        <v>4</v>
      </c>
      <c r="BL71" t="s">
        <v>24</v>
      </c>
      <c r="BM71" t="s">
        <v>453</v>
      </c>
      <c r="BO71" s="42">
        <v>1317</v>
      </c>
      <c r="BQ71" t="s">
        <v>24</v>
      </c>
      <c r="BR71" t="s">
        <v>40</v>
      </c>
      <c r="BS71" t="s">
        <v>27</v>
      </c>
      <c r="BT71">
        <v>46</v>
      </c>
    </row>
    <row r="72" spans="11:72" x14ac:dyDescent="0.25">
      <c r="K72" s="7" t="s">
        <v>229</v>
      </c>
      <c r="L72" s="5">
        <v>4.6100000000000003</v>
      </c>
      <c r="BL72" t="s">
        <v>24</v>
      </c>
      <c r="BM72" t="s">
        <v>33</v>
      </c>
      <c r="BN72" t="s">
        <v>46</v>
      </c>
      <c r="BO72" s="42">
        <v>166</v>
      </c>
      <c r="BQ72" t="s">
        <v>24</v>
      </c>
      <c r="BR72" t="s">
        <v>40</v>
      </c>
      <c r="BS72" t="s">
        <v>34</v>
      </c>
      <c r="BT72">
        <v>31</v>
      </c>
    </row>
    <row r="73" spans="11:72" x14ac:dyDescent="0.25">
      <c r="K73" s="7" t="s">
        <v>230</v>
      </c>
      <c r="L73" s="5">
        <v>15.080000000000002</v>
      </c>
      <c r="BL73" t="s">
        <v>24</v>
      </c>
      <c r="BM73" t="s">
        <v>33</v>
      </c>
      <c r="BN73" t="s">
        <v>27</v>
      </c>
      <c r="BO73" s="42">
        <v>123</v>
      </c>
      <c r="BQ73" t="s">
        <v>24</v>
      </c>
      <c r="BR73" t="s">
        <v>40</v>
      </c>
      <c r="BS73" t="s">
        <v>42</v>
      </c>
      <c r="BT73">
        <v>18</v>
      </c>
    </row>
    <row r="74" spans="11:72" x14ac:dyDescent="0.25">
      <c r="K74" s="7" t="s">
        <v>231</v>
      </c>
      <c r="L74" s="5">
        <v>4.16</v>
      </c>
      <c r="BL74" t="s">
        <v>24</v>
      </c>
      <c r="BM74" t="s">
        <v>33</v>
      </c>
      <c r="BN74" t="s">
        <v>34</v>
      </c>
      <c r="BO74" s="42">
        <v>142</v>
      </c>
      <c r="BQ74" t="s">
        <v>24</v>
      </c>
      <c r="BR74" t="s">
        <v>40</v>
      </c>
      <c r="BS74" t="s">
        <v>57</v>
      </c>
      <c r="BT74">
        <v>26</v>
      </c>
    </row>
    <row r="75" spans="11:72" x14ac:dyDescent="0.25">
      <c r="K75" s="7" t="s">
        <v>232</v>
      </c>
      <c r="L75" s="5">
        <v>6.3179999999999996</v>
      </c>
      <c r="BL75" t="s">
        <v>24</v>
      </c>
      <c r="BM75" t="s">
        <v>33</v>
      </c>
      <c r="BN75" t="s">
        <v>42</v>
      </c>
      <c r="BO75" s="42">
        <v>180</v>
      </c>
    </row>
    <row r="76" spans="11:72" x14ac:dyDescent="0.25">
      <c r="K76" s="7" t="s">
        <v>233</v>
      </c>
      <c r="L76" s="5">
        <v>2.665</v>
      </c>
      <c r="BL76" t="s">
        <v>24</v>
      </c>
      <c r="BM76" t="s">
        <v>454</v>
      </c>
      <c r="BO76" s="42">
        <v>611</v>
      </c>
      <c r="BQ76" t="s">
        <v>24</v>
      </c>
      <c r="BR76" t="s">
        <v>48</v>
      </c>
      <c r="BS76" t="s">
        <v>46</v>
      </c>
      <c r="BT76">
        <v>7</v>
      </c>
    </row>
    <row r="77" spans="11:72" x14ac:dyDescent="0.25">
      <c r="K77" s="7" t="s">
        <v>234</v>
      </c>
      <c r="L77" s="5">
        <v>1.53</v>
      </c>
      <c r="BL77" t="s">
        <v>24</v>
      </c>
      <c r="BM77" t="s">
        <v>25</v>
      </c>
      <c r="BN77" t="s">
        <v>46</v>
      </c>
      <c r="BO77" s="42">
        <v>82</v>
      </c>
      <c r="BQ77" t="s">
        <v>24</v>
      </c>
      <c r="BR77" t="s">
        <v>48</v>
      </c>
      <c r="BS77" t="s">
        <v>27</v>
      </c>
      <c r="BT77">
        <v>168</v>
      </c>
    </row>
    <row r="78" spans="11:72" x14ac:dyDescent="0.25">
      <c r="K78" s="7" t="s">
        <v>235</v>
      </c>
      <c r="L78" s="5">
        <v>4.2674999999999992</v>
      </c>
      <c r="BL78" t="s">
        <v>24</v>
      </c>
      <c r="BM78" t="s">
        <v>25</v>
      </c>
      <c r="BN78" t="s">
        <v>27</v>
      </c>
      <c r="BO78" s="42">
        <v>269</v>
      </c>
      <c r="BQ78" t="s">
        <v>24</v>
      </c>
      <c r="BR78" t="s">
        <v>48</v>
      </c>
      <c r="BS78" t="s">
        <v>34</v>
      </c>
      <c r="BT78">
        <v>146</v>
      </c>
    </row>
    <row r="79" spans="11:72" x14ac:dyDescent="0.25">
      <c r="K79" s="7" t="s">
        <v>236</v>
      </c>
      <c r="L79" s="5">
        <v>8.8475000000000001</v>
      </c>
      <c r="BL79" t="s">
        <v>24</v>
      </c>
      <c r="BM79" t="s">
        <v>25</v>
      </c>
      <c r="BN79" t="s">
        <v>34</v>
      </c>
      <c r="BO79" s="42">
        <v>99</v>
      </c>
      <c r="BQ79" t="s">
        <v>24</v>
      </c>
      <c r="BR79" t="s">
        <v>48</v>
      </c>
      <c r="BS79" t="s">
        <v>57</v>
      </c>
      <c r="BT79">
        <v>143</v>
      </c>
    </row>
    <row r="80" spans="11:72" x14ac:dyDescent="0.25">
      <c r="K80" s="7" t="s">
        <v>237</v>
      </c>
      <c r="L80" s="5">
        <v>3.7650000000000001</v>
      </c>
      <c r="BL80" t="s">
        <v>24</v>
      </c>
      <c r="BM80" t="s">
        <v>25</v>
      </c>
      <c r="BN80" t="s">
        <v>42</v>
      </c>
      <c r="BO80" s="42">
        <v>388</v>
      </c>
    </row>
    <row r="81" spans="11:72" x14ac:dyDescent="0.25">
      <c r="K81" s="7" t="s">
        <v>238</v>
      </c>
      <c r="L81" s="5">
        <v>8.9799999999999986</v>
      </c>
      <c r="BL81" t="s">
        <v>24</v>
      </c>
      <c r="BM81" t="s">
        <v>25</v>
      </c>
      <c r="BN81" t="s">
        <v>57</v>
      </c>
      <c r="BO81" s="42">
        <v>269</v>
      </c>
    </row>
    <row r="82" spans="11:72" x14ac:dyDescent="0.25">
      <c r="K82" s="7" t="s">
        <v>239</v>
      </c>
      <c r="L82" s="5">
        <v>3.5650000000000004</v>
      </c>
      <c r="BL82" t="s">
        <v>24</v>
      </c>
      <c r="BM82" t="s">
        <v>455</v>
      </c>
      <c r="BO82" s="42">
        <v>1107</v>
      </c>
      <c r="BQ82" t="s">
        <v>39</v>
      </c>
      <c r="BR82" t="s">
        <v>61</v>
      </c>
      <c r="BS82" t="s">
        <v>46</v>
      </c>
      <c r="BT82">
        <v>26</v>
      </c>
    </row>
    <row r="83" spans="11:72" x14ac:dyDescent="0.25">
      <c r="K83" s="7" t="s">
        <v>240</v>
      </c>
      <c r="L83" s="5">
        <v>3.8250000000000002</v>
      </c>
      <c r="BL83" t="s">
        <v>24</v>
      </c>
      <c r="BM83" t="s">
        <v>40</v>
      </c>
      <c r="BN83" t="s">
        <v>46</v>
      </c>
      <c r="BO83" s="42">
        <v>148</v>
      </c>
      <c r="BQ83" t="s">
        <v>39</v>
      </c>
      <c r="BR83" t="s">
        <v>61</v>
      </c>
      <c r="BS83" t="s">
        <v>27</v>
      </c>
      <c r="BT83">
        <v>19</v>
      </c>
    </row>
    <row r="84" spans="11:72" x14ac:dyDescent="0.25">
      <c r="K84" s="7" t="s">
        <v>241</v>
      </c>
      <c r="L84" s="5">
        <v>6.7057142857142864</v>
      </c>
      <c r="BL84" t="s">
        <v>24</v>
      </c>
      <c r="BM84" t="s">
        <v>40</v>
      </c>
      <c r="BN84" t="s">
        <v>27</v>
      </c>
      <c r="BO84" s="42">
        <v>217</v>
      </c>
      <c r="BQ84" t="s">
        <v>39</v>
      </c>
      <c r="BR84" t="s">
        <v>61</v>
      </c>
      <c r="BS84" t="s">
        <v>42</v>
      </c>
      <c r="BT84">
        <v>14</v>
      </c>
    </row>
    <row r="85" spans="11:72" x14ac:dyDescent="0.25">
      <c r="K85" s="7" t="s">
        <v>242</v>
      </c>
      <c r="L85" s="5">
        <v>8.59</v>
      </c>
      <c r="BL85" t="s">
        <v>24</v>
      </c>
      <c r="BM85" t="s">
        <v>40</v>
      </c>
      <c r="BN85" t="s">
        <v>34</v>
      </c>
      <c r="BO85" s="42">
        <v>266</v>
      </c>
      <c r="BQ85" t="s">
        <v>39</v>
      </c>
      <c r="BR85" t="s">
        <v>61</v>
      </c>
      <c r="BS85" t="s">
        <v>57</v>
      </c>
      <c r="BT85">
        <v>27</v>
      </c>
    </row>
    <row r="86" spans="11:72" x14ac:dyDescent="0.25">
      <c r="K86" s="7" t="s">
        <v>243</v>
      </c>
      <c r="L86" s="5">
        <v>2.2250000000000001</v>
      </c>
      <c r="BL86" t="s">
        <v>24</v>
      </c>
      <c r="BM86" t="s">
        <v>40</v>
      </c>
      <c r="BN86" t="s">
        <v>42</v>
      </c>
      <c r="BO86" s="42">
        <v>254</v>
      </c>
    </row>
    <row r="87" spans="11:72" x14ac:dyDescent="0.25">
      <c r="K87" s="7" t="s">
        <v>244</v>
      </c>
      <c r="L87" s="5">
        <v>4.5999999999999996</v>
      </c>
      <c r="BL87" t="s">
        <v>24</v>
      </c>
      <c r="BM87" t="s">
        <v>40</v>
      </c>
      <c r="BN87" t="s">
        <v>57</v>
      </c>
      <c r="BO87" s="42">
        <v>167</v>
      </c>
      <c r="BQ87" t="s">
        <v>39</v>
      </c>
      <c r="BR87" t="s">
        <v>33</v>
      </c>
      <c r="BS87" t="s">
        <v>46</v>
      </c>
      <c r="BT87">
        <v>14</v>
      </c>
    </row>
    <row r="88" spans="11:72" x14ac:dyDescent="0.25">
      <c r="K88" s="7" t="s">
        <v>245</v>
      </c>
      <c r="L88" s="5">
        <v>3.2640000000000002</v>
      </c>
      <c r="BL88" t="s">
        <v>24</v>
      </c>
      <c r="BM88" t="s">
        <v>456</v>
      </c>
      <c r="BO88" s="42">
        <v>1052</v>
      </c>
      <c r="BQ88" t="s">
        <v>39</v>
      </c>
      <c r="BR88" t="s">
        <v>33</v>
      </c>
      <c r="BS88" t="s">
        <v>27</v>
      </c>
      <c r="BT88">
        <v>47</v>
      </c>
    </row>
    <row r="89" spans="11:72" x14ac:dyDescent="0.25">
      <c r="K89" s="7" t="s">
        <v>246</v>
      </c>
      <c r="L89" s="5">
        <v>3.6633333333333336</v>
      </c>
      <c r="BL89" t="s">
        <v>24</v>
      </c>
      <c r="BM89" t="s">
        <v>48</v>
      </c>
      <c r="BN89" t="s">
        <v>46</v>
      </c>
      <c r="BO89" s="42">
        <v>42</v>
      </c>
      <c r="BQ89" t="s">
        <v>39</v>
      </c>
      <c r="BR89" t="s">
        <v>33</v>
      </c>
      <c r="BS89" t="s">
        <v>34</v>
      </c>
      <c r="BT89">
        <v>47</v>
      </c>
    </row>
    <row r="90" spans="11:72" x14ac:dyDescent="0.25">
      <c r="K90" s="7" t="s">
        <v>247</v>
      </c>
      <c r="L90" s="5">
        <v>6.4459999999999997</v>
      </c>
      <c r="BL90" t="s">
        <v>24</v>
      </c>
      <c r="BM90" t="s">
        <v>48</v>
      </c>
      <c r="BN90" t="s">
        <v>27</v>
      </c>
      <c r="BO90" s="42">
        <v>200</v>
      </c>
      <c r="BQ90" t="s">
        <v>39</v>
      </c>
      <c r="BR90" t="s">
        <v>33</v>
      </c>
      <c r="BS90" t="s">
        <v>42</v>
      </c>
      <c r="BT90">
        <v>42</v>
      </c>
    </row>
    <row r="91" spans="11:72" x14ac:dyDescent="0.25">
      <c r="K91" s="7" t="s">
        <v>248</v>
      </c>
      <c r="L91" s="5">
        <v>8.0425000000000004</v>
      </c>
      <c r="BL91" t="s">
        <v>24</v>
      </c>
      <c r="BM91" t="s">
        <v>48</v>
      </c>
      <c r="BN91" t="s">
        <v>34</v>
      </c>
      <c r="BO91" s="42">
        <v>187</v>
      </c>
      <c r="BQ91" t="s">
        <v>39</v>
      </c>
      <c r="BR91" t="s">
        <v>33</v>
      </c>
      <c r="BS91" t="s">
        <v>57</v>
      </c>
      <c r="BT91">
        <v>71</v>
      </c>
    </row>
    <row r="92" spans="11:72" x14ac:dyDescent="0.25">
      <c r="K92" s="7" t="s">
        <v>249</v>
      </c>
      <c r="L92" s="5">
        <v>5.37</v>
      </c>
      <c r="BL92" t="s">
        <v>24</v>
      </c>
      <c r="BM92" t="s">
        <v>48</v>
      </c>
      <c r="BN92" t="s">
        <v>42</v>
      </c>
      <c r="BO92" s="42">
        <v>43</v>
      </c>
    </row>
    <row r="93" spans="11:72" x14ac:dyDescent="0.25">
      <c r="K93" s="7" t="s">
        <v>250</v>
      </c>
      <c r="L93" s="5">
        <v>12.67</v>
      </c>
      <c r="BL93" t="s">
        <v>24</v>
      </c>
      <c r="BM93" t="s">
        <v>48</v>
      </c>
      <c r="BN93" t="s">
        <v>57</v>
      </c>
      <c r="BO93" s="42">
        <v>422</v>
      </c>
      <c r="BQ93" t="s">
        <v>39</v>
      </c>
      <c r="BR93" t="s">
        <v>25</v>
      </c>
      <c r="BS93" t="s">
        <v>27</v>
      </c>
      <c r="BT93">
        <v>17</v>
      </c>
    </row>
    <row r="94" spans="11:72" x14ac:dyDescent="0.25">
      <c r="K94" s="7" t="s">
        <v>251</v>
      </c>
      <c r="L94" s="5">
        <v>3.6125000000000007</v>
      </c>
      <c r="BL94" t="s">
        <v>24</v>
      </c>
      <c r="BM94" t="s">
        <v>457</v>
      </c>
      <c r="BO94" s="42">
        <v>894</v>
      </c>
      <c r="BQ94" t="s">
        <v>39</v>
      </c>
      <c r="BR94" t="s">
        <v>25</v>
      </c>
      <c r="BS94" t="s">
        <v>34</v>
      </c>
      <c r="BT94">
        <v>51</v>
      </c>
    </row>
    <row r="95" spans="11:72" x14ac:dyDescent="0.25">
      <c r="K95" s="7" t="s">
        <v>252</v>
      </c>
      <c r="L95" s="5">
        <v>8.7799999999999994</v>
      </c>
      <c r="BL95" t="s">
        <v>460</v>
      </c>
      <c r="BO95" s="42">
        <v>4981</v>
      </c>
      <c r="BQ95" t="s">
        <v>39</v>
      </c>
      <c r="BR95" t="s">
        <v>25</v>
      </c>
      <c r="BS95" t="s">
        <v>42</v>
      </c>
      <c r="BT95">
        <v>45</v>
      </c>
    </row>
    <row r="96" spans="11:72" x14ac:dyDescent="0.25">
      <c r="K96" s="7" t="s">
        <v>253</v>
      </c>
      <c r="L96" s="5">
        <v>3.56</v>
      </c>
      <c r="BL96" t="s">
        <v>39</v>
      </c>
      <c r="BM96" t="s">
        <v>61</v>
      </c>
      <c r="BN96" t="s">
        <v>46</v>
      </c>
      <c r="BO96" s="42">
        <v>131</v>
      </c>
      <c r="BQ96" t="s">
        <v>39</v>
      </c>
      <c r="BR96" t="s">
        <v>25</v>
      </c>
      <c r="BS96" t="s">
        <v>57</v>
      </c>
      <c r="BT96">
        <v>97</v>
      </c>
    </row>
    <row r="97" spans="11:72" x14ac:dyDescent="0.25">
      <c r="K97" s="7" t="s">
        <v>254</v>
      </c>
      <c r="L97" s="5">
        <v>5.8774999999999995</v>
      </c>
      <c r="BL97" t="s">
        <v>39</v>
      </c>
      <c r="BM97" t="s">
        <v>61</v>
      </c>
      <c r="BN97" t="s">
        <v>27</v>
      </c>
      <c r="BO97" s="42">
        <v>110</v>
      </c>
    </row>
    <row r="98" spans="11:72" x14ac:dyDescent="0.25">
      <c r="K98" s="7" t="s">
        <v>255</v>
      </c>
      <c r="L98" s="5">
        <v>3.4349999999999996</v>
      </c>
      <c r="BL98" t="s">
        <v>39</v>
      </c>
      <c r="BM98" t="s">
        <v>61</v>
      </c>
      <c r="BN98" t="s">
        <v>34</v>
      </c>
      <c r="BO98" s="42">
        <v>261</v>
      </c>
      <c r="BQ98" t="s">
        <v>39</v>
      </c>
      <c r="BR98" t="s">
        <v>40</v>
      </c>
      <c r="BS98" t="s">
        <v>46</v>
      </c>
      <c r="BT98">
        <v>91</v>
      </c>
    </row>
    <row r="99" spans="11:72" x14ac:dyDescent="0.25">
      <c r="K99" s="7" t="s">
        <v>256</v>
      </c>
      <c r="L99" s="5">
        <v>2.1150000000000002</v>
      </c>
      <c r="BL99" t="s">
        <v>39</v>
      </c>
      <c r="BM99" t="s">
        <v>61</v>
      </c>
      <c r="BN99" t="s">
        <v>42</v>
      </c>
      <c r="BO99" s="42">
        <v>193</v>
      </c>
      <c r="BQ99" t="s">
        <v>39</v>
      </c>
      <c r="BR99" t="s">
        <v>40</v>
      </c>
      <c r="BS99" t="s">
        <v>27</v>
      </c>
      <c r="BT99">
        <v>62</v>
      </c>
    </row>
    <row r="100" spans="11:72" x14ac:dyDescent="0.25">
      <c r="K100" s="7" t="s">
        <v>257</v>
      </c>
      <c r="L100" s="5">
        <v>3.5799999999999996</v>
      </c>
      <c r="BL100" t="s">
        <v>39</v>
      </c>
      <c r="BM100" t="s">
        <v>61</v>
      </c>
      <c r="BN100" t="s">
        <v>57</v>
      </c>
      <c r="BO100" s="42">
        <v>176</v>
      </c>
      <c r="BQ100" t="s">
        <v>39</v>
      </c>
      <c r="BR100" t="s">
        <v>40</v>
      </c>
      <c r="BS100" t="s">
        <v>34</v>
      </c>
      <c r="BT100">
        <v>62</v>
      </c>
    </row>
    <row r="101" spans="11:72" x14ac:dyDescent="0.25">
      <c r="K101" s="7" t="s">
        <v>258</v>
      </c>
      <c r="L101" s="5">
        <v>3.4349999999999996</v>
      </c>
      <c r="BL101" t="s">
        <v>39</v>
      </c>
      <c r="BM101" t="s">
        <v>453</v>
      </c>
      <c r="BO101" s="42">
        <v>871</v>
      </c>
      <c r="BQ101" t="s">
        <v>39</v>
      </c>
      <c r="BR101" t="s">
        <v>40</v>
      </c>
      <c r="BS101" t="s">
        <v>42</v>
      </c>
      <c r="BT101">
        <v>32</v>
      </c>
    </row>
    <row r="102" spans="11:72" x14ac:dyDescent="0.25">
      <c r="K102" s="7" t="s">
        <v>259</v>
      </c>
      <c r="L102" s="5">
        <v>3.1174999999999997</v>
      </c>
      <c r="BL102" t="s">
        <v>39</v>
      </c>
      <c r="BM102" t="s">
        <v>33</v>
      </c>
      <c r="BN102" t="s">
        <v>46</v>
      </c>
      <c r="BO102" s="42">
        <v>149</v>
      </c>
      <c r="BQ102" t="s">
        <v>39</v>
      </c>
      <c r="BR102" t="s">
        <v>40</v>
      </c>
      <c r="BS102" t="s">
        <v>57</v>
      </c>
      <c r="BT102">
        <v>99</v>
      </c>
    </row>
    <row r="103" spans="11:72" x14ac:dyDescent="0.25">
      <c r="K103" s="7" t="s">
        <v>260</v>
      </c>
      <c r="L103" s="5">
        <v>5.94</v>
      </c>
      <c r="BL103" t="s">
        <v>39</v>
      </c>
      <c r="BM103" t="s">
        <v>33</v>
      </c>
      <c r="BN103" t="s">
        <v>27</v>
      </c>
      <c r="BO103" s="42">
        <v>164</v>
      </c>
    </row>
    <row r="104" spans="11:72" x14ac:dyDescent="0.25">
      <c r="K104" s="7" t="s">
        <v>261</v>
      </c>
      <c r="L104" s="5">
        <v>4.8966666666666656</v>
      </c>
      <c r="BL104" t="s">
        <v>39</v>
      </c>
      <c r="BM104" t="s">
        <v>33</v>
      </c>
      <c r="BN104" t="s">
        <v>34</v>
      </c>
      <c r="BO104" s="42">
        <v>221</v>
      </c>
      <c r="BQ104" t="s">
        <v>39</v>
      </c>
      <c r="BR104" t="s">
        <v>48</v>
      </c>
      <c r="BS104" t="s">
        <v>46</v>
      </c>
      <c r="BT104">
        <v>45</v>
      </c>
    </row>
    <row r="105" spans="11:72" x14ac:dyDescent="0.25">
      <c r="K105" s="7" t="s">
        <v>262</v>
      </c>
      <c r="L105" s="5">
        <v>7.13</v>
      </c>
      <c r="BL105" t="s">
        <v>39</v>
      </c>
      <c r="BM105" t="s">
        <v>33</v>
      </c>
      <c r="BN105" t="s">
        <v>42</v>
      </c>
      <c r="BO105" s="42">
        <v>238</v>
      </c>
      <c r="BQ105" t="s">
        <v>39</v>
      </c>
      <c r="BR105" t="s">
        <v>48</v>
      </c>
      <c r="BS105" t="s">
        <v>27</v>
      </c>
      <c r="BT105">
        <v>44</v>
      </c>
    </row>
    <row r="106" spans="11:72" x14ac:dyDescent="0.25">
      <c r="K106" s="7" t="s">
        <v>263</v>
      </c>
      <c r="L106" s="5">
        <v>8.5449999999999999</v>
      </c>
      <c r="BL106" t="s">
        <v>39</v>
      </c>
      <c r="BM106" t="s">
        <v>33</v>
      </c>
      <c r="BN106" t="s">
        <v>57</v>
      </c>
      <c r="BO106" s="42">
        <v>135</v>
      </c>
      <c r="BQ106" t="s">
        <v>39</v>
      </c>
      <c r="BR106" t="s">
        <v>48</v>
      </c>
      <c r="BS106" t="s">
        <v>57</v>
      </c>
      <c r="BT106">
        <v>71</v>
      </c>
    </row>
    <row r="107" spans="11:72" x14ac:dyDescent="0.25">
      <c r="K107" s="7" t="s">
        <v>264</v>
      </c>
      <c r="L107" s="5">
        <v>7.4250000000000007</v>
      </c>
      <c r="BL107" t="s">
        <v>39</v>
      </c>
      <c r="BM107" t="s">
        <v>454</v>
      </c>
      <c r="BO107" s="42">
        <v>907</v>
      </c>
    </row>
    <row r="108" spans="11:72" x14ac:dyDescent="0.25">
      <c r="K108" s="7" t="s">
        <v>265</v>
      </c>
      <c r="L108" s="5">
        <v>2.44</v>
      </c>
      <c r="BL108" t="s">
        <v>39</v>
      </c>
      <c r="BM108" t="s">
        <v>25</v>
      </c>
      <c r="BN108" t="s">
        <v>46</v>
      </c>
      <c r="BO108" s="42">
        <v>212</v>
      </c>
    </row>
    <row r="109" spans="11:72" x14ac:dyDescent="0.25">
      <c r="K109" s="7" t="s">
        <v>266</v>
      </c>
      <c r="L109" s="5">
        <v>3.25</v>
      </c>
      <c r="BL109" t="s">
        <v>39</v>
      </c>
      <c r="BM109" t="s">
        <v>25</v>
      </c>
      <c r="BN109" t="s">
        <v>27</v>
      </c>
      <c r="BO109" s="42">
        <v>328</v>
      </c>
      <c r="BQ109" t="s">
        <v>32</v>
      </c>
      <c r="BR109" t="s">
        <v>61</v>
      </c>
      <c r="BS109" t="s">
        <v>46</v>
      </c>
      <c r="BT109">
        <v>27</v>
      </c>
    </row>
    <row r="110" spans="11:72" x14ac:dyDescent="0.25">
      <c r="K110" s="7" t="s">
        <v>267</v>
      </c>
      <c r="L110" s="5">
        <v>2.25</v>
      </c>
      <c r="BL110" t="s">
        <v>39</v>
      </c>
      <c r="BM110" t="s">
        <v>25</v>
      </c>
      <c r="BN110" t="s">
        <v>34</v>
      </c>
      <c r="BO110" s="42">
        <v>139</v>
      </c>
      <c r="BQ110" t="s">
        <v>32</v>
      </c>
      <c r="BR110" t="s">
        <v>61</v>
      </c>
      <c r="BS110" t="s">
        <v>27</v>
      </c>
      <c r="BT110">
        <v>49</v>
      </c>
    </row>
    <row r="111" spans="11:72" x14ac:dyDescent="0.25">
      <c r="K111" s="7" t="s">
        <v>268</v>
      </c>
      <c r="L111" s="5">
        <v>6.1325000000000003</v>
      </c>
      <c r="BL111" t="s">
        <v>39</v>
      </c>
      <c r="BM111" t="s">
        <v>25</v>
      </c>
      <c r="BN111" t="s">
        <v>42</v>
      </c>
      <c r="BO111" s="42">
        <v>136</v>
      </c>
      <c r="BQ111" t="s">
        <v>32</v>
      </c>
      <c r="BR111" t="s">
        <v>61</v>
      </c>
      <c r="BS111" t="s">
        <v>42</v>
      </c>
      <c r="BT111">
        <v>39</v>
      </c>
    </row>
    <row r="112" spans="11:72" x14ac:dyDescent="0.25">
      <c r="K112" s="7" t="s">
        <v>269</v>
      </c>
      <c r="L112" s="5">
        <v>10.321666666666667</v>
      </c>
      <c r="BL112" t="s">
        <v>39</v>
      </c>
      <c r="BM112" t="s">
        <v>25</v>
      </c>
      <c r="BN112" t="s">
        <v>57</v>
      </c>
      <c r="BO112" s="42">
        <v>100</v>
      </c>
      <c r="BQ112" t="s">
        <v>32</v>
      </c>
      <c r="BR112" t="s">
        <v>61</v>
      </c>
      <c r="BS112" t="s">
        <v>57</v>
      </c>
      <c r="BT112">
        <v>23</v>
      </c>
    </row>
    <row r="113" spans="11:72" x14ac:dyDescent="0.25">
      <c r="K113" s="7" t="s">
        <v>270</v>
      </c>
      <c r="L113" s="5">
        <v>3.8800000000000003</v>
      </c>
      <c r="BL113" t="s">
        <v>39</v>
      </c>
      <c r="BM113" t="s">
        <v>455</v>
      </c>
      <c r="BO113" s="42">
        <v>915</v>
      </c>
    </row>
    <row r="114" spans="11:72" x14ac:dyDescent="0.25">
      <c r="K114" s="7" t="s">
        <v>271</v>
      </c>
      <c r="L114" s="5">
        <v>2.56</v>
      </c>
      <c r="BL114" t="s">
        <v>39</v>
      </c>
      <c r="BM114" t="s">
        <v>40</v>
      </c>
      <c r="BN114" t="s">
        <v>46</v>
      </c>
      <c r="BO114" s="42">
        <v>177</v>
      </c>
      <c r="BQ114" t="s">
        <v>32</v>
      </c>
      <c r="BR114" t="s">
        <v>33</v>
      </c>
      <c r="BS114" t="s">
        <v>46</v>
      </c>
      <c r="BT114">
        <v>53</v>
      </c>
    </row>
    <row r="115" spans="11:72" x14ac:dyDescent="0.25">
      <c r="K115" s="7" t="s">
        <v>272</v>
      </c>
      <c r="L115" s="5">
        <v>7.1000000000000005</v>
      </c>
      <c r="BL115" t="s">
        <v>39</v>
      </c>
      <c r="BM115" t="s">
        <v>40</v>
      </c>
      <c r="BN115" t="s">
        <v>27</v>
      </c>
      <c r="BO115" s="42">
        <v>135</v>
      </c>
      <c r="BQ115" t="s">
        <v>32</v>
      </c>
      <c r="BR115" t="s">
        <v>33</v>
      </c>
      <c r="BS115" t="s">
        <v>27</v>
      </c>
      <c r="BT115">
        <v>10</v>
      </c>
    </row>
    <row r="116" spans="11:72" x14ac:dyDescent="0.25">
      <c r="K116" s="7" t="s">
        <v>273</v>
      </c>
      <c r="L116" s="5">
        <v>10.336666666666666</v>
      </c>
      <c r="BL116" t="s">
        <v>39</v>
      </c>
      <c r="BM116" t="s">
        <v>40</v>
      </c>
      <c r="BN116" t="s">
        <v>34</v>
      </c>
      <c r="BO116" s="42">
        <v>180</v>
      </c>
      <c r="BQ116" t="s">
        <v>32</v>
      </c>
      <c r="BR116" t="s">
        <v>33</v>
      </c>
      <c r="BS116" t="s">
        <v>34</v>
      </c>
      <c r="BT116">
        <v>122</v>
      </c>
    </row>
    <row r="117" spans="11:72" x14ac:dyDescent="0.25">
      <c r="K117" s="7" t="s">
        <v>274</v>
      </c>
      <c r="L117" s="5">
        <v>5.33</v>
      </c>
      <c r="BL117" t="s">
        <v>39</v>
      </c>
      <c r="BM117" t="s">
        <v>40</v>
      </c>
      <c r="BN117" t="s">
        <v>42</v>
      </c>
      <c r="BO117" s="42">
        <v>211</v>
      </c>
      <c r="BQ117" t="s">
        <v>32</v>
      </c>
      <c r="BR117" t="s">
        <v>33</v>
      </c>
      <c r="BS117" t="s">
        <v>42</v>
      </c>
      <c r="BT117">
        <v>4</v>
      </c>
    </row>
    <row r="118" spans="11:72" x14ac:dyDescent="0.25">
      <c r="K118" s="7" t="s">
        <v>275</v>
      </c>
      <c r="L118" s="5">
        <v>12.28</v>
      </c>
      <c r="BL118" t="s">
        <v>39</v>
      </c>
      <c r="BM118" t="s">
        <v>40</v>
      </c>
      <c r="BN118" t="s">
        <v>57</v>
      </c>
      <c r="BO118" s="42">
        <v>318</v>
      </c>
      <c r="BQ118" t="s">
        <v>32</v>
      </c>
      <c r="BR118" t="s">
        <v>33</v>
      </c>
      <c r="BS118" t="s">
        <v>57</v>
      </c>
      <c r="BT118">
        <v>13</v>
      </c>
    </row>
    <row r="119" spans="11:72" x14ac:dyDescent="0.25">
      <c r="K119" s="7" t="s">
        <v>276</v>
      </c>
      <c r="L119" s="5">
        <v>2.5325000000000002</v>
      </c>
      <c r="BL119" t="s">
        <v>39</v>
      </c>
      <c r="BM119" t="s">
        <v>456</v>
      </c>
      <c r="BO119" s="42">
        <v>1021</v>
      </c>
    </row>
    <row r="120" spans="11:72" x14ac:dyDescent="0.25">
      <c r="K120" s="7" t="s">
        <v>277</v>
      </c>
      <c r="L120" s="5">
        <v>2.12</v>
      </c>
      <c r="BL120" t="s">
        <v>39</v>
      </c>
      <c r="BM120" t="s">
        <v>48</v>
      </c>
      <c r="BN120" t="s">
        <v>46</v>
      </c>
      <c r="BO120" s="42">
        <v>45</v>
      </c>
      <c r="BQ120" t="s">
        <v>32</v>
      </c>
      <c r="BR120" t="s">
        <v>25</v>
      </c>
      <c r="BS120" t="s">
        <v>46</v>
      </c>
      <c r="BT120">
        <v>112</v>
      </c>
    </row>
    <row r="121" spans="11:72" x14ac:dyDescent="0.25">
      <c r="K121" s="7" t="s">
        <v>278</v>
      </c>
      <c r="L121" s="5">
        <v>9.44</v>
      </c>
      <c r="BL121" t="s">
        <v>39</v>
      </c>
      <c r="BM121" t="s">
        <v>48</v>
      </c>
      <c r="BN121" t="s">
        <v>27</v>
      </c>
      <c r="BO121" s="42">
        <v>192</v>
      </c>
      <c r="BQ121" t="s">
        <v>32</v>
      </c>
      <c r="BR121" t="s">
        <v>25</v>
      </c>
      <c r="BS121" t="s">
        <v>27</v>
      </c>
      <c r="BT121">
        <v>9</v>
      </c>
    </row>
    <row r="122" spans="11:72" x14ac:dyDescent="0.25">
      <c r="K122" s="7" t="s">
        <v>279</v>
      </c>
      <c r="L122" s="5">
        <v>17.655000000000001</v>
      </c>
      <c r="BL122" t="s">
        <v>39</v>
      </c>
      <c r="BM122" t="s">
        <v>48</v>
      </c>
      <c r="BN122" t="s">
        <v>34</v>
      </c>
      <c r="BO122" s="42">
        <v>168</v>
      </c>
      <c r="BQ122" t="s">
        <v>32</v>
      </c>
      <c r="BR122" t="s">
        <v>25</v>
      </c>
      <c r="BS122" t="s">
        <v>34</v>
      </c>
      <c r="BT122">
        <v>46</v>
      </c>
    </row>
    <row r="123" spans="11:72" x14ac:dyDescent="0.25">
      <c r="K123" s="7" t="s">
        <v>280</v>
      </c>
      <c r="L123" s="5">
        <v>6.2450000000000001</v>
      </c>
      <c r="BL123" t="s">
        <v>39</v>
      </c>
      <c r="BM123" t="s">
        <v>48</v>
      </c>
      <c r="BN123" t="s">
        <v>42</v>
      </c>
      <c r="BO123" s="42">
        <v>159</v>
      </c>
      <c r="BQ123" t="s">
        <v>32</v>
      </c>
      <c r="BR123" t="s">
        <v>25</v>
      </c>
      <c r="BS123" t="s">
        <v>42</v>
      </c>
      <c r="BT123">
        <v>49</v>
      </c>
    </row>
    <row r="124" spans="11:72" x14ac:dyDescent="0.25">
      <c r="K124" s="7" t="s">
        <v>281</v>
      </c>
      <c r="L124" s="5">
        <v>2.2566666666666664</v>
      </c>
      <c r="BL124" t="s">
        <v>39</v>
      </c>
      <c r="BM124" t="s">
        <v>48</v>
      </c>
      <c r="BN124" t="s">
        <v>57</v>
      </c>
      <c r="BO124" s="42">
        <v>309</v>
      </c>
      <c r="BQ124" t="s">
        <v>32</v>
      </c>
      <c r="BR124" t="s">
        <v>25</v>
      </c>
      <c r="BS124" t="s">
        <v>57</v>
      </c>
      <c r="BT124">
        <v>104</v>
      </c>
    </row>
    <row r="125" spans="11:72" x14ac:dyDescent="0.25">
      <c r="K125" s="7" t="s">
        <v>282</v>
      </c>
      <c r="L125" s="5">
        <v>4.0214285714285714</v>
      </c>
      <c r="BL125" t="s">
        <v>39</v>
      </c>
      <c r="BM125" t="s">
        <v>457</v>
      </c>
      <c r="BO125" s="42">
        <v>873</v>
      </c>
    </row>
    <row r="126" spans="11:72" x14ac:dyDescent="0.25">
      <c r="K126" s="7" t="s">
        <v>283</v>
      </c>
      <c r="L126" s="5">
        <v>9.918333333333333</v>
      </c>
      <c r="BL126" t="s">
        <v>461</v>
      </c>
      <c r="BO126" s="42">
        <v>4587</v>
      </c>
      <c r="BQ126" t="s">
        <v>32</v>
      </c>
      <c r="BR126" t="s">
        <v>40</v>
      </c>
      <c r="BS126" t="s">
        <v>46</v>
      </c>
      <c r="BT126">
        <v>30</v>
      </c>
    </row>
    <row r="127" spans="11:72" x14ac:dyDescent="0.25">
      <c r="K127" s="7" t="s">
        <v>284</v>
      </c>
      <c r="L127" s="5">
        <v>6.003333333333333</v>
      </c>
      <c r="BL127" t="s">
        <v>32</v>
      </c>
      <c r="BM127" t="s">
        <v>61</v>
      </c>
      <c r="BN127" t="s">
        <v>46</v>
      </c>
      <c r="BO127" s="42">
        <v>220</v>
      </c>
      <c r="BQ127" t="s">
        <v>32</v>
      </c>
      <c r="BR127" t="s">
        <v>40</v>
      </c>
      <c r="BS127" t="s">
        <v>27</v>
      </c>
      <c r="BT127">
        <v>8</v>
      </c>
    </row>
    <row r="128" spans="11:72" x14ac:dyDescent="0.25">
      <c r="K128" s="7" t="s">
        <v>285</v>
      </c>
      <c r="L128" s="5">
        <v>3.4600000000000004</v>
      </c>
      <c r="BL128" t="s">
        <v>32</v>
      </c>
      <c r="BM128" t="s">
        <v>61</v>
      </c>
      <c r="BN128" t="s">
        <v>27</v>
      </c>
      <c r="BO128" s="42">
        <v>174</v>
      </c>
    </row>
    <row r="129" spans="11:72" x14ac:dyDescent="0.25">
      <c r="K129" s="7" t="s">
        <v>286</v>
      </c>
      <c r="L129" s="5">
        <v>5.508</v>
      </c>
      <c r="BL129" t="s">
        <v>32</v>
      </c>
      <c r="BM129" t="s">
        <v>61</v>
      </c>
      <c r="BN129" t="s">
        <v>34</v>
      </c>
      <c r="BO129" s="42">
        <v>101</v>
      </c>
      <c r="BQ129" t="s">
        <v>32</v>
      </c>
      <c r="BR129" t="s">
        <v>48</v>
      </c>
      <c r="BS129" t="s">
        <v>46</v>
      </c>
      <c r="BT129">
        <v>87</v>
      </c>
    </row>
    <row r="130" spans="11:72" x14ac:dyDescent="0.25">
      <c r="K130" s="7" t="s">
        <v>287</v>
      </c>
      <c r="L130" s="5">
        <v>5.5699999999999994</v>
      </c>
      <c r="BL130" t="s">
        <v>32</v>
      </c>
      <c r="BM130" t="s">
        <v>61</v>
      </c>
      <c r="BN130" t="s">
        <v>42</v>
      </c>
      <c r="BO130" s="42">
        <v>166</v>
      </c>
      <c r="BQ130" t="s">
        <v>32</v>
      </c>
      <c r="BR130" t="s">
        <v>48</v>
      </c>
      <c r="BS130" t="s">
        <v>27</v>
      </c>
      <c r="BT130">
        <v>113</v>
      </c>
    </row>
    <row r="131" spans="11:72" x14ac:dyDescent="0.25">
      <c r="K131" s="7" t="s">
        <v>288</v>
      </c>
      <c r="L131" s="5">
        <v>7.6719999999999997</v>
      </c>
      <c r="BL131" t="s">
        <v>32</v>
      </c>
      <c r="BM131" t="s">
        <v>61</v>
      </c>
      <c r="BN131" t="s">
        <v>57</v>
      </c>
      <c r="BO131" s="42">
        <v>217</v>
      </c>
      <c r="BQ131" t="s">
        <v>32</v>
      </c>
      <c r="BR131" t="s">
        <v>48</v>
      </c>
      <c r="BS131" t="s">
        <v>34</v>
      </c>
      <c r="BT131">
        <v>21</v>
      </c>
    </row>
    <row r="132" spans="11:72" x14ac:dyDescent="0.25">
      <c r="K132" s="7" t="s">
        <v>289</v>
      </c>
      <c r="L132" s="5">
        <v>4.5787499999999994</v>
      </c>
      <c r="BL132" t="s">
        <v>32</v>
      </c>
      <c r="BM132" t="s">
        <v>453</v>
      </c>
      <c r="BO132" s="42">
        <v>878</v>
      </c>
      <c r="BQ132" t="s">
        <v>32</v>
      </c>
      <c r="BR132" t="s">
        <v>48</v>
      </c>
      <c r="BS132" t="s">
        <v>42</v>
      </c>
      <c r="BT132">
        <v>88</v>
      </c>
    </row>
    <row r="133" spans="11:72" x14ac:dyDescent="0.25">
      <c r="K133" s="7" t="s">
        <v>290</v>
      </c>
      <c r="L133" s="5">
        <v>5.66</v>
      </c>
      <c r="BL133" t="s">
        <v>32</v>
      </c>
      <c r="BM133" t="s">
        <v>33</v>
      </c>
      <c r="BN133" t="s">
        <v>46</v>
      </c>
      <c r="BO133" s="42">
        <v>170</v>
      </c>
      <c r="BQ133" t="s">
        <v>32</v>
      </c>
      <c r="BR133" t="s">
        <v>48</v>
      </c>
      <c r="BS133" t="s">
        <v>57</v>
      </c>
      <c r="BT133">
        <v>4</v>
      </c>
    </row>
    <row r="134" spans="11:72" x14ac:dyDescent="0.25">
      <c r="K134" s="7" t="s">
        <v>291</v>
      </c>
      <c r="L134" s="5">
        <v>4.6974999999999998</v>
      </c>
      <c r="BL134" t="s">
        <v>32</v>
      </c>
      <c r="BM134" t="s">
        <v>33</v>
      </c>
      <c r="BN134" t="s">
        <v>27</v>
      </c>
      <c r="BO134" s="42">
        <v>191</v>
      </c>
    </row>
    <row r="135" spans="11:72" x14ac:dyDescent="0.25">
      <c r="K135" s="7" t="s">
        <v>292</v>
      </c>
      <c r="L135" s="5">
        <v>6.1750000000000007</v>
      </c>
      <c r="BL135" t="s">
        <v>32</v>
      </c>
      <c r="BM135" t="s">
        <v>33</v>
      </c>
      <c r="BN135" t="s">
        <v>34</v>
      </c>
      <c r="BO135" s="42">
        <v>295</v>
      </c>
    </row>
    <row r="136" spans="11:72" x14ac:dyDescent="0.25">
      <c r="K136" s="7" t="s">
        <v>293</v>
      </c>
      <c r="L136" s="5">
        <v>3</v>
      </c>
      <c r="BL136" t="s">
        <v>32</v>
      </c>
      <c r="BM136" t="s">
        <v>33</v>
      </c>
      <c r="BN136" t="s">
        <v>42</v>
      </c>
      <c r="BO136" s="42">
        <v>125</v>
      </c>
    </row>
    <row r="137" spans="11:72" x14ac:dyDescent="0.25">
      <c r="K137" s="7" t="s">
        <v>294</v>
      </c>
      <c r="L137" s="5">
        <v>5.9233333333333347</v>
      </c>
      <c r="BL137" t="s">
        <v>32</v>
      </c>
      <c r="BM137" t="s">
        <v>33</v>
      </c>
      <c r="BN137" t="s">
        <v>57</v>
      </c>
      <c r="BO137" s="42">
        <v>189</v>
      </c>
    </row>
    <row r="138" spans="11:72" x14ac:dyDescent="0.25">
      <c r="K138" s="7" t="s">
        <v>295</v>
      </c>
      <c r="L138" s="5">
        <v>5.9833333333333334</v>
      </c>
      <c r="BL138" t="s">
        <v>32</v>
      </c>
      <c r="BM138" t="s">
        <v>454</v>
      </c>
      <c r="BO138" s="42">
        <v>970</v>
      </c>
    </row>
    <row r="139" spans="11:72" x14ac:dyDescent="0.25">
      <c r="K139" s="7" t="s">
        <v>296</v>
      </c>
      <c r="L139" s="5">
        <v>4.7240000000000002</v>
      </c>
      <c r="BL139" t="s">
        <v>32</v>
      </c>
      <c r="BM139" t="s">
        <v>25</v>
      </c>
      <c r="BN139" t="s">
        <v>46</v>
      </c>
      <c r="BO139" s="42">
        <v>246</v>
      </c>
    </row>
    <row r="140" spans="11:72" x14ac:dyDescent="0.25">
      <c r="K140" s="7" t="s">
        <v>297</v>
      </c>
      <c r="L140" s="5">
        <v>5.1466666666666665</v>
      </c>
      <c r="BL140" t="s">
        <v>32</v>
      </c>
      <c r="BM140" t="s">
        <v>25</v>
      </c>
      <c r="BN140" t="s">
        <v>27</v>
      </c>
      <c r="BO140" s="42">
        <v>120</v>
      </c>
    </row>
    <row r="141" spans="11:72" x14ac:dyDescent="0.25">
      <c r="K141" s="7" t="s">
        <v>298</v>
      </c>
      <c r="L141" s="5">
        <v>1.8149999999999999</v>
      </c>
      <c r="BL141" t="s">
        <v>32</v>
      </c>
      <c r="BM141" t="s">
        <v>25</v>
      </c>
      <c r="BN141" t="s">
        <v>34</v>
      </c>
      <c r="BO141" s="42">
        <v>201</v>
      </c>
    </row>
    <row r="142" spans="11:72" x14ac:dyDescent="0.25">
      <c r="K142" s="7" t="s">
        <v>299</v>
      </c>
      <c r="L142" s="5">
        <v>3.6342857142857143</v>
      </c>
      <c r="BL142" t="s">
        <v>32</v>
      </c>
      <c r="BM142" t="s">
        <v>25</v>
      </c>
      <c r="BN142" t="s">
        <v>42</v>
      </c>
      <c r="BO142" s="42">
        <v>200</v>
      </c>
    </row>
    <row r="143" spans="11:72" x14ac:dyDescent="0.25">
      <c r="K143" s="7" t="s">
        <v>300</v>
      </c>
      <c r="L143" s="5">
        <v>5.7850000000000001</v>
      </c>
      <c r="BL143" t="s">
        <v>32</v>
      </c>
      <c r="BM143" t="s">
        <v>25</v>
      </c>
      <c r="BN143" t="s">
        <v>57</v>
      </c>
      <c r="BO143" s="42">
        <v>238</v>
      </c>
    </row>
    <row r="144" spans="11:72" x14ac:dyDescent="0.25">
      <c r="K144" s="7" t="s">
        <v>301</v>
      </c>
      <c r="L144" s="5">
        <v>10.47</v>
      </c>
      <c r="BL144" t="s">
        <v>32</v>
      </c>
      <c r="BM144" t="s">
        <v>455</v>
      </c>
      <c r="BO144" s="42">
        <v>1005</v>
      </c>
    </row>
    <row r="145" spans="11:67" x14ac:dyDescent="0.25">
      <c r="K145" s="7" t="s">
        <v>302</v>
      </c>
      <c r="L145" s="5">
        <v>4.0066666666666668</v>
      </c>
      <c r="BL145" t="s">
        <v>32</v>
      </c>
      <c r="BM145" t="s">
        <v>40</v>
      </c>
      <c r="BN145" t="s">
        <v>46</v>
      </c>
      <c r="BO145" s="42">
        <v>314</v>
      </c>
    </row>
    <row r="146" spans="11:67" x14ac:dyDescent="0.25">
      <c r="K146" s="7" t="s">
        <v>303</v>
      </c>
      <c r="L146" s="5">
        <v>2.4950000000000001</v>
      </c>
      <c r="BL146" t="s">
        <v>32</v>
      </c>
      <c r="BM146" t="s">
        <v>40</v>
      </c>
      <c r="BN146" t="s">
        <v>27</v>
      </c>
      <c r="BO146" s="42">
        <v>172</v>
      </c>
    </row>
    <row r="147" spans="11:67" x14ac:dyDescent="0.25">
      <c r="K147" s="7" t="s">
        <v>304</v>
      </c>
      <c r="L147" s="5">
        <v>2.4849999999999999</v>
      </c>
      <c r="BL147" t="s">
        <v>32</v>
      </c>
      <c r="BM147" t="s">
        <v>40</v>
      </c>
      <c r="BN147" t="s">
        <v>34</v>
      </c>
      <c r="BO147" s="42">
        <v>233</v>
      </c>
    </row>
    <row r="148" spans="11:67" x14ac:dyDescent="0.25">
      <c r="K148" s="7" t="s">
        <v>305</v>
      </c>
      <c r="L148" s="5">
        <v>9.11</v>
      </c>
      <c r="BL148" t="s">
        <v>32</v>
      </c>
      <c r="BM148" t="s">
        <v>40</v>
      </c>
      <c r="BN148" t="s">
        <v>42</v>
      </c>
      <c r="BO148" s="42">
        <v>176</v>
      </c>
    </row>
    <row r="149" spans="11:67" x14ac:dyDescent="0.25">
      <c r="K149" s="7" t="s">
        <v>306</v>
      </c>
      <c r="L149" s="5">
        <v>2.72</v>
      </c>
      <c r="BL149" t="s">
        <v>32</v>
      </c>
      <c r="BM149" t="s">
        <v>40</v>
      </c>
      <c r="BN149" t="s">
        <v>57</v>
      </c>
      <c r="BO149" s="42">
        <v>265</v>
      </c>
    </row>
    <row r="150" spans="11:67" x14ac:dyDescent="0.25">
      <c r="K150" s="7" t="s">
        <v>307</v>
      </c>
      <c r="L150" s="5">
        <v>5.4859999999999998</v>
      </c>
      <c r="BL150" t="s">
        <v>32</v>
      </c>
      <c r="BM150" t="s">
        <v>456</v>
      </c>
      <c r="BO150" s="42">
        <v>1160</v>
      </c>
    </row>
    <row r="151" spans="11:67" x14ac:dyDescent="0.25">
      <c r="K151" s="7" t="s">
        <v>308</v>
      </c>
      <c r="L151" s="5">
        <v>12.61</v>
      </c>
      <c r="BL151" t="s">
        <v>32</v>
      </c>
      <c r="BM151" t="s">
        <v>48</v>
      </c>
      <c r="BN151" t="s">
        <v>46</v>
      </c>
      <c r="BO151" s="42">
        <v>168</v>
      </c>
    </row>
    <row r="152" spans="11:67" x14ac:dyDescent="0.25">
      <c r="K152" s="7" t="s">
        <v>309</v>
      </c>
      <c r="L152" s="5">
        <v>3.4850000000000003</v>
      </c>
      <c r="BL152" t="s">
        <v>32</v>
      </c>
      <c r="BM152" t="s">
        <v>48</v>
      </c>
      <c r="BN152" t="s">
        <v>27</v>
      </c>
      <c r="BO152" s="42">
        <v>328</v>
      </c>
    </row>
    <row r="153" spans="11:67" x14ac:dyDescent="0.25">
      <c r="K153" s="7" t="s">
        <v>310</v>
      </c>
      <c r="L153" s="5">
        <v>0.1</v>
      </c>
      <c r="BL153" t="s">
        <v>32</v>
      </c>
      <c r="BM153" t="s">
        <v>48</v>
      </c>
      <c r="BN153" t="s">
        <v>34</v>
      </c>
      <c r="BO153" s="42">
        <v>249</v>
      </c>
    </row>
    <row r="154" spans="11:67" x14ac:dyDescent="0.25">
      <c r="K154" s="7" t="s">
        <v>311</v>
      </c>
      <c r="L154" s="5">
        <v>2.4649999999999999</v>
      </c>
      <c r="BL154" t="s">
        <v>32</v>
      </c>
      <c r="BM154" t="s">
        <v>48</v>
      </c>
      <c r="BN154" t="s">
        <v>42</v>
      </c>
      <c r="BO154" s="42">
        <v>347</v>
      </c>
    </row>
    <row r="155" spans="11:67" x14ac:dyDescent="0.25">
      <c r="K155" s="7" t="s">
        <v>312</v>
      </c>
      <c r="L155" s="5">
        <v>4.54</v>
      </c>
      <c r="BL155" t="s">
        <v>32</v>
      </c>
      <c r="BM155" t="s">
        <v>48</v>
      </c>
      <c r="BN155" t="s">
        <v>57</v>
      </c>
      <c r="BO155" s="42">
        <v>178</v>
      </c>
    </row>
    <row r="156" spans="11:67" x14ac:dyDescent="0.25">
      <c r="K156" s="7" t="s">
        <v>313</v>
      </c>
      <c r="L156" s="5">
        <v>4.3</v>
      </c>
      <c r="BL156" t="s">
        <v>32</v>
      </c>
      <c r="BM156" t="s">
        <v>457</v>
      </c>
      <c r="BO156" s="42">
        <v>1270</v>
      </c>
    </row>
    <row r="157" spans="11:67" x14ac:dyDescent="0.25">
      <c r="K157" s="7" t="s">
        <v>314</v>
      </c>
      <c r="L157" s="5">
        <v>5.0150000000000006</v>
      </c>
      <c r="BL157" t="s">
        <v>462</v>
      </c>
      <c r="BO157" s="42">
        <v>5283</v>
      </c>
    </row>
    <row r="158" spans="11:67" x14ac:dyDescent="0.25">
      <c r="K158" s="7" t="s">
        <v>315</v>
      </c>
      <c r="L158" s="5">
        <v>11.984285714285717</v>
      </c>
      <c r="BL158" t="s">
        <v>451</v>
      </c>
      <c r="BO158" s="42">
        <v>24850</v>
      </c>
    </row>
    <row r="159" spans="11:67" x14ac:dyDescent="0.25">
      <c r="K159" s="7" t="s">
        <v>316</v>
      </c>
      <c r="L159" s="5">
        <v>17.425000000000001</v>
      </c>
    </row>
    <row r="160" spans="11:67" x14ac:dyDescent="0.25">
      <c r="K160" s="7" t="s">
        <v>317</v>
      </c>
      <c r="L160" s="5">
        <v>1.53</v>
      </c>
    </row>
    <row r="161" spans="11:12" x14ac:dyDescent="0.25">
      <c r="K161" s="7" t="s">
        <v>318</v>
      </c>
      <c r="L161" s="5">
        <v>7.0066666666666668</v>
      </c>
    </row>
    <row r="162" spans="11:12" x14ac:dyDescent="0.25">
      <c r="K162" s="7" t="s">
        <v>319</v>
      </c>
      <c r="L162" s="5">
        <v>4.8499999999999996</v>
      </c>
    </row>
    <row r="163" spans="11:12" x14ac:dyDescent="0.25">
      <c r="K163" s="7" t="s">
        <v>320</v>
      </c>
      <c r="L163" s="5">
        <v>5.6916666666666664</v>
      </c>
    </row>
    <row r="164" spans="11:12" x14ac:dyDescent="0.25">
      <c r="K164" s="7" t="s">
        <v>321</v>
      </c>
      <c r="L164" s="5">
        <v>5.64</v>
      </c>
    </row>
    <row r="165" spans="11:12" x14ac:dyDescent="0.25">
      <c r="K165" s="7" t="s">
        <v>322</v>
      </c>
      <c r="L165" s="5">
        <v>1.91</v>
      </c>
    </row>
    <row r="166" spans="11:12" x14ac:dyDescent="0.25">
      <c r="K166" s="7" t="s">
        <v>323</v>
      </c>
      <c r="L166" s="5">
        <v>4.4000000000000004</v>
      </c>
    </row>
    <row r="167" spans="11:12" x14ac:dyDescent="0.25">
      <c r="K167" s="7" t="s">
        <v>324</v>
      </c>
      <c r="L167" s="5">
        <v>12.989999999999997</v>
      </c>
    </row>
    <row r="168" spans="11:12" x14ac:dyDescent="0.25">
      <c r="K168" s="7" t="s">
        <v>325</v>
      </c>
      <c r="L168" s="5">
        <v>3.9499999999999997</v>
      </c>
    </row>
    <row r="169" spans="11:12" x14ac:dyDescent="0.25">
      <c r="K169" s="7" t="s">
        <v>326</v>
      </c>
      <c r="L169" s="5">
        <v>0.54</v>
      </c>
    </row>
    <row r="170" spans="11:12" x14ac:dyDescent="0.25">
      <c r="K170" s="7" t="s">
        <v>327</v>
      </c>
      <c r="L170" s="5">
        <v>7.0520000000000014</v>
      </c>
    </row>
    <row r="171" spans="11:12" x14ac:dyDescent="0.25">
      <c r="K171" s="7" t="s">
        <v>328</v>
      </c>
      <c r="L171" s="5">
        <v>5.2350000000000003</v>
      </c>
    </row>
    <row r="172" spans="11:12" x14ac:dyDescent="0.25">
      <c r="K172" s="7" t="s">
        <v>329</v>
      </c>
      <c r="L172" s="5">
        <v>4.3499999999999996</v>
      </c>
    </row>
    <row r="173" spans="11:12" x14ac:dyDescent="0.25">
      <c r="K173" s="7" t="s">
        <v>330</v>
      </c>
      <c r="L173" s="5">
        <v>17.52</v>
      </c>
    </row>
    <row r="174" spans="11:12" x14ac:dyDescent="0.25">
      <c r="K174" s="7" t="s">
        <v>331</v>
      </c>
      <c r="L174" s="5">
        <v>4.5649999999999995</v>
      </c>
    </row>
    <row r="175" spans="11:12" x14ac:dyDescent="0.25">
      <c r="K175" s="7" t="s">
        <v>332</v>
      </c>
      <c r="L175" s="5">
        <v>9.44</v>
      </c>
    </row>
    <row r="176" spans="11:12" x14ac:dyDescent="0.25">
      <c r="K176" s="7" t="s">
        <v>333</v>
      </c>
      <c r="L176" s="5">
        <v>3.335</v>
      </c>
    </row>
    <row r="177" spans="11:12" x14ac:dyDescent="0.25">
      <c r="K177" s="7" t="s">
        <v>334</v>
      </c>
      <c r="L177" s="5">
        <v>2.835</v>
      </c>
    </row>
    <row r="178" spans="11:12" x14ac:dyDescent="0.25">
      <c r="K178" s="7" t="s">
        <v>335</v>
      </c>
      <c r="L178" s="5">
        <v>13.383333333333335</v>
      </c>
    </row>
    <row r="179" spans="11:12" x14ac:dyDescent="0.25">
      <c r="K179" s="7" t="s">
        <v>336</v>
      </c>
      <c r="L179" s="5">
        <v>8.112857142857143</v>
      </c>
    </row>
    <row r="180" spans="11:12" x14ac:dyDescent="0.25">
      <c r="K180" s="7" t="s">
        <v>337</v>
      </c>
      <c r="L180" s="5">
        <v>1.6274999999999999</v>
      </c>
    </row>
    <row r="181" spans="11:12" x14ac:dyDescent="0.25">
      <c r="K181" s="7" t="s">
        <v>338</v>
      </c>
      <c r="L181" s="5">
        <v>5.8966666666666674</v>
      </c>
    </row>
    <row r="182" spans="11:12" x14ac:dyDescent="0.25">
      <c r="K182" s="7" t="s">
        <v>339</v>
      </c>
      <c r="L182" s="5">
        <v>4.7466666666666661</v>
      </c>
    </row>
    <row r="183" spans="11:12" x14ac:dyDescent="0.25">
      <c r="K183" s="7" t="s">
        <v>340</v>
      </c>
      <c r="L183" s="5">
        <v>6.41</v>
      </c>
    </row>
    <row r="184" spans="11:12" x14ac:dyDescent="0.25">
      <c r="K184" s="7" t="s">
        <v>341</v>
      </c>
      <c r="L184" s="5">
        <v>3.7725</v>
      </c>
    </row>
    <row r="185" spans="11:12" x14ac:dyDescent="0.25">
      <c r="K185" s="7" t="s">
        <v>342</v>
      </c>
      <c r="L185" s="5">
        <v>5.33</v>
      </c>
    </row>
    <row r="186" spans="11:12" x14ac:dyDescent="0.25">
      <c r="K186" s="7" t="s">
        <v>343</v>
      </c>
      <c r="L186" s="5">
        <v>2.9</v>
      </c>
    </row>
    <row r="187" spans="11:12" x14ac:dyDescent="0.25">
      <c r="K187" s="7" t="s">
        <v>344</v>
      </c>
      <c r="L187" s="5">
        <v>6.8449999999999998</v>
      </c>
    </row>
    <row r="188" spans="11:12" x14ac:dyDescent="0.25">
      <c r="K188" s="7" t="s">
        <v>345</v>
      </c>
      <c r="L188" s="5">
        <v>9.7259999999999991</v>
      </c>
    </row>
    <row r="189" spans="11:12" x14ac:dyDescent="0.25">
      <c r="K189" s="7" t="s">
        <v>346</v>
      </c>
      <c r="L189" s="5">
        <v>11.525</v>
      </c>
    </row>
    <row r="190" spans="11:12" x14ac:dyDescent="0.25">
      <c r="K190" s="7" t="s">
        <v>347</v>
      </c>
      <c r="L190" s="5">
        <v>8.4499999999999993</v>
      </c>
    </row>
    <row r="191" spans="11:12" x14ac:dyDescent="0.25">
      <c r="K191" s="7" t="s">
        <v>348</v>
      </c>
      <c r="L191" s="5">
        <v>1.48</v>
      </c>
    </row>
    <row r="192" spans="11:12" x14ac:dyDescent="0.25">
      <c r="K192" s="7" t="s">
        <v>349</v>
      </c>
      <c r="L192" s="5">
        <v>4.55</v>
      </c>
    </row>
    <row r="193" spans="11:12" x14ac:dyDescent="0.25">
      <c r="K193" s="7" t="s">
        <v>350</v>
      </c>
      <c r="L193" s="5">
        <v>6.416666666666667</v>
      </c>
    </row>
    <row r="194" spans="11:12" x14ac:dyDescent="0.25">
      <c r="K194" s="7" t="s">
        <v>351</v>
      </c>
      <c r="L194" s="5">
        <v>8.3324999999999996</v>
      </c>
    </row>
    <row r="195" spans="11:12" x14ac:dyDescent="0.25">
      <c r="K195" s="7" t="s">
        <v>352</v>
      </c>
      <c r="L195" s="5">
        <v>3.38</v>
      </c>
    </row>
    <row r="196" spans="11:12" x14ac:dyDescent="0.25">
      <c r="K196" s="7" t="s">
        <v>353</v>
      </c>
      <c r="L196" s="5">
        <v>11.540000000000001</v>
      </c>
    </row>
    <row r="197" spans="11:12" x14ac:dyDescent="0.25">
      <c r="K197" s="7" t="s">
        <v>354</v>
      </c>
      <c r="L197" s="5">
        <v>10.542</v>
      </c>
    </row>
    <row r="198" spans="11:12" x14ac:dyDescent="0.25">
      <c r="K198" s="7" t="s">
        <v>355</v>
      </c>
      <c r="L198" s="5">
        <v>8.7687499999999989</v>
      </c>
    </row>
    <row r="199" spans="11:12" x14ac:dyDescent="0.25">
      <c r="K199" s="7" t="s">
        <v>356</v>
      </c>
      <c r="L199" s="5">
        <v>4.8840000000000003</v>
      </c>
    </row>
    <row r="200" spans="11:12" x14ac:dyDescent="0.25">
      <c r="K200" s="7" t="s">
        <v>357</v>
      </c>
      <c r="L200" s="5">
        <v>4.7725</v>
      </c>
    </row>
    <row r="201" spans="11:12" x14ac:dyDescent="0.25">
      <c r="K201" s="7" t="s">
        <v>358</v>
      </c>
      <c r="L201" s="5">
        <v>2.98</v>
      </c>
    </row>
    <row r="202" spans="11:12" x14ac:dyDescent="0.25">
      <c r="K202" s="7" t="s">
        <v>359</v>
      </c>
      <c r="L202" s="5">
        <v>8.7279999999999998</v>
      </c>
    </row>
    <row r="203" spans="11:12" x14ac:dyDescent="0.25">
      <c r="K203" s="7" t="s">
        <v>360</v>
      </c>
      <c r="L203" s="5">
        <v>1.76</v>
      </c>
    </row>
    <row r="204" spans="11:12" x14ac:dyDescent="0.25">
      <c r="K204" s="7" t="s">
        <v>361</v>
      </c>
      <c r="L204" s="5">
        <v>3.4166666666666665</v>
      </c>
    </row>
    <row r="205" spans="11:12" x14ac:dyDescent="0.25">
      <c r="K205" s="7" t="s">
        <v>362</v>
      </c>
      <c r="L205" s="5">
        <v>4.7075000000000005</v>
      </c>
    </row>
    <row r="206" spans="11:12" x14ac:dyDescent="0.25">
      <c r="K206" s="7" t="s">
        <v>363</v>
      </c>
      <c r="L206" s="5">
        <v>3.672857142857143</v>
      </c>
    </row>
    <row r="207" spans="11:12" x14ac:dyDescent="0.25">
      <c r="K207" s="7" t="s">
        <v>364</v>
      </c>
      <c r="L207" s="5">
        <v>7.583333333333333</v>
      </c>
    </row>
    <row r="208" spans="11:12" x14ac:dyDescent="0.25">
      <c r="K208" s="7" t="s">
        <v>365</v>
      </c>
      <c r="L208" s="5">
        <v>4.24</v>
      </c>
    </row>
    <row r="209" spans="11:12" x14ac:dyDescent="0.25">
      <c r="K209" s="7" t="s">
        <v>366</v>
      </c>
      <c r="L209" s="5">
        <v>5.2549999999999999</v>
      </c>
    </row>
    <row r="210" spans="11:12" x14ac:dyDescent="0.25">
      <c r="K210" s="7" t="s">
        <v>367</v>
      </c>
      <c r="L210" s="5">
        <v>5.2874999999999996</v>
      </c>
    </row>
    <row r="211" spans="11:12" x14ac:dyDescent="0.25">
      <c r="K211" s="7" t="s">
        <v>368</v>
      </c>
      <c r="L211" s="5">
        <v>4.3274999999999997</v>
      </c>
    </row>
    <row r="212" spans="11:12" x14ac:dyDescent="0.25">
      <c r="K212" s="7" t="s">
        <v>369</v>
      </c>
      <c r="L212" s="5">
        <v>13.015000000000001</v>
      </c>
    </row>
    <row r="213" spans="11:12" x14ac:dyDescent="0.25">
      <c r="K213" s="7" t="s">
        <v>370</v>
      </c>
      <c r="L213" s="5">
        <v>8.5549999999999997</v>
      </c>
    </row>
    <row r="214" spans="11:12" x14ac:dyDescent="0.25">
      <c r="K214" s="7" t="s">
        <v>371</v>
      </c>
      <c r="L214" s="5">
        <v>2.0499999999999998</v>
      </c>
    </row>
    <row r="215" spans="11:12" x14ac:dyDescent="0.25">
      <c r="K215" s="7" t="s">
        <v>372</v>
      </c>
      <c r="L215" s="5">
        <v>3.7650000000000001</v>
      </c>
    </row>
    <row r="216" spans="11:12" x14ac:dyDescent="0.25">
      <c r="K216" s="7" t="s">
        <v>373</v>
      </c>
      <c r="L216" s="5">
        <v>0.54500000000000004</v>
      </c>
    </row>
    <row r="217" spans="11:12" x14ac:dyDescent="0.25">
      <c r="K217" s="7" t="s">
        <v>374</v>
      </c>
      <c r="L217" s="5">
        <v>7.1140000000000017</v>
      </c>
    </row>
    <row r="218" spans="11:12" x14ac:dyDescent="0.25">
      <c r="K218" s="7" t="s">
        <v>375</v>
      </c>
      <c r="L218" s="5">
        <v>0.5</v>
      </c>
    </row>
    <row r="219" spans="11:12" x14ac:dyDescent="0.25">
      <c r="K219" s="7" t="s">
        <v>376</v>
      </c>
      <c r="L219" s="5">
        <v>5.2374999999999998</v>
      </c>
    </row>
    <row r="220" spans="11:12" x14ac:dyDescent="0.25">
      <c r="K220" s="7" t="s">
        <v>377</v>
      </c>
      <c r="L220" s="5">
        <v>4.12</v>
      </c>
    </row>
    <row r="221" spans="11:12" x14ac:dyDescent="0.25">
      <c r="K221" s="7" t="s">
        <v>378</v>
      </c>
      <c r="L221" s="5">
        <v>6.4859999999999998</v>
      </c>
    </row>
    <row r="222" spans="11:12" x14ac:dyDescent="0.25">
      <c r="K222" s="7" t="s">
        <v>379</v>
      </c>
      <c r="L222" s="5">
        <v>20.12</v>
      </c>
    </row>
    <row r="223" spans="11:12" x14ac:dyDescent="0.25">
      <c r="K223" s="7" t="s">
        <v>380</v>
      </c>
      <c r="L223" s="5">
        <v>4.6150000000000002</v>
      </c>
    </row>
    <row r="224" spans="11:12" x14ac:dyDescent="0.25">
      <c r="K224" s="7" t="s">
        <v>381</v>
      </c>
      <c r="L224" s="5">
        <v>2.7199999999999998</v>
      </c>
    </row>
    <row r="225" spans="11:12" x14ac:dyDescent="0.25">
      <c r="K225" s="7" t="s">
        <v>382</v>
      </c>
      <c r="L225" s="5">
        <v>3.6225000000000001</v>
      </c>
    </row>
    <row r="226" spans="11:12" x14ac:dyDescent="0.25">
      <c r="K226" s="7" t="s">
        <v>383</v>
      </c>
      <c r="L226" s="5">
        <v>1.24</v>
      </c>
    </row>
    <row r="227" spans="11:12" x14ac:dyDescent="0.25">
      <c r="K227" s="7" t="s">
        <v>384</v>
      </c>
      <c r="L227" s="5">
        <v>4.1475</v>
      </c>
    </row>
    <row r="228" spans="11:12" x14ac:dyDescent="0.25">
      <c r="K228" s="7" t="s">
        <v>385</v>
      </c>
      <c r="L228" s="5">
        <v>19.03</v>
      </c>
    </row>
    <row r="229" spans="11:12" x14ac:dyDescent="0.25">
      <c r="K229" s="7" t="s">
        <v>386</v>
      </c>
      <c r="L229" s="5">
        <v>1.2566666666666666</v>
      </c>
    </row>
    <row r="230" spans="11:12" x14ac:dyDescent="0.25">
      <c r="K230" s="7" t="s">
        <v>387</v>
      </c>
      <c r="L230" s="5">
        <v>4.8149999999999995</v>
      </c>
    </row>
    <row r="231" spans="11:12" x14ac:dyDescent="0.25">
      <c r="K231" s="7" t="s">
        <v>388</v>
      </c>
      <c r="L231" s="5">
        <v>7.333333333333333</v>
      </c>
    </row>
    <row r="232" spans="11:12" x14ac:dyDescent="0.25">
      <c r="K232" s="7" t="s">
        <v>389</v>
      </c>
      <c r="L232" s="5">
        <v>3.5566666666666666</v>
      </c>
    </row>
    <row r="233" spans="11:12" x14ac:dyDescent="0.25">
      <c r="K233" s="7" t="s">
        <v>390</v>
      </c>
      <c r="L233" s="5">
        <v>7.5466666666666669</v>
      </c>
    </row>
    <row r="234" spans="11:12" x14ac:dyDescent="0.25">
      <c r="K234" s="7" t="s">
        <v>391</v>
      </c>
      <c r="L234" s="5">
        <v>5.4450000000000003</v>
      </c>
    </row>
    <row r="235" spans="11:12" x14ac:dyDescent="0.25">
      <c r="K235" s="7" t="s">
        <v>392</v>
      </c>
      <c r="L235" s="5">
        <v>4.9633333333333338</v>
      </c>
    </row>
    <row r="236" spans="11:12" x14ac:dyDescent="0.25">
      <c r="K236" s="7" t="s">
        <v>393</v>
      </c>
      <c r="L236" s="5">
        <v>10.626666666666667</v>
      </c>
    </row>
    <row r="237" spans="11:12" x14ac:dyDescent="0.25">
      <c r="K237" s="7" t="s">
        <v>394</v>
      </c>
      <c r="L237" s="5">
        <v>6.6833333333333336</v>
      </c>
    </row>
    <row r="238" spans="11:12" x14ac:dyDescent="0.25">
      <c r="K238" s="7" t="s">
        <v>395</v>
      </c>
      <c r="L238" s="5">
        <v>7.58</v>
      </c>
    </row>
    <row r="239" spans="11:12" x14ac:dyDescent="0.25">
      <c r="K239" s="7" t="s">
        <v>396</v>
      </c>
      <c r="L239" s="5">
        <v>6.1809999999999992</v>
      </c>
    </row>
    <row r="240" spans="11:12" x14ac:dyDescent="0.25">
      <c r="K240" s="7" t="s">
        <v>397</v>
      </c>
      <c r="L240" s="5">
        <v>4.9340000000000002</v>
      </c>
    </row>
    <row r="241" spans="11:12" x14ac:dyDescent="0.25">
      <c r="K241" s="7" t="s">
        <v>398</v>
      </c>
      <c r="L241" s="5">
        <v>4.5449999999999999</v>
      </c>
    </row>
    <row r="242" spans="11:12" x14ac:dyDescent="0.25">
      <c r="K242" s="7" t="s">
        <v>399</v>
      </c>
      <c r="L242" s="5">
        <v>6.2</v>
      </c>
    </row>
    <row r="243" spans="11:12" x14ac:dyDescent="0.25">
      <c r="K243" s="7" t="s">
        <v>400</v>
      </c>
      <c r="L243" s="5">
        <v>7.8849999999999998</v>
      </c>
    </row>
    <row r="244" spans="11:12" x14ac:dyDescent="0.25">
      <c r="K244" s="7" t="s">
        <v>401</v>
      </c>
      <c r="L244" s="5">
        <v>1.865</v>
      </c>
    </row>
    <row r="245" spans="11:12" x14ac:dyDescent="0.25">
      <c r="K245" s="7" t="s">
        <v>402</v>
      </c>
      <c r="L245" s="5">
        <v>12.456666666666665</v>
      </c>
    </row>
    <row r="246" spans="11:12" x14ac:dyDescent="0.25">
      <c r="K246" s="7" t="s">
        <v>403</v>
      </c>
      <c r="L246" s="5">
        <v>9</v>
      </c>
    </row>
    <row r="247" spans="11:12" x14ac:dyDescent="0.25">
      <c r="K247" s="7" t="s">
        <v>404</v>
      </c>
      <c r="L247" s="5">
        <v>5.28</v>
      </c>
    </row>
    <row r="248" spans="11:12" x14ac:dyDescent="0.25">
      <c r="K248" s="7" t="s">
        <v>405</v>
      </c>
      <c r="L248" s="5">
        <v>5.9659999999999993</v>
      </c>
    </row>
    <row r="249" spans="11:12" x14ac:dyDescent="0.25">
      <c r="K249" s="7" t="s">
        <v>406</v>
      </c>
      <c r="L249" s="5">
        <v>19.53</v>
      </c>
    </row>
    <row r="250" spans="11:12" x14ac:dyDescent="0.25">
      <c r="K250" s="7" t="s">
        <v>407</v>
      </c>
      <c r="L250" s="5">
        <v>6.8</v>
      </c>
    </row>
    <row r="251" spans="11:12" x14ac:dyDescent="0.25">
      <c r="K251" s="7" t="s">
        <v>408</v>
      </c>
      <c r="L251" s="5">
        <v>6.8500000000000005</v>
      </c>
    </row>
    <row r="252" spans="11:12" x14ac:dyDescent="0.25">
      <c r="K252" s="7" t="s">
        <v>409</v>
      </c>
      <c r="L252" s="5">
        <v>8.4766666666666666</v>
      </c>
    </row>
    <row r="253" spans="11:12" x14ac:dyDescent="0.25">
      <c r="K253" s="7" t="s">
        <v>410</v>
      </c>
      <c r="L253" s="5">
        <v>1.02</v>
      </c>
    </row>
    <row r="254" spans="11:12" x14ac:dyDescent="0.25">
      <c r="K254" s="7" t="s">
        <v>411</v>
      </c>
      <c r="L254" s="5">
        <v>6.6966666666666663</v>
      </c>
    </row>
    <row r="255" spans="11:12" x14ac:dyDescent="0.25">
      <c r="K255" s="7" t="s">
        <v>412</v>
      </c>
      <c r="L255" s="5">
        <v>12.024999999999999</v>
      </c>
    </row>
    <row r="256" spans="11:12" x14ac:dyDescent="0.25">
      <c r="K256" s="7" t="s">
        <v>413</v>
      </c>
      <c r="L256" s="5">
        <v>3.9699999999999998</v>
      </c>
    </row>
    <row r="257" spans="11:12" x14ac:dyDescent="0.25">
      <c r="K257" s="7" t="s">
        <v>414</v>
      </c>
      <c r="L257" s="5">
        <v>8.4500000000000011</v>
      </c>
    </row>
    <row r="258" spans="11:12" x14ac:dyDescent="0.25">
      <c r="K258" s="7" t="s">
        <v>415</v>
      </c>
      <c r="L258" s="5">
        <v>12.493333333333334</v>
      </c>
    </row>
    <row r="259" spans="11:12" x14ac:dyDescent="0.25">
      <c r="K259" s="7" t="s">
        <v>416</v>
      </c>
      <c r="L259" s="5">
        <v>4.6916666666666655</v>
      </c>
    </row>
    <row r="260" spans="11:12" x14ac:dyDescent="0.25">
      <c r="K260" s="7" t="s">
        <v>417</v>
      </c>
      <c r="L260" s="5">
        <v>12.965999999999999</v>
      </c>
    </row>
    <row r="261" spans="11:12" x14ac:dyDescent="0.25">
      <c r="K261" s="7" t="s">
        <v>418</v>
      </c>
      <c r="L261" s="5">
        <v>7.088000000000001</v>
      </c>
    </row>
    <row r="262" spans="11:12" x14ac:dyDescent="0.25">
      <c r="K262" s="7" t="s">
        <v>419</v>
      </c>
      <c r="L262" s="5">
        <v>8.2249999999999996</v>
      </c>
    </row>
    <row r="263" spans="11:12" x14ac:dyDescent="0.25">
      <c r="K263" s="7" t="s">
        <v>420</v>
      </c>
      <c r="L263" s="5">
        <v>13.48</v>
      </c>
    </row>
    <row r="264" spans="11:12" x14ac:dyDescent="0.25">
      <c r="K264" s="7" t="s">
        <v>421</v>
      </c>
      <c r="L264" s="5">
        <v>3.2800000000000002</v>
      </c>
    </row>
    <row r="265" spans="11:12" x14ac:dyDescent="0.25">
      <c r="K265" s="7" t="s">
        <v>422</v>
      </c>
      <c r="L265" s="5">
        <v>13.19</v>
      </c>
    </row>
    <row r="266" spans="11:12" x14ac:dyDescent="0.25">
      <c r="K266" s="7" t="s">
        <v>423</v>
      </c>
      <c r="L266" s="5">
        <v>9.2959999999999994</v>
      </c>
    </row>
    <row r="267" spans="11:12" x14ac:dyDescent="0.25">
      <c r="K267" s="7" t="s">
        <v>424</v>
      </c>
      <c r="L267" s="5">
        <v>6.2566666666666668</v>
      </c>
    </row>
    <row r="268" spans="11:12" x14ac:dyDescent="0.25">
      <c r="K268" s="7" t="s">
        <v>425</v>
      </c>
      <c r="L268" s="5">
        <v>13.133333333333333</v>
      </c>
    </row>
    <row r="269" spans="11:12" x14ac:dyDescent="0.25">
      <c r="K269" s="7" t="s">
        <v>426</v>
      </c>
      <c r="L269" s="5">
        <v>6.3757142857142863</v>
      </c>
    </row>
    <row r="270" spans="11:12" x14ac:dyDescent="0.25">
      <c r="K270" s="7" t="s">
        <v>427</v>
      </c>
      <c r="L270" s="5">
        <v>2.3233333333333337</v>
      </c>
    </row>
    <row r="271" spans="11:12" x14ac:dyDescent="0.25">
      <c r="K271" s="7" t="s">
        <v>428</v>
      </c>
      <c r="L271" s="5">
        <v>6.4279999999999999</v>
      </c>
    </row>
    <row r="272" spans="11:12" x14ac:dyDescent="0.25">
      <c r="K272" s="7" t="s">
        <v>429</v>
      </c>
      <c r="L272" s="5">
        <v>2.56</v>
      </c>
    </row>
    <row r="273" spans="11:12" x14ac:dyDescent="0.25">
      <c r="K273" s="7" t="s">
        <v>430</v>
      </c>
      <c r="L273" s="5">
        <v>2.722</v>
      </c>
    </row>
    <row r="274" spans="11:12" x14ac:dyDescent="0.25">
      <c r="K274" s="7" t="s">
        <v>431</v>
      </c>
      <c r="L274" s="5">
        <v>6.6483333333333334</v>
      </c>
    </row>
    <row r="275" spans="11:12" x14ac:dyDescent="0.25">
      <c r="K275" s="7" t="s">
        <v>432</v>
      </c>
      <c r="L275" s="5">
        <v>15.713333333333333</v>
      </c>
    </row>
    <row r="276" spans="11:12" x14ac:dyDescent="0.25">
      <c r="K276" s="7" t="s">
        <v>433</v>
      </c>
      <c r="L276" s="5">
        <v>8.8833333333333329</v>
      </c>
    </row>
    <row r="277" spans="11:12" x14ac:dyDescent="0.25">
      <c r="K277" s="7" t="s">
        <v>434</v>
      </c>
      <c r="L277" s="5">
        <v>3.76</v>
      </c>
    </row>
    <row r="278" spans="11:12" x14ac:dyDescent="0.25">
      <c r="K278" s="7" t="s">
        <v>435</v>
      </c>
      <c r="L278" s="5">
        <v>2.3766666666666665</v>
      </c>
    </row>
    <row r="279" spans="11:12" x14ac:dyDescent="0.25">
      <c r="K279" s="7" t="s">
        <v>436</v>
      </c>
      <c r="L279" s="5">
        <v>5.9450000000000003</v>
      </c>
    </row>
    <row r="280" spans="11:12" x14ac:dyDescent="0.25">
      <c r="K280" s="7" t="s">
        <v>437</v>
      </c>
      <c r="L280" s="5">
        <v>14.07</v>
      </c>
    </row>
    <row r="281" spans="11:12" x14ac:dyDescent="0.25">
      <c r="K281" s="7" t="s">
        <v>438</v>
      </c>
      <c r="L281" s="5">
        <v>6.0950000000000006</v>
      </c>
    </row>
    <row r="282" spans="11:12" x14ac:dyDescent="0.25">
      <c r="K282" s="7" t="s">
        <v>439</v>
      </c>
      <c r="L282" s="5">
        <v>6.25</v>
      </c>
    </row>
    <row r="283" spans="11:12" x14ac:dyDescent="0.25">
      <c r="K283" s="7" t="s">
        <v>440</v>
      </c>
      <c r="L283" s="5">
        <v>4.6500000000000004</v>
      </c>
    </row>
    <row r="284" spans="11:12" x14ac:dyDescent="0.25">
      <c r="K284" s="7" t="s">
        <v>441</v>
      </c>
      <c r="L284" s="5">
        <v>10.96</v>
      </c>
    </row>
    <row r="285" spans="11:12" x14ac:dyDescent="0.25">
      <c r="K285" s="7" t="s">
        <v>442</v>
      </c>
      <c r="L285" s="5">
        <v>9.27</v>
      </c>
    </row>
    <row r="286" spans="11:12" x14ac:dyDescent="0.25">
      <c r="K286" s="7" t="s">
        <v>443</v>
      </c>
      <c r="L286" s="5">
        <v>11.006666666666668</v>
      </c>
    </row>
    <row r="287" spans="11:12" x14ac:dyDescent="0.25">
      <c r="K287" s="7" t="s">
        <v>444</v>
      </c>
      <c r="L287" s="5">
        <v>5.9537499999999994</v>
      </c>
    </row>
    <row r="288" spans="11:12" x14ac:dyDescent="0.25">
      <c r="K288" s="7" t="s">
        <v>445</v>
      </c>
      <c r="L288" s="5">
        <v>6.1542857142857139</v>
      </c>
    </row>
    <row r="289" spans="11:12" x14ac:dyDescent="0.25">
      <c r="K289" s="7" t="s">
        <v>446</v>
      </c>
      <c r="L289" s="5">
        <v>0.91500000000000004</v>
      </c>
    </row>
    <row r="290" spans="11:12" x14ac:dyDescent="0.25">
      <c r="K290" s="7" t="s">
        <v>447</v>
      </c>
      <c r="L290" s="5">
        <v>10.966666666666669</v>
      </c>
    </row>
    <row r="291" spans="11:12" x14ac:dyDescent="0.25">
      <c r="K291" s="7" t="s">
        <v>448</v>
      </c>
      <c r="L291" s="5">
        <v>1.6333333333333335</v>
      </c>
    </row>
    <row r="292" spans="11:12" x14ac:dyDescent="0.25">
      <c r="K292" s="7" t="s">
        <v>449</v>
      </c>
      <c r="L292" s="5">
        <v>4.9450000000000003</v>
      </c>
    </row>
    <row r="293" spans="11:12" x14ac:dyDescent="0.25">
      <c r="K293" s="7" t="s">
        <v>450</v>
      </c>
      <c r="L293" s="5">
        <v>9.8975000000000009</v>
      </c>
    </row>
    <row r="294" spans="11:12" x14ac:dyDescent="0.25">
      <c r="K294" s="7" t="s">
        <v>451</v>
      </c>
      <c r="L294" s="5">
        <v>6.5735600000000014</v>
      </c>
    </row>
  </sheetData>
  <conditionalFormatting pivot="1" sqref="AW5:AW9">
    <cfRule type="colorScale" priority="5">
      <colorScale>
        <cfvo type="min"/>
        <cfvo type="percentile" val="50"/>
        <cfvo type="max"/>
        <color rgb="FFF8696B"/>
        <color rgb="FFFFEB84"/>
        <color rgb="FF63BE7B"/>
      </colorScale>
    </cfRule>
  </conditionalFormatting>
  <conditionalFormatting pivot="1" sqref="AW4:AW9">
    <cfRule type="colorScale" priority="4">
      <colorScale>
        <cfvo type="min"/>
        <cfvo type="percentile" val="50"/>
        <cfvo type="max"/>
        <color rgb="FFF8696B"/>
        <color rgb="FFFFEB84"/>
        <color rgb="FF63BE7B"/>
      </colorScale>
    </cfRule>
  </conditionalFormatting>
  <conditionalFormatting sqref="AW14:AW18">
    <cfRule type="colorScale" priority="3">
      <colorScale>
        <cfvo type="min"/>
        <cfvo type="percentile" val="50"/>
        <cfvo type="max"/>
        <color rgb="FFF8696B"/>
        <color rgb="FFFFEB84"/>
        <color rgb="FF63BE7B"/>
      </colorScale>
    </cfRule>
  </conditionalFormatting>
  <conditionalFormatting sqref="AW13:AW18">
    <cfRule type="colorScale" priority="2">
      <colorScale>
        <cfvo type="min"/>
        <cfvo type="percentile" val="50"/>
        <cfvo type="max"/>
        <color rgb="FFF8696B"/>
        <color rgb="FFFFEB84"/>
        <color rgb="FF63BE7B"/>
      </colorScale>
    </cfRule>
  </conditionalFormatting>
  <conditionalFormatting pivot="1" sqref="BA4:BA8">
    <cfRule type="colorScale" priority="1">
      <colorScale>
        <cfvo type="min"/>
        <cfvo type="percentile" val="50"/>
        <cfvo type="max"/>
        <color rgb="FF63BE7B"/>
        <color rgb="FFFFEB84"/>
        <color rgb="FFF8696B"/>
      </colorScale>
    </cfRule>
  </conditionalFormatting>
  <pageMargins left="0.7" right="0.7" top="0.75" bottom="0.75" header="0.3" footer="0.3"/>
  <drawing r:id="rId3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14733A-5AB8-4D4C-88B8-8E39F80408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Dashboard</vt:lpstr>
      <vt:lpstr>Error Analysis</vt:lpstr>
      <vt:lpstr>Data Set</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Sisters</dc:creator>
  <cp:keywords/>
  <dc:description/>
  <cp:lastModifiedBy>idil zehra yaşar</cp:lastModifiedBy>
  <cp:revision/>
  <cp:lastPrinted>2025-12-28T12:01:39Z</cp:lastPrinted>
  <dcterms:created xsi:type="dcterms:W3CDTF">2025-10-22T15:56:41Z</dcterms:created>
  <dcterms:modified xsi:type="dcterms:W3CDTF">2026-01-03T16:45:31Z</dcterms:modified>
  <cp:category/>
  <cp:contentStatus/>
</cp:coreProperties>
</file>